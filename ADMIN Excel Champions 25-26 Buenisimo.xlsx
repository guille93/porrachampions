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defaultThemeVersion="166925"/>
  <mc:AlternateContent xmlns:mc="http://schemas.openxmlformats.org/markup-compatibility/2006">
    <mc:Choice Requires="x15">
      <x15ac:absPath xmlns:x15ac="http://schemas.microsoft.com/office/spreadsheetml/2010/11/ac" url="/Users/Mat/Documents/NASMACMAT/Excel Champions/2025-2026/Champions League 25-26/ADMIN/"/>
    </mc:Choice>
  </mc:AlternateContent>
  <xr:revisionPtr revIDLastSave="313" documentId="13_ncr:1_{C48E2BE8-C077-BF4E-AAE0-CE754FBA09EF}" xr6:coauthVersionLast="47" xr6:coauthVersionMax="47" xr10:uidLastSave="{093E89A8-895C-4CEC-A20D-70F6C6C48E51}"/>
  <workbookProtection workbookAlgorithmName="SHA-512" workbookHashValue="gt6zWjRWQzki0yjiG38EYsNQX4z5ID1ne51ew2OV35R6MGsSyWyL7MORjlne2zTi9lRgFaRlzWLQzSvn2h07Og==" workbookSaltValue="7257bPz/3GMXFwSM5EkCQw==" workbookSpinCount="100000" lockStructure="1"/>
  <bookViews>
    <workbookView xWindow="0" yWindow="500" windowWidth="28800" windowHeight="16080" tabRatio="834" firstSheet="1" activeTab="1" xr2:uid="{EF1C97E3-5DDB-9642-AC66-D05EBAA1DEBF}"/>
  </bookViews>
  <sheets>
    <sheet name="Home" sheetId="38" r:id="rId1"/>
    <sheet name="League" sheetId="10" r:id="rId2"/>
    <sheet name="KO" sheetId="27" state="veryHidden" r:id="rId3"/>
    <sheet name="ADMIN" sheetId="35" r:id="rId4"/>
    <sheet name="CLAS" sheetId="37" r:id="rId5"/>
    <sheet name="Credits" sheetId="9" r:id="rId6"/>
    <sheet name="Calcs" sheetId="11" state="veryHidden" r:id="rId7"/>
    <sheet name="Teams" sheetId="1" state="veryHidden" r:id="rId8"/>
    <sheet name="Horarios" sheetId="25" state="veryHidden" r:id="rId9"/>
    <sheet name="Idiomas" sheetId="24" state="veryHidden" r:id="rId10"/>
    <sheet name="CHL" sheetId="32" state="veryHidden" r:id="rId11"/>
  </sheets>
  <definedNames>
    <definedName name="_xlnm._FilterDatabase" localSheetId="4" hidden="1">CLAS!$A$3:$O$28</definedName>
    <definedName name="_xlnm._FilterDatabase" localSheetId="8" hidden="1">Horarios!$Q$2:$Q$57</definedName>
    <definedName name="_xlnm._FilterDatabase" localSheetId="1" hidden="1">League!$A$1:$AN$203</definedName>
    <definedName name="_xlnm._FilterDatabase" localSheetId="7" hidden="1">Teams!$P$1:$T$37</definedName>
    <definedName name="DatosExternos_1" localSheetId="10" hidden="1">'CHL'!$A$1:$L$202</definedName>
    <definedName name="Equipo_local">League!$D$2:$D$145</definedName>
    <definedName name="Equipo_visitante">League!$K$2:$K$145</definedName>
    <definedName name="Ganador">League!$BF$2:$BF$145</definedName>
    <definedName name="Goles_local">League!$G$2:$G$145</definedName>
    <definedName name="Goles_visitante">League!$H$2:$H$145</definedName>
    <definedName name="Jornada">League!$A$2:$A$145</definedName>
    <definedName name="NombreEquipo">TablaEquipos[Team]</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4" l="1"/>
  <c r="D293" i="24"/>
  <c r="B1" i="37"/>
  <c r="D10" i="24"/>
  <c r="D16" i="24"/>
  <c r="I16" i="38"/>
  <c r="D7" i="24"/>
  <c r="I18" i="38"/>
  <c r="D15" i="24"/>
  <c r="D14" i="24"/>
  <c r="B14" i="38"/>
  <c r="D13" i="24"/>
  <c r="B13" i="38"/>
  <c r="G16" i="38"/>
  <c r="D5" i="24"/>
  <c r="G10" i="38"/>
  <c r="D43" i="24"/>
  <c r="D6" i="24"/>
  <c r="D4" i="24"/>
  <c r="G7" i="38"/>
  <c r="D18" i="24"/>
  <c r="B10" i="38"/>
  <c r="D8" i="24"/>
  <c r="B7" i="38"/>
  <c r="D66" i="24"/>
  <c r="R147" i="10"/>
  <c r="P191" i="10"/>
  <c r="P189" i="10"/>
  <c r="P187" i="10"/>
  <c r="P185" i="10"/>
  <c r="H285" i="35"/>
  <c r="H9" i="24"/>
  <c r="G9" i="24"/>
  <c r="D238" i="24"/>
  <c r="H6" i="35"/>
  <c r="K6" i="35"/>
  <c r="D239" i="24"/>
  <c r="H24" i="35"/>
  <c r="K24" i="35"/>
  <c r="D240" i="24"/>
  <c r="H42" i="35"/>
  <c r="K42" i="35"/>
  <c r="D241" i="24"/>
  <c r="H60" i="35"/>
  <c r="K60" i="35"/>
  <c r="D242" i="24"/>
  <c r="H78" i="35"/>
  <c r="K78" i="35"/>
  <c r="D243" i="24"/>
  <c r="H96" i="35"/>
  <c r="K96" i="35"/>
  <c r="D244" i="24"/>
  <c r="H114" i="35"/>
  <c r="K114" i="35"/>
  <c r="D245" i="24"/>
  <c r="H132" i="35"/>
  <c r="K132" i="35"/>
  <c r="H7" i="35"/>
  <c r="K7" i="35"/>
  <c r="H8" i="35"/>
  <c r="K8" i="35"/>
  <c r="H9" i="35"/>
  <c r="K9" i="35"/>
  <c r="H10" i="35"/>
  <c r="K10" i="35"/>
  <c r="H11" i="35"/>
  <c r="K11" i="35"/>
  <c r="H12" i="35"/>
  <c r="K12" i="35"/>
  <c r="H13" i="35"/>
  <c r="K13" i="35"/>
  <c r="H14" i="35"/>
  <c r="K14" i="35"/>
  <c r="H15" i="35"/>
  <c r="K15" i="35"/>
  <c r="H16" i="35"/>
  <c r="K16" i="35"/>
  <c r="H17" i="35"/>
  <c r="K17" i="35"/>
  <c r="H18" i="35"/>
  <c r="K18" i="35"/>
  <c r="H19" i="35"/>
  <c r="K19" i="35"/>
  <c r="H20" i="35"/>
  <c r="K20" i="35"/>
  <c r="H21" i="35"/>
  <c r="K21" i="35"/>
  <c r="H22" i="35"/>
  <c r="K22" i="35"/>
  <c r="H23" i="35"/>
  <c r="K23" i="35"/>
  <c r="H25" i="35"/>
  <c r="K25" i="35"/>
  <c r="H26" i="35"/>
  <c r="K26" i="35"/>
  <c r="H27" i="35"/>
  <c r="K27" i="35"/>
  <c r="H28" i="35"/>
  <c r="K28" i="35"/>
  <c r="H29" i="35"/>
  <c r="K29" i="35"/>
  <c r="H30" i="35"/>
  <c r="K30" i="35"/>
  <c r="H31" i="35"/>
  <c r="K31" i="35"/>
  <c r="H32" i="35"/>
  <c r="K32" i="35"/>
  <c r="H33" i="35"/>
  <c r="K33" i="35"/>
  <c r="H34" i="35"/>
  <c r="K34" i="35"/>
  <c r="H35" i="35"/>
  <c r="K35" i="35"/>
  <c r="H36" i="35"/>
  <c r="K36" i="35"/>
  <c r="H37" i="35"/>
  <c r="K37" i="35"/>
  <c r="H38" i="35"/>
  <c r="K38" i="35"/>
  <c r="H39" i="35"/>
  <c r="K39" i="35"/>
  <c r="H40" i="35"/>
  <c r="K40" i="35"/>
  <c r="H41" i="35"/>
  <c r="K41" i="35"/>
  <c r="H43" i="35"/>
  <c r="K43" i="35"/>
  <c r="H44" i="35"/>
  <c r="K44" i="35"/>
  <c r="H45" i="35"/>
  <c r="K45" i="35"/>
  <c r="H46" i="35"/>
  <c r="K46" i="35"/>
  <c r="H47" i="35"/>
  <c r="K47" i="35"/>
  <c r="H48" i="35"/>
  <c r="K48" i="35"/>
  <c r="H49" i="35"/>
  <c r="K49" i="35"/>
  <c r="H50" i="35"/>
  <c r="K50" i="35"/>
  <c r="H51" i="35"/>
  <c r="K51" i="35"/>
  <c r="H52" i="35"/>
  <c r="K52" i="35"/>
  <c r="H53" i="35"/>
  <c r="K53" i="35"/>
  <c r="H54" i="35"/>
  <c r="K54" i="35"/>
  <c r="H55" i="35"/>
  <c r="K55" i="35"/>
  <c r="H56" i="35"/>
  <c r="K56" i="35"/>
  <c r="H57" i="35"/>
  <c r="K57" i="35"/>
  <c r="H58" i="35"/>
  <c r="K58" i="35"/>
  <c r="H59" i="35"/>
  <c r="K59" i="35"/>
  <c r="H61" i="35"/>
  <c r="K61" i="35"/>
  <c r="H62" i="35"/>
  <c r="K62" i="35"/>
  <c r="H63" i="35"/>
  <c r="K63" i="35"/>
  <c r="H64" i="35"/>
  <c r="K64" i="35"/>
  <c r="H65" i="35"/>
  <c r="K65" i="35"/>
  <c r="H66" i="35"/>
  <c r="K66" i="35"/>
  <c r="H67" i="35"/>
  <c r="K67" i="35"/>
  <c r="H68" i="35"/>
  <c r="K68" i="35"/>
  <c r="H69" i="35"/>
  <c r="K69" i="35"/>
  <c r="H70" i="35"/>
  <c r="K70" i="35"/>
  <c r="H71" i="35"/>
  <c r="K71" i="35"/>
  <c r="H72" i="35"/>
  <c r="K72" i="35"/>
  <c r="H73" i="35"/>
  <c r="K73" i="35"/>
  <c r="H74" i="35"/>
  <c r="K74" i="35"/>
  <c r="H75" i="35"/>
  <c r="K75" i="35"/>
  <c r="H76" i="35"/>
  <c r="K76" i="35"/>
  <c r="H77" i="35"/>
  <c r="K77" i="35"/>
  <c r="H79" i="35"/>
  <c r="K79" i="35"/>
  <c r="H80" i="35"/>
  <c r="K80" i="35"/>
  <c r="H81" i="35"/>
  <c r="K81" i="35"/>
  <c r="H82" i="35"/>
  <c r="K82" i="35"/>
  <c r="H83" i="35"/>
  <c r="K83" i="35"/>
  <c r="H84" i="35"/>
  <c r="K84" i="35"/>
  <c r="H85" i="35"/>
  <c r="K85" i="35"/>
  <c r="H86" i="35"/>
  <c r="K86" i="35"/>
  <c r="H87" i="35"/>
  <c r="K87" i="35"/>
  <c r="H88" i="35"/>
  <c r="K88" i="35"/>
  <c r="H89" i="35"/>
  <c r="K89" i="35"/>
  <c r="H90" i="35"/>
  <c r="K90" i="35"/>
  <c r="H91" i="35"/>
  <c r="K91" i="35"/>
  <c r="H92" i="35"/>
  <c r="K92" i="35"/>
  <c r="H93" i="35"/>
  <c r="K93" i="35"/>
  <c r="H94" i="35"/>
  <c r="K94" i="35"/>
  <c r="H95" i="35"/>
  <c r="K95" i="35"/>
  <c r="H97" i="35"/>
  <c r="K97" i="35"/>
  <c r="H98" i="35"/>
  <c r="K98" i="35"/>
  <c r="H99" i="35"/>
  <c r="K99" i="35"/>
  <c r="H100" i="35"/>
  <c r="K100" i="35"/>
  <c r="H101" i="35"/>
  <c r="K101" i="35"/>
  <c r="H102" i="35"/>
  <c r="K102" i="35"/>
  <c r="H103" i="35"/>
  <c r="K103" i="35"/>
  <c r="H104" i="35"/>
  <c r="K104" i="35"/>
  <c r="H105" i="35"/>
  <c r="K105" i="35"/>
  <c r="H106" i="35"/>
  <c r="K106" i="35"/>
  <c r="H107" i="35"/>
  <c r="K107" i="35"/>
  <c r="H108" i="35"/>
  <c r="K108" i="35"/>
  <c r="H109" i="35"/>
  <c r="K109" i="35"/>
  <c r="H110" i="35"/>
  <c r="K110" i="35"/>
  <c r="H111" i="35"/>
  <c r="K111" i="35"/>
  <c r="H112" i="35"/>
  <c r="K112" i="35"/>
  <c r="H113" i="35"/>
  <c r="K113" i="35"/>
  <c r="H115" i="35"/>
  <c r="K115" i="35"/>
  <c r="H116" i="35"/>
  <c r="K116" i="35"/>
  <c r="H117" i="35"/>
  <c r="K117" i="35"/>
  <c r="H118" i="35"/>
  <c r="K118" i="35"/>
  <c r="H119" i="35"/>
  <c r="K119" i="35"/>
  <c r="H120" i="35"/>
  <c r="K120" i="35"/>
  <c r="H121" i="35"/>
  <c r="K121" i="35"/>
  <c r="H122" i="35"/>
  <c r="K122" i="35"/>
  <c r="H123" i="35"/>
  <c r="K123" i="35"/>
  <c r="H124" i="35"/>
  <c r="K124" i="35"/>
  <c r="H125" i="35"/>
  <c r="K125" i="35"/>
  <c r="H126" i="35"/>
  <c r="K126" i="35"/>
  <c r="H127" i="35"/>
  <c r="K127" i="35"/>
  <c r="H128" i="35"/>
  <c r="K128" i="35"/>
  <c r="H129" i="35"/>
  <c r="K129" i="35"/>
  <c r="H130" i="35"/>
  <c r="K130" i="35"/>
  <c r="H131" i="35"/>
  <c r="K131" i="35"/>
  <c r="H133" i="35"/>
  <c r="K133" i="35"/>
  <c r="H134" i="35"/>
  <c r="K134" i="35"/>
  <c r="H135" i="35"/>
  <c r="K135" i="35"/>
  <c r="H136" i="35"/>
  <c r="K136" i="35"/>
  <c r="H137" i="35"/>
  <c r="K137" i="35"/>
  <c r="H138" i="35"/>
  <c r="K138" i="35"/>
  <c r="H139" i="35"/>
  <c r="K139" i="35"/>
  <c r="H140" i="35"/>
  <c r="K140" i="35"/>
  <c r="H141" i="35"/>
  <c r="K141" i="35"/>
  <c r="H142" i="35"/>
  <c r="K142" i="35"/>
  <c r="H143" i="35"/>
  <c r="K143" i="35"/>
  <c r="H144" i="35"/>
  <c r="K144" i="35"/>
  <c r="H145" i="35"/>
  <c r="K145" i="35"/>
  <c r="H146" i="35"/>
  <c r="K146" i="35"/>
  <c r="H147" i="35"/>
  <c r="K147" i="35"/>
  <c r="H148" i="35"/>
  <c r="K148" i="35"/>
  <c r="H149" i="35"/>
  <c r="K149" i="35"/>
  <c r="K150" i="35"/>
  <c r="D323" i="24"/>
  <c r="A2" i="1"/>
  <c r="A2" i="11"/>
  <c r="D324" i="24"/>
  <c r="A3" i="1"/>
  <c r="A3" i="11"/>
  <c r="BF2" i="10"/>
  <c r="D325" i="24"/>
  <c r="A4" i="1"/>
  <c r="A4" i="11"/>
  <c r="D326" i="24"/>
  <c r="A5" i="1"/>
  <c r="A5" i="11"/>
  <c r="D327" i="24"/>
  <c r="A6" i="1"/>
  <c r="A6" i="11"/>
  <c r="D328" i="24"/>
  <c r="A7" i="1"/>
  <c r="A7" i="11"/>
  <c r="D329" i="24"/>
  <c r="A8" i="1"/>
  <c r="A8" i="11"/>
  <c r="D330" i="24"/>
  <c r="A9" i="1"/>
  <c r="A9" i="11"/>
  <c r="D331" i="24"/>
  <c r="A10" i="1"/>
  <c r="A10" i="11"/>
  <c r="D332" i="24"/>
  <c r="A11" i="1"/>
  <c r="A11" i="11"/>
  <c r="D333" i="24"/>
  <c r="A12" i="1"/>
  <c r="A12" i="11"/>
  <c r="BF4" i="10"/>
  <c r="D334" i="24"/>
  <c r="A13" i="1"/>
  <c r="A13" i="11"/>
  <c r="D335" i="24"/>
  <c r="A14" i="1"/>
  <c r="A14" i="11"/>
  <c r="D336" i="24"/>
  <c r="A15" i="1"/>
  <c r="A15" i="11"/>
  <c r="D337" i="24"/>
  <c r="A16" i="1"/>
  <c r="A16" i="11"/>
  <c r="D338" i="24"/>
  <c r="A17" i="1"/>
  <c r="A17" i="11"/>
  <c r="D339" i="24"/>
  <c r="A18" i="1"/>
  <c r="A18" i="11"/>
  <c r="D340" i="24"/>
  <c r="A19" i="1"/>
  <c r="A19" i="11"/>
  <c r="D341" i="24"/>
  <c r="A20" i="1"/>
  <c r="A20" i="11"/>
  <c r="D342" i="24"/>
  <c r="A21" i="1"/>
  <c r="A21" i="11"/>
  <c r="D343" i="24"/>
  <c r="A22" i="1"/>
  <c r="A22" i="11"/>
  <c r="D344" i="24"/>
  <c r="A23" i="1"/>
  <c r="A23" i="11"/>
  <c r="D345" i="24"/>
  <c r="A24" i="1"/>
  <c r="A24" i="11"/>
  <c r="D346" i="24"/>
  <c r="A25" i="1"/>
  <c r="A25" i="11"/>
  <c r="D347" i="24"/>
  <c r="A26" i="1"/>
  <c r="A26" i="11"/>
  <c r="D348" i="24"/>
  <c r="A27" i="1"/>
  <c r="A27" i="11"/>
  <c r="D349" i="24"/>
  <c r="A28" i="1"/>
  <c r="A28" i="11"/>
  <c r="D350" i="24"/>
  <c r="A29" i="1"/>
  <c r="A29" i="11"/>
  <c r="D351" i="24"/>
  <c r="A30" i="1"/>
  <c r="A30" i="11"/>
  <c r="BF3" i="10"/>
  <c r="D352" i="24"/>
  <c r="A31" i="1"/>
  <c r="A31" i="11"/>
  <c r="D353" i="24"/>
  <c r="A32" i="1"/>
  <c r="A32" i="11"/>
  <c r="D354" i="24"/>
  <c r="A33" i="1"/>
  <c r="A33" i="11"/>
  <c r="D355" i="24"/>
  <c r="A34" i="1"/>
  <c r="A34" i="11"/>
  <c r="D356" i="24"/>
  <c r="A35" i="1"/>
  <c r="A35" i="11"/>
  <c r="D357" i="24"/>
  <c r="A36" i="1"/>
  <c r="A36" i="11"/>
  <c r="D358" i="24"/>
  <c r="A37" i="1"/>
  <c r="A37" i="11"/>
  <c r="D276" i="24"/>
  <c r="D246" i="24"/>
  <c r="J219" i="35"/>
  <c r="H219" i="35"/>
  <c r="K219" i="35"/>
  <c r="H220" i="35"/>
  <c r="K220" i="35"/>
  <c r="H221" i="35"/>
  <c r="K221" i="35"/>
  <c r="H222" i="35"/>
  <c r="K222" i="35"/>
  <c r="H223" i="35"/>
  <c r="K223" i="35"/>
  <c r="H224" i="35"/>
  <c r="K224" i="35"/>
  <c r="H225" i="35"/>
  <c r="K225" i="35"/>
  <c r="H226" i="35"/>
  <c r="K226" i="35"/>
  <c r="H227" i="35"/>
  <c r="K227" i="35"/>
  <c r="H228" i="35"/>
  <c r="K228" i="35"/>
  <c r="H229" i="35"/>
  <c r="K229" i="35"/>
  <c r="H230" i="35"/>
  <c r="K230" i="35"/>
  <c r="H231" i="35"/>
  <c r="K231" i="35"/>
  <c r="H232" i="35"/>
  <c r="K232" i="35"/>
  <c r="H233" i="35"/>
  <c r="K233" i="35"/>
  <c r="H234" i="35"/>
  <c r="K234" i="35"/>
  <c r="K235" i="35"/>
  <c r="D247" i="24"/>
  <c r="J247" i="35"/>
  <c r="H247" i="35"/>
  <c r="K247" i="35"/>
  <c r="H248" i="35"/>
  <c r="K248" i="35"/>
  <c r="H249" i="35"/>
  <c r="K249" i="35"/>
  <c r="H250" i="35"/>
  <c r="K250" i="35"/>
  <c r="H251" i="35"/>
  <c r="K251" i="35"/>
  <c r="H252" i="35"/>
  <c r="K252" i="35"/>
  <c r="H253" i="35"/>
  <c r="K253" i="35"/>
  <c r="H254" i="35"/>
  <c r="K254" i="35"/>
  <c r="H255" i="35"/>
  <c r="K255" i="35"/>
  <c r="H256" i="35"/>
  <c r="K256" i="35"/>
  <c r="H257" i="35"/>
  <c r="K257" i="35"/>
  <c r="H258" i="35"/>
  <c r="K258" i="35"/>
  <c r="H259" i="35"/>
  <c r="K259" i="35"/>
  <c r="H260" i="35"/>
  <c r="K260" i="35"/>
  <c r="H261" i="35"/>
  <c r="K261" i="35"/>
  <c r="H262" i="35"/>
  <c r="K262" i="35"/>
  <c r="K263" i="35"/>
  <c r="D248" i="24"/>
  <c r="J275" i="35"/>
  <c r="H275" i="35"/>
  <c r="K275" i="35"/>
  <c r="H276" i="35"/>
  <c r="K276" i="35"/>
  <c r="H277" i="35"/>
  <c r="K277" i="35"/>
  <c r="H278" i="35"/>
  <c r="K278" i="35"/>
  <c r="H279" i="35"/>
  <c r="K279" i="35"/>
  <c r="H280" i="35"/>
  <c r="K280" i="35"/>
  <c r="H281" i="35"/>
  <c r="K281" i="35"/>
  <c r="H282" i="35"/>
  <c r="K282" i="35"/>
  <c r="K283" i="35"/>
  <c r="D249" i="24"/>
  <c r="J291" i="35"/>
  <c r="H291" i="35"/>
  <c r="K291" i="35"/>
  <c r="H292" i="35"/>
  <c r="K292" i="35"/>
  <c r="H293" i="35"/>
  <c r="K293" i="35"/>
  <c r="H294" i="35"/>
  <c r="K294" i="35"/>
  <c r="K295" i="35"/>
  <c r="D250" i="24"/>
  <c r="J301" i="35"/>
  <c r="H301" i="35"/>
  <c r="K301" i="35"/>
  <c r="K302" i="35"/>
  <c r="D251" i="24"/>
  <c r="J308" i="35"/>
  <c r="H308" i="35"/>
  <c r="H309" i="35"/>
  <c r="H310" i="35"/>
  <c r="H311" i="35"/>
  <c r="H312" i="35"/>
  <c r="H313" i="35"/>
  <c r="H314" i="35"/>
  <c r="H315" i="35"/>
  <c r="H316" i="35"/>
  <c r="H317" i="35"/>
  <c r="H318" i="35"/>
  <c r="H319" i="35"/>
  <c r="H320" i="35"/>
  <c r="H321" i="35"/>
  <c r="H322" i="35"/>
  <c r="H323" i="35"/>
  <c r="H324" i="35"/>
  <c r="H325" i="35"/>
  <c r="H326" i="35"/>
  <c r="H327" i="35"/>
  <c r="H328" i="35"/>
  <c r="H329" i="35"/>
  <c r="H330" i="35"/>
  <c r="H331" i="35"/>
  <c r="P149" i="10"/>
  <c r="H237" i="35"/>
  <c r="P151" i="10"/>
  <c r="H238" i="35"/>
  <c r="P153" i="10"/>
  <c r="H239" i="35"/>
  <c r="P155" i="10"/>
  <c r="H240" i="35"/>
  <c r="P157" i="10"/>
  <c r="H241" i="35"/>
  <c r="P159" i="10"/>
  <c r="H242" i="35"/>
  <c r="P161" i="10"/>
  <c r="H243" i="35"/>
  <c r="P163" i="10"/>
  <c r="H244" i="35"/>
  <c r="P167" i="10"/>
  <c r="H265" i="35"/>
  <c r="P169" i="10"/>
  <c r="H266" i="35"/>
  <c r="P171" i="10"/>
  <c r="H267" i="35"/>
  <c r="P173" i="10"/>
  <c r="H268" i="35"/>
  <c r="P175" i="10"/>
  <c r="H269" i="35"/>
  <c r="P177" i="10"/>
  <c r="H270" i="35"/>
  <c r="P179" i="10"/>
  <c r="H271" i="35"/>
  <c r="P181" i="10"/>
  <c r="H272" i="35"/>
  <c r="H286" i="35"/>
  <c r="H287" i="35"/>
  <c r="H288" i="35"/>
  <c r="P195" i="10"/>
  <c r="H297" i="35"/>
  <c r="H298" i="35"/>
  <c r="K297" i="35"/>
  <c r="P197" i="10"/>
  <c r="F202" i="10"/>
  <c r="H304" i="35"/>
  <c r="N6" i="35"/>
  <c r="N24" i="35"/>
  <c r="N42" i="35"/>
  <c r="N60" i="35"/>
  <c r="N78" i="35"/>
  <c r="N96" i="35"/>
  <c r="N114" i="35"/>
  <c r="N132" i="35"/>
  <c r="N7" i="35"/>
  <c r="N8" i="35"/>
  <c r="N9" i="35"/>
  <c r="N10" i="35"/>
  <c r="N11" i="35"/>
  <c r="N12" i="35"/>
  <c r="N13" i="35"/>
  <c r="N14" i="35"/>
  <c r="N15" i="35"/>
  <c r="N16" i="35"/>
  <c r="N17" i="35"/>
  <c r="N18" i="35"/>
  <c r="N19" i="35"/>
  <c r="N20" i="35"/>
  <c r="N21" i="35"/>
  <c r="N22" i="35"/>
  <c r="N23" i="35"/>
  <c r="N25" i="35"/>
  <c r="N26" i="35"/>
  <c r="N27" i="35"/>
  <c r="N28" i="35"/>
  <c r="N29" i="35"/>
  <c r="N30" i="35"/>
  <c r="N31" i="35"/>
  <c r="N32" i="35"/>
  <c r="N33" i="35"/>
  <c r="N34" i="35"/>
  <c r="N35" i="35"/>
  <c r="N36" i="35"/>
  <c r="N37" i="35"/>
  <c r="N38" i="35"/>
  <c r="N39" i="35"/>
  <c r="N40" i="35"/>
  <c r="N41" i="35"/>
  <c r="N43" i="35"/>
  <c r="N44" i="35"/>
  <c r="N45" i="35"/>
  <c r="N46" i="35"/>
  <c r="N47" i="35"/>
  <c r="N48" i="35"/>
  <c r="N49" i="35"/>
  <c r="N50" i="35"/>
  <c r="N51" i="35"/>
  <c r="N52" i="35"/>
  <c r="N53" i="35"/>
  <c r="N54" i="35"/>
  <c r="N55" i="35"/>
  <c r="N56" i="35"/>
  <c r="N57" i="35"/>
  <c r="N58" i="35"/>
  <c r="N59" i="35"/>
  <c r="N61" i="35"/>
  <c r="N62" i="35"/>
  <c r="N63" i="35"/>
  <c r="N64" i="35"/>
  <c r="N65" i="35"/>
  <c r="N66" i="35"/>
  <c r="N67" i="35"/>
  <c r="N68" i="35"/>
  <c r="N69" i="35"/>
  <c r="N70" i="35"/>
  <c r="N71" i="35"/>
  <c r="N72" i="35"/>
  <c r="N73" i="35"/>
  <c r="N74" i="35"/>
  <c r="N75" i="35"/>
  <c r="N76" i="35"/>
  <c r="N77" i="35"/>
  <c r="N79" i="35"/>
  <c r="N80" i="35"/>
  <c r="N81" i="35"/>
  <c r="N82" i="35"/>
  <c r="N83" i="35"/>
  <c r="N84" i="35"/>
  <c r="N85" i="35"/>
  <c r="N86" i="35"/>
  <c r="N87" i="35"/>
  <c r="N88" i="35"/>
  <c r="N89" i="35"/>
  <c r="N90" i="35"/>
  <c r="N91" i="35"/>
  <c r="N92" i="35"/>
  <c r="N93" i="35"/>
  <c r="N94" i="35"/>
  <c r="N95" i="35"/>
  <c r="N97" i="35"/>
  <c r="N98" i="35"/>
  <c r="N99" i="35"/>
  <c r="N100" i="35"/>
  <c r="N101" i="35"/>
  <c r="N102" i="35"/>
  <c r="N103" i="35"/>
  <c r="N104" i="35"/>
  <c r="N105" i="35"/>
  <c r="N106" i="35"/>
  <c r="N107" i="35"/>
  <c r="N108" i="35"/>
  <c r="N109" i="35"/>
  <c r="N110" i="35"/>
  <c r="N111" i="35"/>
  <c r="N112" i="35"/>
  <c r="N113" i="35"/>
  <c r="N115" i="35"/>
  <c r="N116" i="35"/>
  <c r="N117" i="35"/>
  <c r="N118" i="35"/>
  <c r="N119" i="35"/>
  <c r="N120" i="35"/>
  <c r="N121" i="35"/>
  <c r="N122" i="35"/>
  <c r="N123" i="35"/>
  <c r="N124" i="35"/>
  <c r="N125" i="35"/>
  <c r="N126" i="35"/>
  <c r="N127" i="35"/>
  <c r="N128" i="35"/>
  <c r="N129" i="35"/>
  <c r="N130" i="35"/>
  <c r="N131" i="35"/>
  <c r="N133" i="35"/>
  <c r="N134" i="35"/>
  <c r="N135" i="35"/>
  <c r="N136" i="35"/>
  <c r="N137" i="35"/>
  <c r="N138" i="35"/>
  <c r="N139" i="35"/>
  <c r="N140" i="35"/>
  <c r="N141" i="35"/>
  <c r="N142" i="35"/>
  <c r="N143" i="35"/>
  <c r="N144" i="35"/>
  <c r="N145" i="35"/>
  <c r="N146" i="35"/>
  <c r="N147" i="35"/>
  <c r="N148" i="35"/>
  <c r="N149" i="35"/>
  <c r="N150" i="35"/>
  <c r="M219" i="35"/>
  <c r="N219" i="35"/>
  <c r="N220" i="35"/>
  <c r="N221" i="35"/>
  <c r="N222" i="35"/>
  <c r="N223" i="35"/>
  <c r="N224" i="35"/>
  <c r="N225" i="35"/>
  <c r="N226" i="35"/>
  <c r="N227" i="35"/>
  <c r="N228" i="35"/>
  <c r="N229" i="35"/>
  <c r="N230" i="35"/>
  <c r="N231" i="35"/>
  <c r="N232" i="35"/>
  <c r="N233" i="35"/>
  <c r="N234" i="35"/>
  <c r="N235" i="35"/>
  <c r="M247" i="35"/>
  <c r="N247" i="35"/>
  <c r="N248" i="35"/>
  <c r="N249" i="35"/>
  <c r="N250" i="35"/>
  <c r="N251" i="35"/>
  <c r="N252" i="35"/>
  <c r="N253" i="35"/>
  <c r="N254" i="35"/>
  <c r="N255" i="35"/>
  <c r="N256" i="35"/>
  <c r="N257" i="35"/>
  <c r="N258" i="35"/>
  <c r="N259" i="35"/>
  <c r="N260" i="35"/>
  <c r="N261" i="35"/>
  <c r="N262" i="35"/>
  <c r="N263" i="35"/>
  <c r="M275" i="35"/>
  <c r="N275" i="35"/>
  <c r="N276" i="35"/>
  <c r="N277" i="35"/>
  <c r="N278" i="35"/>
  <c r="N279" i="35"/>
  <c r="N280" i="35"/>
  <c r="N281" i="35"/>
  <c r="N282" i="35"/>
  <c r="N283" i="35"/>
  <c r="M291" i="35"/>
  <c r="N291" i="35"/>
  <c r="N292" i="35"/>
  <c r="N293" i="35"/>
  <c r="N294" i="35"/>
  <c r="N295" i="35"/>
  <c r="M301" i="35"/>
  <c r="N301" i="35"/>
  <c r="N302" i="35"/>
  <c r="M308" i="35"/>
  <c r="Q6" i="35"/>
  <c r="Q24" i="35"/>
  <c r="Q42" i="35"/>
  <c r="Q60" i="35"/>
  <c r="Q78" i="35"/>
  <c r="Q96" i="35"/>
  <c r="Q114" i="35"/>
  <c r="Q132" i="35"/>
  <c r="Q7" i="35"/>
  <c r="Q8" i="35"/>
  <c r="Q9" i="35"/>
  <c r="Q10" i="35"/>
  <c r="Q11" i="35"/>
  <c r="Q12" i="35"/>
  <c r="Q13" i="35"/>
  <c r="Q14" i="35"/>
  <c r="Q15" i="35"/>
  <c r="Q16" i="35"/>
  <c r="Q17" i="35"/>
  <c r="Q18" i="35"/>
  <c r="Q19" i="35"/>
  <c r="Q20" i="35"/>
  <c r="Q21" i="35"/>
  <c r="Q22" i="35"/>
  <c r="Q23" i="35"/>
  <c r="Q25" i="35"/>
  <c r="Q26" i="35"/>
  <c r="Q27" i="35"/>
  <c r="Q28" i="35"/>
  <c r="Q29" i="35"/>
  <c r="Q30" i="35"/>
  <c r="Q31" i="35"/>
  <c r="Q32" i="35"/>
  <c r="Q33" i="35"/>
  <c r="Q34" i="35"/>
  <c r="Q35" i="35"/>
  <c r="Q36" i="35"/>
  <c r="Q37" i="35"/>
  <c r="Q38" i="35"/>
  <c r="Q39" i="35"/>
  <c r="Q40" i="35"/>
  <c r="Q41" i="35"/>
  <c r="Q43" i="35"/>
  <c r="Q44" i="35"/>
  <c r="Q45" i="35"/>
  <c r="Q46" i="35"/>
  <c r="Q47" i="35"/>
  <c r="Q48" i="35"/>
  <c r="Q49" i="35"/>
  <c r="Q50" i="35"/>
  <c r="Q51" i="35"/>
  <c r="Q52" i="35"/>
  <c r="Q53" i="35"/>
  <c r="Q54" i="35"/>
  <c r="Q55" i="35"/>
  <c r="Q56" i="35"/>
  <c r="Q57" i="35"/>
  <c r="Q58" i="35"/>
  <c r="Q59" i="35"/>
  <c r="Q61" i="35"/>
  <c r="Q62" i="35"/>
  <c r="Q63" i="35"/>
  <c r="Q64" i="35"/>
  <c r="Q65" i="35"/>
  <c r="Q66" i="35"/>
  <c r="Q67" i="35"/>
  <c r="Q68" i="35"/>
  <c r="Q69" i="35"/>
  <c r="Q70" i="35"/>
  <c r="Q71" i="35"/>
  <c r="Q72" i="35"/>
  <c r="Q73" i="35"/>
  <c r="Q74" i="35"/>
  <c r="Q75" i="35"/>
  <c r="Q76" i="35"/>
  <c r="Q77" i="35"/>
  <c r="Q79" i="35"/>
  <c r="Q80" i="35"/>
  <c r="Q81" i="35"/>
  <c r="Q82" i="35"/>
  <c r="Q83" i="35"/>
  <c r="Q84" i="35"/>
  <c r="Q85" i="35"/>
  <c r="Q86" i="35"/>
  <c r="Q87" i="35"/>
  <c r="Q88" i="35"/>
  <c r="Q89" i="35"/>
  <c r="Q90" i="35"/>
  <c r="Q91" i="35"/>
  <c r="Q92" i="35"/>
  <c r="Q93" i="35"/>
  <c r="Q94" i="35"/>
  <c r="Q95" i="35"/>
  <c r="Q97" i="35"/>
  <c r="Q98" i="35"/>
  <c r="Q99" i="35"/>
  <c r="Q100" i="35"/>
  <c r="Q101" i="35"/>
  <c r="Q102" i="35"/>
  <c r="Q103" i="35"/>
  <c r="Q104" i="35"/>
  <c r="Q105" i="35"/>
  <c r="Q106" i="35"/>
  <c r="Q107" i="35"/>
  <c r="Q108" i="35"/>
  <c r="Q109" i="35"/>
  <c r="Q110" i="35"/>
  <c r="Q111" i="35"/>
  <c r="Q112" i="35"/>
  <c r="Q113" i="35"/>
  <c r="Q115" i="35"/>
  <c r="Q116" i="35"/>
  <c r="Q117" i="35"/>
  <c r="Q118" i="35"/>
  <c r="Q119" i="35"/>
  <c r="Q120" i="35"/>
  <c r="Q121" i="35"/>
  <c r="Q122" i="35"/>
  <c r="Q123" i="35"/>
  <c r="Q124" i="35"/>
  <c r="Q125" i="35"/>
  <c r="Q126" i="35"/>
  <c r="Q127" i="35"/>
  <c r="Q128" i="35"/>
  <c r="Q129" i="35"/>
  <c r="Q130" i="35"/>
  <c r="Q131" i="35"/>
  <c r="Q133" i="35"/>
  <c r="Q134" i="35"/>
  <c r="Q135" i="35"/>
  <c r="Q136" i="35"/>
  <c r="Q137" i="35"/>
  <c r="Q138" i="35"/>
  <c r="Q139" i="35"/>
  <c r="Q140" i="35"/>
  <c r="Q141" i="35"/>
  <c r="Q142" i="35"/>
  <c r="Q143" i="35"/>
  <c r="Q144" i="35"/>
  <c r="Q145" i="35"/>
  <c r="Q146" i="35"/>
  <c r="Q147" i="35"/>
  <c r="Q148" i="35"/>
  <c r="Q149" i="35"/>
  <c r="Q150" i="35"/>
  <c r="P219" i="35"/>
  <c r="Q219" i="35"/>
  <c r="Q220" i="35"/>
  <c r="Q221" i="35"/>
  <c r="Q222" i="35"/>
  <c r="Q223" i="35"/>
  <c r="Q224" i="35"/>
  <c r="Q225" i="35"/>
  <c r="Q226" i="35"/>
  <c r="Q227" i="35"/>
  <c r="Q228" i="35"/>
  <c r="Q229" i="35"/>
  <c r="Q230" i="35"/>
  <c r="Q231" i="35"/>
  <c r="Q232" i="35"/>
  <c r="Q233" i="35"/>
  <c r="Q234" i="35"/>
  <c r="Q235" i="35"/>
  <c r="P247" i="35"/>
  <c r="Q247" i="35"/>
  <c r="Q248" i="35"/>
  <c r="Q249" i="35"/>
  <c r="Q250" i="35"/>
  <c r="Q251" i="35"/>
  <c r="Q252" i="35"/>
  <c r="Q253" i="35"/>
  <c r="Q254" i="35"/>
  <c r="Q255" i="35"/>
  <c r="Q256" i="35"/>
  <c r="Q257" i="35"/>
  <c r="Q258" i="35"/>
  <c r="Q259" i="35"/>
  <c r="Q260" i="35"/>
  <c r="Q261" i="35"/>
  <c r="Q262" i="35"/>
  <c r="Q263" i="35"/>
  <c r="P275" i="35"/>
  <c r="Q275" i="35"/>
  <c r="Q276" i="35"/>
  <c r="Q277" i="35"/>
  <c r="Q278" i="35"/>
  <c r="Q279" i="35"/>
  <c r="Q280" i="35"/>
  <c r="Q281" i="35"/>
  <c r="Q282" i="35"/>
  <c r="Q283" i="35"/>
  <c r="P291" i="35"/>
  <c r="Q291" i="35"/>
  <c r="Q292" i="35"/>
  <c r="Q293" i="35"/>
  <c r="Q294" i="35"/>
  <c r="Q295" i="35"/>
  <c r="P301" i="35"/>
  <c r="Q301" i="35"/>
  <c r="Q302" i="35"/>
  <c r="P308" i="35"/>
  <c r="T6" i="35"/>
  <c r="T24" i="35"/>
  <c r="T42" i="35"/>
  <c r="T60" i="35"/>
  <c r="T78" i="35"/>
  <c r="T96" i="35"/>
  <c r="T114" i="35"/>
  <c r="T132" i="35"/>
  <c r="T7" i="35"/>
  <c r="T8" i="35"/>
  <c r="T9" i="35"/>
  <c r="T10" i="35"/>
  <c r="T11" i="35"/>
  <c r="T12" i="35"/>
  <c r="T13" i="35"/>
  <c r="T14" i="35"/>
  <c r="T15" i="35"/>
  <c r="T16" i="35"/>
  <c r="T17" i="35"/>
  <c r="T18" i="35"/>
  <c r="T19" i="35"/>
  <c r="T20" i="35"/>
  <c r="T21" i="35"/>
  <c r="T22" i="35"/>
  <c r="T23" i="35"/>
  <c r="T25" i="35"/>
  <c r="T26" i="35"/>
  <c r="T27" i="35"/>
  <c r="T28" i="35"/>
  <c r="T29" i="35"/>
  <c r="T30" i="35"/>
  <c r="T31" i="35"/>
  <c r="T32" i="35"/>
  <c r="T33" i="35"/>
  <c r="T34" i="35"/>
  <c r="T35" i="35"/>
  <c r="T36" i="35"/>
  <c r="T37" i="35"/>
  <c r="T38" i="35"/>
  <c r="T39" i="35"/>
  <c r="T40" i="35"/>
  <c r="T41" i="35"/>
  <c r="T43" i="35"/>
  <c r="T44" i="35"/>
  <c r="T45" i="35"/>
  <c r="T46" i="35"/>
  <c r="T47" i="35"/>
  <c r="T48" i="35"/>
  <c r="T49" i="35"/>
  <c r="T50" i="35"/>
  <c r="T51" i="35"/>
  <c r="T52" i="35"/>
  <c r="T53" i="35"/>
  <c r="T54" i="35"/>
  <c r="T55" i="35"/>
  <c r="T56" i="35"/>
  <c r="T57" i="35"/>
  <c r="T58" i="35"/>
  <c r="T59" i="35"/>
  <c r="T61" i="35"/>
  <c r="T62" i="35"/>
  <c r="T63" i="35"/>
  <c r="T64" i="35"/>
  <c r="T65" i="35"/>
  <c r="T66" i="35"/>
  <c r="T67" i="35"/>
  <c r="T68" i="35"/>
  <c r="T69" i="35"/>
  <c r="T70" i="35"/>
  <c r="T71" i="35"/>
  <c r="T72" i="35"/>
  <c r="T73" i="35"/>
  <c r="T74" i="35"/>
  <c r="T75" i="35"/>
  <c r="T76" i="35"/>
  <c r="T77" i="35"/>
  <c r="T79" i="35"/>
  <c r="T80" i="35"/>
  <c r="T81" i="35"/>
  <c r="T82" i="35"/>
  <c r="T83" i="35"/>
  <c r="T84" i="35"/>
  <c r="T85" i="35"/>
  <c r="T86" i="35"/>
  <c r="T87" i="35"/>
  <c r="T88" i="35"/>
  <c r="T89" i="35"/>
  <c r="T90" i="35"/>
  <c r="T91" i="35"/>
  <c r="T92" i="35"/>
  <c r="T93" i="35"/>
  <c r="T94" i="35"/>
  <c r="T95" i="35"/>
  <c r="T97" i="35"/>
  <c r="T98" i="35"/>
  <c r="T99" i="35"/>
  <c r="T100" i="35"/>
  <c r="T101" i="35"/>
  <c r="T102" i="35"/>
  <c r="T103" i="35"/>
  <c r="T104" i="35"/>
  <c r="T105" i="35"/>
  <c r="T106" i="35"/>
  <c r="T107" i="35"/>
  <c r="T108" i="35"/>
  <c r="T109" i="35"/>
  <c r="T110" i="35"/>
  <c r="T111" i="35"/>
  <c r="T112" i="35"/>
  <c r="T113" i="35"/>
  <c r="T115" i="35"/>
  <c r="T116" i="35"/>
  <c r="T117" i="35"/>
  <c r="T118" i="35"/>
  <c r="T119" i="35"/>
  <c r="T120" i="35"/>
  <c r="T121" i="35"/>
  <c r="T122" i="35"/>
  <c r="T123" i="35"/>
  <c r="T124" i="35"/>
  <c r="T125" i="35"/>
  <c r="T126" i="35"/>
  <c r="T127" i="35"/>
  <c r="T128" i="35"/>
  <c r="T129" i="35"/>
  <c r="T130" i="35"/>
  <c r="T131" i="35"/>
  <c r="T133" i="35"/>
  <c r="T134" i="35"/>
  <c r="T135" i="35"/>
  <c r="T136" i="35"/>
  <c r="T137" i="35"/>
  <c r="T138" i="35"/>
  <c r="T139" i="35"/>
  <c r="T140" i="35"/>
  <c r="T141" i="35"/>
  <c r="T142" i="35"/>
  <c r="T143" i="35"/>
  <c r="T144" i="35"/>
  <c r="T145" i="35"/>
  <c r="T146" i="35"/>
  <c r="T147" i="35"/>
  <c r="T148" i="35"/>
  <c r="T149" i="35"/>
  <c r="T150" i="35"/>
  <c r="S219" i="35"/>
  <c r="T219" i="35"/>
  <c r="T220" i="35"/>
  <c r="T221" i="35"/>
  <c r="T222" i="35"/>
  <c r="T223" i="35"/>
  <c r="T224" i="35"/>
  <c r="T225" i="35"/>
  <c r="T226" i="35"/>
  <c r="T227" i="35"/>
  <c r="T228" i="35"/>
  <c r="T229" i="35"/>
  <c r="T230" i="35"/>
  <c r="T231" i="35"/>
  <c r="T232" i="35"/>
  <c r="T233" i="35"/>
  <c r="T234" i="35"/>
  <c r="T235" i="35"/>
  <c r="S247" i="35"/>
  <c r="T247" i="35"/>
  <c r="T248" i="35"/>
  <c r="T249" i="35"/>
  <c r="T250" i="35"/>
  <c r="T251" i="35"/>
  <c r="T252" i="35"/>
  <c r="T253" i="35"/>
  <c r="T254" i="35"/>
  <c r="T255" i="35"/>
  <c r="T256" i="35"/>
  <c r="T257" i="35"/>
  <c r="T258" i="35"/>
  <c r="T259" i="35"/>
  <c r="T260" i="35"/>
  <c r="T261" i="35"/>
  <c r="T262" i="35"/>
  <c r="T263" i="35"/>
  <c r="S275" i="35"/>
  <c r="T275" i="35"/>
  <c r="T276" i="35"/>
  <c r="T277" i="35"/>
  <c r="T278" i="35"/>
  <c r="T279" i="35"/>
  <c r="T280" i="35"/>
  <c r="T281" i="35"/>
  <c r="T282" i="35"/>
  <c r="T283" i="35"/>
  <c r="S291" i="35"/>
  <c r="T291" i="35"/>
  <c r="T292" i="35"/>
  <c r="T293" i="35"/>
  <c r="T294" i="35"/>
  <c r="T295" i="35"/>
  <c r="S301" i="35"/>
  <c r="T301" i="35"/>
  <c r="T302" i="35"/>
  <c r="S308" i="35"/>
  <c r="W6" i="35"/>
  <c r="W24" i="35"/>
  <c r="W42" i="35"/>
  <c r="W60" i="35"/>
  <c r="W78" i="35"/>
  <c r="W96" i="35"/>
  <c r="W114" i="35"/>
  <c r="W132" i="35"/>
  <c r="W7" i="35"/>
  <c r="W8" i="35"/>
  <c r="W9" i="35"/>
  <c r="W10" i="35"/>
  <c r="W11" i="35"/>
  <c r="W12" i="35"/>
  <c r="W13" i="35"/>
  <c r="W14" i="35"/>
  <c r="W15" i="35"/>
  <c r="W16" i="35"/>
  <c r="W17" i="35"/>
  <c r="W18" i="35"/>
  <c r="W19" i="35"/>
  <c r="W20" i="35"/>
  <c r="W21" i="35"/>
  <c r="W22" i="35"/>
  <c r="W23" i="35"/>
  <c r="W25" i="35"/>
  <c r="W26" i="35"/>
  <c r="W27" i="35"/>
  <c r="W28" i="35"/>
  <c r="W29" i="35"/>
  <c r="W30" i="35"/>
  <c r="W31" i="35"/>
  <c r="W32" i="35"/>
  <c r="W33" i="35"/>
  <c r="W34" i="35"/>
  <c r="W35" i="35"/>
  <c r="W36" i="35"/>
  <c r="W37" i="35"/>
  <c r="W38" i="35"/>
  <c r="W39" i="35"/>
  <c r="W40" i="35"/>
  <c r="W41" i="35"/>
  <c r="W43" i="35"/>
  <c r="W44" i="35"/>
  <c r="W45" i="35"/>
  <c r="W46" i="35"/>
  <c r="W47" i="35"/>
  <c r="W48" i="35"/>
  <c r="W49" i="35"/>
  <c r="W50" i="35"/>
  <c r="W51" i="35"/>
  <c r="W52" i="35"/>
  <c r="W53" i="35"/>
  <c r="W54" i="35"/>
  <c r="W55" i="35"/>
  <c r="W56" i="35"/>
  <c r="W57" i="35"/>
  <c r="W58" i="35"/>
  <c r="W59" i="35"/>
  <c r="W61" i="35"/>
  <c r="W62" i="35"/>
  <c r="W63" i="35"/>
  <c r="W64" i="35"/>
  <c r="W65" i="35"/>
  <c r="W66" i="35"/>
  <c r="W67" i="35"/>
  <c r="W68" i="35"/>
  <c r="W69" i="35"/>
  <c r="W70" i="35"/>
  <c r="W71" i="35"/>
  <c r="W72" i="35"/>
  <c r="W73" i="35"/>
  <c r="W74" i="35"/>
  <c r="W75" i="35"/>
  <c r="W76" i="35"/>
  <c r="W77" i="35"/>
  <c r="W79" i="35"/>
  <c r="W80" i="35"/>
  <c r="W81" i="35"/>
  <c r="W82" i="35"/>
  <c r="W83" i="35"/>
  <c r="W84" i="35"/>
  <c r="W85" i="35"/>
  <c r="W86" i="35"/>
  <c r="W87" i="35"/>
  <c r="W88" i="35"/>
  <c r="W89" i="35"/>
  <c r="W90" i="35"/>
  <c r="W91" i="35"/>
  <c r="W92" i="35"/>
  <c r="W93" i="35"/>
  <c r="W94" i="35"/>
  <c r="W95" i="35"/>
  <c r="W97" i="35"/>
  <c r="W98" i="35"/>
  <c r="W99" i="35"/>
  <c r="W100" i="35"/>
  <c r="W101" i="35"/>
  <c r="W102" i="35"/>
  <c r="W103" i="35"/>
  <c r="W104" i="35"/>
  <c r="W105" i="35"/>
  <c r="W106" i="35"/>
  <c r="W107" i="35"/>
  <c r="W108" i="35"/>
  <c r="W109" i="35"/>
  <c r="W110" i="35"/>
  <c r="W111" i="35"/>
  <c r="W112" i="35"/>
  <c r="W113" i="35"/>
  <c r="W115" i="35"/>
  <c r="W116" i="35"/>
  <c r="W117" i="35"/>
  <c r="W118" i="35"/>
  <c r="W119" i="35"/>
  <c r="W120" i="35"/>
  <c r="W121" i="35"/>
  <c r="W122" i="35"/>
  <c r="W123" i="35"/>
  <c r="W124" i="35"/>
  <c r="W125" i="35"/>
  <c r="W126" i="35"/>
  <c r="W127" i="35"/>
  <c r="W128" i="35"/>
  <c r="W129" i="35"/>
  <c r="W130" i="35"/>
  <c r="W131" i="35"/>
  <c r="W133" i="35"/>
  <c r="W134" i="35"/>
  <c r="W135" i="35"/>
  <c r="W136" i="35"/>
  <c r="W137" i="35"/>
  <c r="W138" i="35"/>
  <c r="W139" i="35"/>
  <c r="W140" i="35"/>
  <c r="W141" i="35"/>
  <c r="W142" i="35"/>
  <c r="W143" i="35"/>
  <c r="W144" i="35"/>
  <c r="W145" i="35"/>
  <c r="W146" i="35"/>
  <c r="W147" i="35"/>
  <c r="W148" i="35"/>
  <c r="W149" i="35"/>
  <c r="W150" i="35"/>
  <c r="V219" i="35"/>
  <c r="W219" i="35"/>
  <c r="W220" i="35"/>
  <c r="W221" i="35"/>
  <c r="W222" i="35"/>
  <c r="W223" i="35"/>
  <c r="W224" i="35"/>
  <c r="W225" i="35"/>
  <c r="W226" i="35"/>
  <c r="W227" i="35"/>
  <c r="W228" i="35"/>
  <c r="W229" i="35"/>
  <c r="W230" i="35"/>
  <c r="W231" i="35"/>
  <c r="W232" i="35"/>
  <c r="W233" i="35"/>
  <c r="W234" i="35"/>
  <c r="W235" i="35"/>
  <c r="V247" i="35"/>
  <c r="W247" i="35"/>
  <c r="W248" i="35"/>
  <c r="W249" i="35"/>
  <c r="W250" i="35"/>
  <c r="W251" i="35"/>
  <c r="W252" i="35"/>
  <c r="W253" i="35"/>
  <c r="W254" i="35"/>
  <c r="W255" i="35"/>
  <c r="W256" i="35"/>
  <c r="W257" i="35"/>
  <c r="W258" i="35"/>
  <c r="W259" i="35"/>
  <c r="W260" i="35"/>
  <c r="W261" i="35"/>
  <c r="W262" i="35"/>
  <c r="W263" i="35"/>
  <c r="V275" i="35"/>
  <c r="W275" i="35"/>
  <c r="W276" i="35"/>
  <c r="W277" i="35"/>
  <c r="W278" i="35"/>
  <c r="W279" i="35"/>
  <c r="W280" i="35"/>
  <c r="W281" i="35"/>
  <c r="W282" i="35"/>
  <c r="W283" i="35"/>
  <c r="V291" i="35"/>
  <c r="W291" i="35"/>
  <c r="W292" i="35"/>
  <c r="W293" i="35"/>
  <c r="W294" i="35"/>
  <c r="W295" i="35"/>
  <c r="V301" i="35"/>
  <c r="W301" i="35"/>
  <c r="W302" i="35"/>
  <c r="V308" i="35"/>
  <c r="Z6" i="35"/>
  <c r="Z24" i="35"/>
  <c r="Z42" i="35"/>
  <c r="Z60" i="35"/>
  <c r="Z78" i="35"/>
  <c r="Z96" i="35"/>
  <c r="Z114" i="35"/>
  <c r="Z132" i="35"/>
  <c r="Z7" i="35"/>
  <c r="Z8" i="35"/>
  <c r="Z9" i="35"/>
  <c r="Z10" i="35"/>
  <c r="Z11" i="35"/>
  <c r="Z12" i="35"/>
  <c r="Z13" i="35"/>
  <c r="Z14" i="35"/>
  <c r="Z15" i="35"/>
  <c r="Z16" i="35"/>
  <c r="Z17" i="35"/>
  <c r="Z18" i="35"/>
  <c r="Z19" i="35"/>
  <c r="Z20" i="35"/>
  <c r="Z21" i="35"/>
  <c r="Z22" i="35"/>
  <c r="Z23" i="35"/>
  <c r="Z25" i="35"/>
  <c r="Z26" i="35"/>
  <c r="Z27" i="35"/>
  <c r="Z28" i="35"/>
  <c r="Z29" i="35"/>
  <c r="Z30" i="35"/>
  <c r="Z31" i="35"/>
  <c r="Z32" i="35"/>
  <c r="Z33" i="35"/>
  <c r="Z34" i="35"/>
  <c r="Z35" i="35"/>
  <c r="Z36" i="35"/>
  <c r="Z37" i="35"/>
  <c r="Z38" i="35"/>
  <c r="Z39" i="35"/>
  <c r="Z40" i="35"/>
  <c r="Z41" i="35"/>
  <c r="Z43" i="35"/>
  <c r="Z44" i="35"/>
  <c r="Z45" i="35"/>
  <c r="Z46" i="35"/>
  <c r="Z47" i="35"/>
  <c r="Z48" i="35"/>
  <c r="Z49" i="35"/>
  <c r="Z50" i="35"/>
  <c r="Z51" i="35"/>
  <c r="Z52" i="35"/>
  <c r="Z53" i="35"/>
  <c r="Z54" i="35"/>
  <c r="Z55" i="35"/>
  <c r="Z56" i="35"/>
  <c r="Z57" i="35"/>
  <c r="Z58" i="35"/>
  <c r="Z59" i="35"/>
  <c r="Z61" i="35"/>
  <c r="Z62" i="35"/>
  <c r="Z63" i="35"/>
  <c r="Z64" i="35"/>
  <c r="Z65" i="35"/>
  <c r="Z66" i="35"/>
  <c r="Z67" i="35"/>
  <c r="Z68" i="35"/>
  <c r="Z69" i="35"/>
  <c r="Z70" i="35"/>
  <c r="Z71" i="35"/>
  <c r="Z72" i="35"/>
  <c r="Z73" i="35"/>
  <c r="Z74" i="35"/>
  <c r="Z75" i="35"/>
  <c r="Z76" i="35"/>
  <c r="Z77" i="35"/>
  <c r="Z79" i="35"/>
  <c r="Z80" i="35"/>
  <c r="Z81" i="35"/>
  <c r="Z82" i="35"/>
  <c r="Z83" i="35"/>
  <c r="Z84" i="35"/>
  <c r="Z85" i="35"/>
  <c r="Z86" i="35"/>
  <c r="Z87" i="35"/>
  <c r="Z88" i="35"/>
  <c r="Z89" i="35"/>
  <c r="Z90" i="35"/>
  <c r="Z91" i="35"/>
  <c r="Z92" i="35"/>
  <c r="Z93" i="35"/>
  <c r="Z94" i="35"/>
  <c r="Z95" i="35"/>
  <c r="Z97" i="35"/>
  <c r="Z98" i="35"/>
  <c r="Z99" i="35"/>
  <c r="Z100" i="35"/>
  <c r="Z101" i="35"/>
  <c r="Z102" i="35"/>
  <c r="Z103" i="35"/>
  <c r="Z104" i="35"/>
  <c r="Z105" i="35"/>
  <c r="Z106" i="35"/>
  <c r="Z107" i="35"/>
  <c r="Z108" i="35"/>
  <c r="Z109" i="35"/>
  <c r="Z110" i="35"/>
  <c r="Z111" i="35"/>
  <c r="Z112" i="35"/>
  <c r="Z113" i="35"/>
  <c r="Z115" i="35"/>
  <c r="Z116" i="35"/>
  <c r="Z117" i="35"/>
  <c r="Z118" i="35"/>
  <c r="Z119" i="35"/>
  <c r="Z120" i="35"/>
  <c r="Z121" i="35"/>
  <c r="Z122" i="35"/>
  <c r="Z123" i="35"/>
  <c r="Z124" i="35"/>
  <c r="Z125" i="35"/>
  <c r="Z126" i="35"/>
  <c r="Z127" i="35"/>
  <c r="Z128" i="35"/>
  <c r="Z129" i="35"/>
  <c r="Z130" i="35"/>
  <c r="Z131" i="35"/>
  <c r="Z133" i="35"/>
  <c r="Z134" i="35"/>
  <c r="Z135" i="35"/>
  <c r="Z136" i="35"/>
  <c r="Z137" i="35"/>
  <c r="Z138" i="35"/>
  <c r="Z139" i="35"/>
  <c r="Z140" i="35"/>
  <c r="Z141" i="35"/>
  <c r="Z142" i="35"/>
  <c r="Z143" i="35"/>
  <c r="Z144" i="35"/>
  <c r="Z145" i="35"/>
  <c r="Z146" i="35"/>
  <c r="Z147" i="35"/>
  <c r="Z148" i="35"/>
  <c r="Z149" i="35"/>
  <c r="Z150" i="35"/>
  <c r="Y219" i="35"/>
  <c r="Z219" i="35"/>
  <c r="Z220" i="35"/>
  <c r="Z221" i="35"/>
  <c r="Z222" i="35"/>
  <c r="Z223" i="35"/>
  <c r="Z224" i="35"/>
  <c r="Z225" i="35"/>
  <c r="Z226" i="35"/>
  <c r="Z227" i="35"/>
  <c r="Z228" i="35"/>
  <c r="Z229" i="35"/>
  <c r="Z230" i="35"/>
  <c r="Z231" i="35"/>
  <c r="Z232" i="35"/>
  <c r="Z233" i="35"/>
  <c r="Z234" i="35"/>
  <c r="Z235" i="35"/>
  <c r="Y247" i="35"/>
  <c r="Z247" i="35"/>
  <c r="Z248" i="35"/>
  <c r="Z249" i="35"/>
  <c r="Z250" i="35"/>
  <c r="Z251" i="35"/>
  <c r="Z252" i="35"/>
  <c r="Z253" i="35"/>
  <c r="Z254" i="35"/>
  <c r="Z255" i="35"/>
  <c r="Z256" i="35"/>
  <c r="Z257" i="35"/>
  <c r="Z258" i="35"/>
  <c r="Z259" i="35"/>
  <c r="Z260" i="35"/>
  <c r="Z261" i="35"/>
  <c r="Z262" i="35"/>
  <c r="Z263" i="35"/>
  <c r="Y275" i="35"/>
  <c r="Z275" i="35"/>
  <c r="Z276" i="35"/>
  <c r="Z277" i="35"/>
  <c r="Z278" i="35"/>
  <c r="Z279" i="35"/>
  <c r="Z280" i="35"/>
  <c r="Z281" i="35"/>
  <c r="Z282" i="35"/>
  <c r="Z283" i="35"/>
  <c r="Y291" i="35"/>
  <c r="Z291" i="35"/>
  <c r="Z292" i="35"/>
  <c r="Z293" i="35"/>
  <c r="Z294" i="35"/>
  <c r="Z295" i="35"/>
  <c r="Y301" i="35"/>
  <c r="Z301" i="35"/>
  <c r="Z302" i="35"/>
  <c r="Y308" i="35"/>
  <c r="AC6" i="35"/>
  <c r="AC24" i="35"/>
  <c r="AC42" i="35"/>
  <c r="AC60" i="35"/>
  <c r="AC78" i="35"/>
  <c r="AC96" i="35"/>
  <c r="AC114" i="35"/>
  <c r="AC132" i="35"/>
  <c r="AC7" i="35"/>
  <c r="AC8" i="35"/>
  <c r="AC9" i="35"/>
  <c r="AC10" i="35"/>
  <c r="AC11" i="35"/>
  <c r="AC12" i="35"/>
  <c r="AC13" i="35"/>
  <c r="AC14" i="35"/>
  <c r="AC15" i="35"/>
  <c r="AC16" i="35"/>
  <c r="AC17" i="35"/>
  <c r="AC18" i="35"/>
  <c r="AC19" i="35"/>
  <c r="AC20" i="35"/>
  <c r="AC21" i="35"/>
  <c r="AC22" i="35"/>
  <c r="AC23" i="35"/>
  <c r="AC25" i="35"/>
  <c r="AC26" i="35"/>
  <c r="AC27" i="35"/>
  <c r="AC28" i="35"/>
  <c r="AC29" i="35"/>
  <c r="AC30" i="35"/>
  <c r="AC31" i="35"/>
  <c r="AC32" i="35"/>
  <c r="AC33" i="35"/>
  <c r="AC34" i="35"/>
  <c r="AC35" i="35"/>
  <c r="AC36" i="35"/>
  <c r="AC37" i="35"/>
  <c r="AC38" i="35"/>
  <c r="AC39" i="35"/>
  <c r="AC40" i="35"/>
  <c r="AC41" i="35"/>
  <c r="AC43" i="35"/>
  <c r="AC44" i="35"/>
  <c r="AC45" i="35"/>
  <c r="AC46" i="35"/>
  <c r="AC47" i="35"/>
  <c r="AC48" i="35"/>
  <c r="AC49" i="35"/>
  <c r="AC50" i="35"/>
  <c r="AC51" i="35"/>
  <c r="AC52" i="35"/>
  <c r="AC53" i="35"/>
  <c r="AC54" i="35"/>
  <c r="AC55" i="35"/>
  <c r="AC56" i="35"/>
  <c r="AC57" i="35"/>
  <c r="AC58" i="35"/>
  <c r="AC59" i="35"/>
  <c r="AC61" i="35"/>
  <c r="AC62" i="35"/>
  <c r="AC63" i="35"/>
  <c r="AC64" i="35"/>
  <c r="AC65" i="35"/>
  <c r="AC66" i="35"/>
  <c r="AC67" i="35"/>
  <c r="AC68" i="35"/>
  <c r="AC69" i="35"/>
  <c r="AC70" i="35"/>
  <c r="AC71" i="35"/>
  <c r="AC72" i="35"/>
  <c r="AC73" i="35"/>
  <c r="AC74" i="35"/>
  <c r="AC75" i="35"/>
  <c r="AC76" i="35"/>
  <c r="AC77" i="35"/>
  <c r="AC79" i="35"/>
  <c r="AC80" i="35"/>
  <c r="AC81" i="35"/>
  <c r="AC82" i="35"/>
  <c r="AC83" i="35"/>
  <c r="AC84" i="35"/>
  <c r="AC85" i="35"/>
  <c r="AC86" i="35"/>
  <c r="AC87" i="35"/>
  <c r="AC88" i="35"/>
  <c r="AC89" i="35"/>
  <c r="AC90" i="35"/>
  <c r="AC91" i="35"/>
  <c r="AC92" i="35"/>
  <c r="AC93" i="35"/>
  <c r="AC94" i="35"/>
  <c r="AC95" i="35"/>
  <c r="AC97" i="35"/>
  <c r="AC98" i="35"/>
  <c r="AC99" i="35"/>
  <c r="AC100" i="35"/>
  <c r="AC101" i="35"/>
  <c r="AC102" i="35"/>
  <c r="AC103" i="35"/>
  <c r="AC104" i="35"/>
  <c r="AC105" i="35"/>
  <c r="AC106" i="35"/>
  <c r="AC107" i="35"/>
  <c r="AC108" i="35"/>
  <c r="AC109" i="35"/>
  <c r="AC110" i="35"/>
  <c r="AC111" i="35"/>
  <c r="AC112" i="35"/>
  <c r="AC113" i="35"/>
  <c r="AC115" i="35"/>
  <c r="AC116" i="35"/>
  <c r="AC117" i="35"/>
  <c r="AC118" i="35"/>
  <c r="AC119" i="35"/>
  <c r="AC120" i="35"/>
  <c r="AC121" i="35"/>
  <c r="AC122" i="35"/>
  <c r="AC123" i="35"/>
  <c r="AC124" i="35"/>
  <c r="AC125" i="35"/>
  <c r="AC126" i="35"/>
  <c r="AC127" i="35"/>
  <c r="AC128" i="35"/>
  <c r="AC129" i="35"/>
  <c r="AC130" i="35"/>
  <c r="AC131" i="35"/>
  <c r="AC133" i="35"/>
  <c r="AC134" i="35"/>
  <c r="AC135" i="35"/>
  <c r="AC136" i="35"/>
  <c r="AC137" i="35"/>
  <c r="AC138" i="35"/>
  <c r="AC139" i="35"/>
  <c r="AC140" i="35"/>
  <c r="AC141" i="35"/>
  <c r="AC142" i="35"/>
  <c r="AC143" i="35"/>
  <c r="AC144" i="35"/>
  <c r="AC145" i="35"/>
  <c r="AC146" i="35"/>
  <c r="AC147" i="35"/>
  <c r="AC148" i="35"/>
  <c r="AC149" i="35"/>
  <c r="AC150" i="35"/>
  <c r="AB219" i="35"/>
  <c r="AC219" i="35"/>
  <c r="AC220" i="35"/>
  <c r="AC221" i="35"/>
  <c r="AC222" i="35"/>
  <c r="AC223" i="35"/>
  <c r="AC224" i="35"/>
  <c r="AC225" i="35"/>
  <c r="AC226" i="35"/>
  <c r="AC227" i="35"/>
  <c r="AC228" i="35"/>
  <c r="AC229" i="35"/>
  <c r="AC230" i="35"/>
  <c r="AC231" i="35"/>
  <c r="AC232" i="35"/>
  <c r="AC233" i="35"/>
  <c r="AC234" i="35"/>
  <c r="AC235" i="35"/>
  <c r="AB247" i="35"/>
  <c r="AC247" i="35"/>
  <c r="AC248" i="35"/>
  <c r="AC249" i="35"/>
  <c r="AC250" i="35"/>
  <c r="AC251" i="35"/>
  <c r="AC252" i="35"/>
  <c r="AC253" i="35"/>
  <c r="AC254" i="35"/>
  <c r="AC255" i="35"/>
  <c r="AC256" i="35"/>
  <c r="AC257" i="35"/>
  <c r="AC258" i="35"/>
  <c r="AC259" i="35"/>
  <c r="AC260" i="35"/>
  <c r="AC261" i="35"/>
  <c r="AC262" i="35"/>
  <c r="AC263" i="35"/>
  <c r="AB275" i="35"/>
  <c r="AC275" i="35"/>
  <c r="AC276" i="35"/>
  <c r="AC277" i="35"/>
  <c r="AC278" i="35"/>
  <c r="AC279" i="35"/>
  <c r="AC280" i="35"/>
  <c r="AC281" i="35"/>
  <c r="AC282" i="35"/>
  <c r="AC283" i="35"/>
  <c r="AB291" i="35"/>
  <c r="AC291" i="35"/>
  <c r="AC292" i="35"/>
  <c r="AC293" i="35"/>
  <c r="AC294" i="35"/>
  <c r="AC295" i="35"/>
  <c r="AB301" i="35"/>
  <c r="AC301" i="35"/>
  <c r="AC302" i="35"/>
  <c r="AB308" i="35"/>
  <c r="AF6" i="35"/>
  <c r="AF24" i="35"/>
  <c r="AF42" i="35"/>
  <c r="AF60" i="35"/>
  <c r="AF78" i="35"/>
  <c r="AF96" i="35"/>
  <c r="AF114" i="35"/>
  <c r="AF132" i="35"/>
  <c r="AF7" i="35"/>
  <c r="AF8" i="35"/>
  <c r="AF9" i="35"/>
  <c r="AF10" i="35"/>
  <c r="AF11" i="35"/>
  <c r="AF12" i="35"/>
  <c r="AF13" i="35"/>
  <c r="AF14" i="35"/>
  <c r="AF15" i="35"/>
  <c r="AF16" i="35"/>
  <c r="AF17" i="35"/>
  <c r="AF18" i="35"/>
  <c r="AF19" i="35"/>
  <c r="AF20" i="35"/>
  <c r="AF21" i="35"/>
  <c r="AF22" i="35"/>
  <c r="AF23" i="35"/>
  <c r="AF25" i="35"/>
  <c r="AF26" i="35"/>
  <c r="AF27" i="35"/>
  <c r="AF28" i="35"/>
  <c r="AF29" i="35"/>
  <c r="AF30" i="35"/>
  <c r="AF31" i="35"/>
  <c r="AF32" i="35"/>
  <c r="AF33" i="35"/>
  <c r="AF34" i="35"/>
  <c r="AF35" i="35"/>
  <c r="AF36" i="35"/>
  <c r="AF37" i="35"/>
  <c r="AF38" i="35"/>
  <c r="AF39" i="35"/>
  <c r="AF40" i="35"/>
  <c r="AF41" i="35"/>
  <c r="AF43" i="35"/>
  <c r="AF44" i="35"/>
  <c r="AF45" i="35"/>
  <c r="AF46" i="35"/>
  <c r="AF47" i="35"/>
  <c r="AF48" i="35"/>
  <c r="AF49" i="35"/>
  <c r="AF50" i="35"/>
  <c r="AF51" i="35"/>
  <c r="AF52" i="35"/>
  <c r="AF53" i="35"/>
  <c r="AF54" i="35"/>
  <c r="AF55" i="35"/>
  <c r="AF56" i="35"/>
  <c r="AF57" i="35"/>
  <c r="AF58" i="35"/>
  <c r="AF59" i="35"/>
  <c r="AF61" i="35"/>
  <c r="AF62" i="35"/>
  <c r="AF63" i="35"/>
  <c r="AF64" i="35"/>
  <c r="AF65" i="35"/>
  <c r="AF66" i="35"/>
  <c r="AF67" i="35"/>
  <c r="AF68" i="35"/>
  <c r="AF69" i="35"/>
  <c r="AF70" i="35"/>
  <c r="AF71" i="35"/>
  <c r="AF72" i="35"/>
  <c r="AF73" i="35"/>
  <c r="AF74" i="35"/>
  <c r="AF75" i="35"/>
  <c r="AF76" i="35"/>
  <c r="AF77" i="35"/>
  <c r="AF79" i="35"/>
  <c r="AF80" i="35"/>
  <c r="AF81" i="35"/>
  <c r="AF82" i="35"/>
  <c r="AF83" i="35"/>
  <c r="AF84" i="35"/>
  <c r="AF85" i="35"/>
  <c r="AF86" i="35"/>
  <c r="AF87" i="35"/>
  <c r="AF88" i="35"/>
  <c r="AF89" i="35"/>
  <c r="AF90" i="35"/>
  <c r="AF91" i="35"/>
  <c r="AF92" i="35"/>
  <c r="AF93" i="35"/>
  <c r="AF94" i="35"/>
  <c r="AF95" i="35"/>
  <c r="AF97" i="35"/>
  <c r="AF98" i="35"/>
  <c r="AF99" i="35"/>
  <c r="AF100" i="35"/>
  <c r="AF101" i="35"/>
  <c r="AF102" i="35"/>
  <c r="AF103" i="35"/>
  <c r="AF104" i="35"/>
  <c r="AF105" i="35"/>
  <c r="AF106" i="35"/>
  <c r="AF107" i="35"/>
  <c r="AF108" i="35"/>
  <c r="AF109" i="35"/>
  <c r="AF110" i="35"/>
  <c r="AF111" i="35"/>
  <c r="AF112" i="35"/>
  <c r="AF113" i="35"/>
  <c r="AF115" i="35"/>
  <c r="AF116" i="35"/>
  <c r="AF117" i="35"/>
  <c r="AF118" i="35"/>
  <c r="AF119" i="35"/>
  <c r="AF120" i="35"/>
  <c r="AF121" i="35"/>
  <c r="AF122" i="35"/>
  <c r="AF123" i="35"/>
  <c r="AF124" i="35"/>
  <c r="AF125" i="35"/>
  <c r="AF126" i="35"/>
  <c r="AF127" i="35"/>
  <c r="AF128" i="35"/>
  <c r="AF129" i="35"/>
  <c r="AF130" i="35"/>
  <c r="AF131" i="35"/>
  <c r="AF133" i="35"/>
  <c r="AF134" i="35"/>
  <c r="AF135" i="35"/>
  <c r="AF136" i="35"/>
  <c r="AF137" i="35"/>
  <c r="AF138" i="35"/>
  <c r="AF139" i="35"/>
  <c r="AF140" i="35"/>
  <c r="AF141" i="35"/>
  <c r="AF142" i="35"/>
  <c r="AF143" i="35"/>
  <c r="AF144" i="35"/>
  <c r="AF145" i="35"/>
  <c r="AF146" i="35"/>
  <c r="AF147" i="35"/>
  <c r="AF148" i="35"/>
  <c r="AF149" i="35"/>
  <c r="AF150" i="35"/>
  <c r="AE219" i="35"/>
  <c r="AF219" i="35"/>
  <c r="AF220" i="35"/>
  <c r="AF221" i="35"/>
  <c r="AF222" i="35"/>
  <c r="AF223" i="35"/>
  <c r="AF224" i="35"/>
  <c r="AF225" i="35"/>
  <c r="AF226" i="35"/>
  <c r="AF227" i="35"/>
  <c r="AF228" i="35"/>
  <c r="AF229" i="35"/>
  <c r="AF230" i="35"/>
  <c r="AF231" i="35"/>
  <c r="AF232" i="35"/>
  <c r="AF233" i="35"/>
  <c r="AF234" i="35"/>
  <c r="AF235" i="35"/>
  <c r="AE247" i="35"/>
  <c r="AF247" i="35"/>
  <c r="AF248" i="35"/>
  <c r="AF249" i="35"/>
  <c r="AF250" i="35"/>
  <c r="AF251" i="35"/>
  <c r="AF252" i="35"/>
  <c r="AF253" i="35"/>
  <c r="AF254" i="35"/>
  <c r="AF255" i="35"/>
  <c r="AF256" i="35"/>
  <c r="AF257" i="35"/>
  <c r="AF258" i="35"/>
  <c r="AF259" i="35"/>
  <c r="AF260" i="35"/>
  <c r="AF261" i="35"/>
  <c r="AF262" i="35"/>
  <c r="AF263" i="35"/>
  <c r="AE275" i="35"/>
  <c r="AF275" i="35"/>
  <c r="AF276" i="35"/>
  <c r="AF277" i="35"/>
  <c r="AF278" i="35"/>
  <c r="AF279" i="35"/>
  <c r="AF280" i="35"/>
  <c r="AF281" i="35"/>
  <c r="AF282" i="35"/>
  <c r="AF283" i="35"/>
  <c r="AE291" i="35"/>
  <c r="AF291" i="35"/>
  <c r="AF292" i="35"/>
  <c r="AF293" i="35"/>
  <c r="AF294" i="35"/>
  <c r="AF295" i="35"/>
  <c r="AE301" i="35"/>
  <c r="AF301" i="35"/>
  <c r="AF302" i="35"/>
  <c r="AE308" i="35"/>
  <c r="AI6" i="35"/>
  <c r="AI24" i="35"/>
  <c r="AI42" i="35"/>
  <c r="AI60" i="35"/>
  <c r="AI78" i="35"/>
  <c r="AI96" i="35"/>
  <c r="AI114" i="35"/>
  <c r="AI132" i="35"/>
  <c r="AI7" i="35"/>
  <c r="AI8" i="35"/>
  <c r="AI9" i="35"/>
  <c r="AI10" i="35"/>
  <c r="AI11" i="35"/>
  <c r="AI12" i="35"/>
  <c r="AI13" i="35"/>
  <c r="AI14" i="35"/>
  <c r="AI15" i="35"/>
  <c r="AI16" i="35"/>
  <c r="AI17" i="35"/>
  <c r="AI18" i="35"/>
  <c r="AI19" i="35"/>
  <c r="AI20" i="35"/>
  <c r="AI21" i="35"/>
  <c r="AI22" i="35"/>
  <c r="AI23" i="35"/>
  <c r="AI25" i="35"/>
  <c r="AI26" i="35"/>
  <c r="AI27" i="35"/>
  <c r="AI28" i="35"/>
  <c r="AI29" i="35"/>
  <c r="AI30" i="35"/>
  <c r="AI31" i="35"/>
  <c r="AI32" i="35"/>
  <c r="AI33" i="35"/>
  <c r="AI34" i="35"/>
  <c r="AI35" i="35"/>
  <c r="AI36" i="35"/>
  <c r="AI37" i="35"/>
  <c r="AI38" i="35"/>
  <c r="AI39" i="35"/>
  <c r="AI40" i="35"/>
  <c r="AI41" i="35"/>
  <c r="AI43" i="35"/>
  <c r="AI44" i="35"/>
  <c r="AI45" i="35"/>
  <c r="AI46" i="35"/>
  <c r="AI47" i="35"/>
  <c r="AI48" i="35"/>
  <c r="AI49" i="35"/>
  <c r="AI50" i="35"/>
  <c r="AI51" i="35"/>
  <c r="AI52" i="35"/>
  <c r="AI53" i="35"/>
  <c r="AI54" i="35"/>
  <c r="AI55" i="35"/>
  <c r="AI56" i="35"/>
  <c r="AI57" i="35"/>
  <c r="AI58" i="35"/>
  <c r="AI59" i="35"/>
  <c r="AI61" i="35"/>
  <c r="AI62" i="35"/>
  <c r="AI63" i="35"/>
  <c r="AI64" i="35"/>
  <c r="AI65" i="35"/>
  <c r="AI66" i="35"/>
  <c r="AI67" i="35"/>
  <c r="AI68" i="35"/>
  <c r="AI69" i="35"/>
  <c r="AI70" i="35"/>
  <c r="AI71" i="35"/>
  <c r="AI72" i="35"/>
  <c r="AI73" i="35"/>
  <c r="AI74" i="35"/>
  <c r="AI75" i="35"/>
  <c r="AI76" i="35"/>
  <c r="AI77" i="35"/>
  <c r="AI79" i="35"/>
  <c r="AI80" i="35"/>
  <c r="AI81" i="35"/>
  <c r="AI82" i="35"/>
  <c r="AI83" i="35"/>
  <c r="AI84" i="35"/>
  <c r="AI85" i="35"/>
  <c r="AI86" i="35"/>
  <c r="AI87" i="35"/>
  <c r="AI88" i="35"/>
  <c r="AI89" i="35"/>
  <c r="AI90" i="35"/>
  <c r="AI91" i="35"/>
  <c r="AI92" i="35"/>
  <c r="AI93" i="35"/>
  <c r="AI94" i="35"/>
  <c r="AI95" i="35"/>
  <c r="AI97" i="35"/>
  <c r="AI98" i="35"/>
  <c r="AI99" i="35"/>
  <c r="AI100" i="35"/>
  <c r="AI101" i="35"/>
  <c r="AI102" i="35"/>
  <c r="AI103" i="35"/>
  <c r="AI104" i="35"/>
  <c r="AI105" i="35"/>
  <c r="AI106" i="35"/>
  <c r="AI107" i="35"/>
  <c r="AI108" i="35"/>
  <c r="AI109" i="35"/>
  <c r="AI110" i="35"/>
  <c r="AI111" i="35"/>
  <c r="AI112" i="35"/>
  <c r="AI113" i="35"/>
  <c r="AI115" i="35"/>
  <c r="AI116" i="35"/>
  <c r="AI117" i="35"/>
  <c r="AI118" i="35"/>
  <c r="AI119" i="35"/>
  <c r="AI120" i="35"/>
  <c r="AI121" i="35"/>
  <c r="AI122" i="35"/>
  <c r="AI123" i="35"/>
  <c r="AI124" i="35"/>
  <c r="AI125" i="35"/>
  <c r="AI126" i="35"/>
  <c r="AI127" i="35"/>
  <c r="AI128" i="35"/>
  <c r="AI129" i="35"/>
  <c r="AI130" i="35"/>
  <c r="AI131" i="35"/>
  <c r="AI133" i="35"/>
  <c r="AI134" i="35"/>
  <c r="AI135" i="35"/>
  <c r="AI136" i="35"/>
  <c r="AI137" i="35"/>
  <c r="AI138" i="35"/>
  <c r="AI139" i="35"/>
  <c r="AI140" i="35"/>
  <c r="AI141" i="35"/>
  <c r="AI142" i="35"/>
  <c r="AI143" i="35"/>
  <c r="AI144" i="35"/>
  <c r="AI145" i="35"/>
  <c r="AI146" i="35"/>
  <c r="AI147" i="35"/>
  <c r="AI148" i="35"/>
  <c r="AI149" i="35"/>
  <c r="AI150" i="35"/>
  <c r="AH219" i="35"/>
  <c r="AI219" i="35"/>
  <c r="AI220" i="35"/>
  <c r="AI221" i="35"/>
  <c r="AI222" i="35"/>
  <c r="AI223" i="35"/>
  <c r="AI224" i="35"/>
  <c r="AI225" i="35"/>
  <c r="AI226" i="35"/>
  <c r="AI227" i="35"/>
  <c r="AI228" i="35"/>
  <c r="AI229" i="35"/>
  <c r="AI230" i="35"/>
  <c r="AI231" i="35"/>
  <c r="AI232" i="35"/>
  <c r="AI233" i="35"/>
  <c r="AI234" i="35"/>
  <c r="AI235" i="35"/>
  <c r="AH247" i="35"/>
  <c r="AI247" i="35"/>
  <c r="AI248" i="35"/>
  <c r="AI249" i="35"/>
  <c r="AI250" i="35"/>
  <c r="AI251" i="35"/>
  <c r="AI252" i="35"/>
  <c r="AI253" i="35"/>
  <c r="AI254" i="35"/>
  <c r="AI255" i="35"/>
  <c r="AI256" i="35"/>
  <c r="AI257" i="35"/>
  <c r="AI258" i="35"/>
  <c r="AI259" i="35"/>
  <c r="AI260" i="35"/>
  <c r="AI261" i="35"/>
  <c r="AI262" i="35"/>
  <c r="AI263" i="35"/>
  <c r="AH275" i="35"/>
  <c r="AI275" i="35"/>
  <c r="AI276" i="35"/>
  <c r="AI277" i="35"/>
  <c r="AI278" i="35"/>
  <c r="AI279" i="35"/>
  <c r="AI280" i="35"/>
  <c r="AI281" i="35"/>
  <c r="AI282" i="35"/>
  <c r="AI283" i="35"/>
  <c r="AH291" i="35"/>
  <c r="AI291" i="35"/>
  <c r="AI292" i="35"/>
  <c r="AI293" i="35"/>
  <c r="AI294" i="35"/>
  <c r="AI295" i="35"/>
  <c r="AH301" i="35"/>
  <c r="AI301" i="35"/>
  <c r="AI302" i="35"/>
  <c r="AH308" i="35"/>
  <c r="AL6" i="35"/>
  <c r="AL24" i="35"/>
  <c r="AL42" i="35"/>
  <c r="AL60" i="35"/>
  <c r="AL78" i="35"/>
  <c r="AL96" i="35"/>
  <c r="AL114" i="35"/>
  <c r="AL132" i="35"/>
  <c r="AL7" i="35"/>
  <c r="AL8" i="35"/>
  <c r="AL9" i="35"/>
  <c r="AL10" i="35"/>
  <c r="AL11" i="35"/>
  <c r="AL12" i="35"/>
  <c r="AL13" i="35"/>
  <c r="AL14" i="35"/>
  <c r="AL15" i="35"/>
  <c r="AL16" i="35"/>
  <c r="AL17" i="35"/>
  <c r="AL18" i="35"/>
  <c r="AL19" i="35"/>
  <c r="AL20" i="35"/>
  <c r="AL21" i="35"/>
  <c r="AL22" i="35"/>
  <c r="AL23" i="35"/>
  <c r="AL25" i="35"/>
  <c r="AL26" i="35"/>
  <c r="AL27" i="35"/>
  <c r="AL28" i="35"/>
  <c r="AL29" i="35"/>
  <c r="AL30" i="35"/>
  <c r="AL31" i="35"/>
  <c r="AL32" i="35"/>
  <c r="AL33" i="35"/>
  <c r="AL34" i="35"/>
  <c r="AL35" i="35"/>
  <c r="AL36" i="35"/>
  <c r="AL37" i="35"/>
  <c r="AL38" i="35"/>
  <c r="AL39" i="35"/>
  <c r="AL40" i="35"/>
  <c r="AL41" i="35"/>
  <c r="AL43" i="35"/>
  <c r="AL44" i="35"/>
  <c r="AL45" i="35"/>
  <c r="AL46" i="35"/>
  <c r="AL47" i="35"/>
  <c r="AL48" i="35"/>
  <c r="AL49" i="35"/>
  <c r="AL50" i="35"/>
  <c r="AL51" i="35"/>
  <c r="AL52" i="35"/>
  <c r="AL53" i="35"/>
  <c r="AL54" i="35"/>
  <c r="AL55" i="35"/>
  <c r="AL56" i="35"/>
  <c r="AL57" i="35"/>
  <c r="AL58" i="35"/>
  <c r="AL59" i="35"/>
  <c r="AL61" i="35"/>
  <c r="AL62" i="35"/>
  <c r="AL63" i="35"/>
  <c r="AL64" i="35"/>
  <c r="AL65" i="35"/>
  <c r="AL66" i="35"/>
  <c r="AL67" i="35"/>
  <c r="AL68" i="35"/>
  <c r="AL69" i="35"/>
  <c r="AL70" i="35"/>
  <c r="AL71" i="35"/>
  <c r="AL72" i="35"/>
  <c r="AL73" i="35"/>
  <c r="AL74" i="35"/>
  <c r="AL75" i="35"/>
  <c r="AL76" i="35"/>
  <c r="AL77" i="35"/>
  <c r="AL79" i="35"/>
  <c r="AL80" i="35"/>
  <c r="AL81" i="35"/>
  <c r="AL82" i="35"/>
  <c r="AL83" i="35"/>
  <c r="AL84" i="35"/>
  <c r="AL85" i="35"/>
  <c r="AL86" i="35"/>
  <c r="AL87" i="35"/>
  <c r="AL88" i="35"/>
  <c r="AL89" i="35"/>
  <c r="AL90" i="35"/>
  <c r="AL91" i="35"/>
  <c r="AL92" i="35"/>
  <c r="AL93" i="35"/>
  <c r="AL94" i="35"/>
  <c r="AL95" i="35"/>
  <c r="AL97" i="35"/>
  <c r="AL98" i="35"/>
  <c r="AL99" i="35"/>
  <c r="AL100" i="35"/>
  <c r="AL101" i="35"/>
  <c r="AL102" i="35"/>
  <c r="AL103" i="35"/>
  <c r="AL104" i="35"/>
  <c r="AL105" i="35"/>
  <c r="AL106" i="35"/>
  <c r="AL107" i="35"/>
  <c r="AL108" i="35"/>
  <c r="AL109" i="35"/>
  <c r="AL110" i="35"/>
  <c r="AL111" i="35"/>
  <c r="AL112" i="35"/>
  <c r="AL113" i="35"/>
  <c r="AL115" i="35"/>
  <c r="AL116" i="35"/>
  <c r="AL117" i="35"/>
  <c r="AL118" i="35"/>
  <c r="AL119" i="35"/>
  <c r="AL120" i="35"/>
  <c r="AL121" i="35"/>
  <c r="AL122" i="35"/>
  <c r="AL123" i="35"/>
  <c r="AL124" i="35"/>
  <c r="AL125" i="35"/>
  <c r="AL126" i="35"/>
  <c r="AL127" i="35"/>
  <c r="AL128" i="35"/>
  <c r="AL129" i="35"/>
  <c r="AL130" i="35"/>
  <c r="AL131" i="35"/>
  <c r="AL133" i="35"/>
  <c r="AL134" i="35"/>
  <c r="AL135" i="35"/>
  <c r="AL136" i="35"/>
  <c r="AL137" i="35"/>
  <c r="AL138" i="35"/>
  <c r="AL139" i="35"/>
  <c r="AL140" i="35"/>
  <c r="AL141" i="35"/>
  <c r="AL142" i="35"/>
  <c r="AL143" i="35"/>
  <c r="AL144" i="35"/>
  <c r="AL145" i="35"/>
  <c r="AL146" i="35"/>
  <c r="AL147" i="35"/>
  <c r="AL148" i="35"/>
  <c r="AL149" i="35"/>
  <c r="AL150" i="35"/>
  <c r="AK219" i="35"/>
  <c r="AL219" i="35"/>
  <c r="AL220" i="35"/>
  <c r="AL221" i="35"/>
  <c r="AL222" i="35"/>
  <c r="AL223" i="35"/>
  <c r="AL224" i="35"/>
  <c r="AL225" i="35"/>
  <c r="AL226" i="35"/>
  <c r="AL227" i="35"/>
  <c r="AL228" i="35"/>
  <c r="AL229" i="35"/>
  <c r="AL230" i="35"/>
  <c r="AL231" i="35"/>
  <c r="AL232" i="35"/>
  <c r="AL233" i="35"/>
  <c r="AL234" i="35"/>
  <c r="AL235" i="35"/>
  <c r="AK247" i="35"/>
  <c r="AL247" i="35"/>
  <c r="AL248" i="35"/>
  <c r="AL249" i="35"/>
  <c r="AL250" i="35"/>
  <c r="AL251" i="35"/>
  <c r="AL252" i="35"/>
  <c r="AL253" i="35"/>
  <c r="AL254" i="35"/>
  <c r="AL255" i="35"/>
  <c r="AL256" i="35"/>
  <c r="AL257" i="35"/>
  <c r="AL258" i="35"/>
  <c r="AL259" i="35"/>
  <c r="AL260" i="35"/>
  <c r="AL261" i="35"/>
  <c r="AL262" i="35"/>
  <c r="AL263" i="35"/>
  <c r="AK275" i="35"/>
  <c r="AL275" i="35"/>
  <c r="AL276" i="35"/>
  <c r="AL277" i="35"/>
  <c r="AL278" i="35"/>
  <c r="AL279" i="35"/>
  <c r="AL280" i="35"/>
  <c r="AL281" i="35"/>
  <c r="AL282" i="35"/>
  <c r="AL283" i="35"/>
  <c r="AK291" i="35"/>
  <c r="AL291" i="35"/>
  <c r="AL292" i="35"/>
  <c r="AL293" i="35"/>
  <c r="AL294" i="35"/>
  <c r="AL295" i="35"/>
  <c r="AK301" i="35"/>
  <c r="AL301" i="35"/>
  <c r="AL302" i="35"/>
  <c r="AK308" i="35"/>
  <c r="AO6" i="35"/>
  <c r="AO24" i="35"/>
  <c r="AO42" i="35"/>
  <c r="AO60" i="35"/>
  <c r="AO78" i="35"/>
  <c r="AO96" i="35"/>
  <c r="AO114" i="35"/>
  <c r="AO132" i="35"/>
  <c r="AO7" i="35"/>
  <c r="AO8" i="35"/>
  <c r="AO9" i="35"/>
  <c r="AO10" i="35"/>
  <c r="AO11" i="35"/>
  <c r="AO12" i="35"/>
  <c r="AO13" i="35"/>
  <c r="AO14" i="35"/>
  <c r="AO15" i="35"/>
  <c r="AO16" i="35"/>
  <c r="AO17" i="35"/>
  <c r="AO18" i="35"/>
  <c r="AO19" i="35"/>
  <c r="AO20" i="35"/>
  <c r="AO21" i="35"/>
  <c r="AO22" i="35"/>
  <c r="AO23" i="35"/>
  <c r="AO25" i="35"/>
  <c r="AO26" i="35"/>
  <c r="AO27" i="35"/>
  <c r="AO28" i="35"/>
  <c r="AO29" i="35"/>
  <c r="AO30" i="35"/>
  <c r="AO31" i="35"/>
  <c r="AO32" i="35"/>
  <c r="AO33" i="35"/>
  <c r="AO34" i="35"/>
  <c r="AO35" i="35"/>
  <c r="AO36" i="35"/>
  <c r="AO37" i="35"/>
  <c r="AO38" i="35"/>
  <c r="AO39" i="35"/>
  <c r="AO40" i="35"/>
  <c r="AO41" i="35"/>
  <c r="AO43" i="35"/>
  <c r="AO44" i="35"/>
  <c r="AO45" i="35"/>
  <c r="AO46" i="35"/>
  <c r="AO47" i="35"/>
  <c r="AO48" i="35"/>
  <c r="AO49" i="35"/>
  <c r="AO50" i="35"/>
  <c r="AO51" i="35"/>
  <c r="AO52" i="35"/>
  <c r="AO53" i="35"/>
  <c r="AO54" i="35"/>
  <c r="AO55" i="35"/>
  <c r="AO56" i="35"/>
  <c r="AO57" i="35"/>
  <c r="AO58" i="35"/>
  <c r="AO59" i="35"/>
  <c r="AO61" i="35"/>
  <c r="AO62" i="35"/>
  <c r="AO63" i="35"/>
  <c r="AO64" i="35"/>
  <c r="AO65" i="35"/>
  <c r="AO66" i="35"/>
  <c r="AO67" i="35"/>
  <c r="AO68" i="35"/>
  <c r="AO69" i="35"/>
  <c r="AO70" i="35"/>
  <c r="AO71" i="35"/>
  <c r="AO72" i="35"/>
  <c r="AO73" i="35"/>
  <c r="AO74" i="35"/>
  <c r="AO75" i="35"/>
  <c r="AO76" i="35"/>
  <c r="AO77" i="35"/>
  <c r="AO79" i="35"/>
  <c r="AO80" i="35"/>
  <c r="AO81" i="35"/>
  <c r="AO82" i="35"/>
  <c r="AO83" i="35"/>
  <c r="AO84" i="35"/>
  <c r="AO85" i="35"/>
  <c r="AO86" i="35"/>
  <c r="AO87" i="35"/>
  <c r="AO88" i="35"/>
  <c r="AO89" i="35"/>
  <c r="AO90" i="35"/>
  <c r="AO91" i="35"/>
  <c r="AO92" i="35"/>
  <c r="AO93" i="35"/>
  <c r="AO94" i="35"/>
  <c r="AO95" i="35"/>
  <c r="AO97" i="35"/>
  <c r="AO98" i="35"/>
  <c r="AO99" i="35"/>
  <c r="AO100" i="35"/>
  <c r="AO101" i="35"/>
  <c r="AO102" i="35"/>
  <c r="AO103" i="35"/>
  <c r="AO104" i="35"/>
  <c r="AO105" i="35"/>
  <c r="AO106" i="35"/>
  <c r="AO107" i="35"/>
  <c r="AO108" i="35"/>
  <c r="AO109" i="35"/>
  <c r="AO110" i="35"/>
  <c r="AO111" i="35"/>
  <c r="AO112" i="35"/>
  <c r="AO113" i="35"/>
  <c r="AO115" i="35"/>
  <c r="AO116" i="35"/>
  <c r="AO117" i="35"/>
  <c r="AO118" i="35"/>
  <c r="AO119" i="35"/>
  <c r="AO120" i="35"/>
  <c r="AO121" i="35"/>
  <c r="AO122" i="35"/>
  <c r="AO123" i="35"/>
  <c r="AO124" i="35"/>
  <c r="AO125" i="35"/>
  <c r="AO126" i="35"/>
  <c r="AO127" i="35"/>
  <c r="AO128" i="35"/>
  <c r="AO129" i="35"/>
  <c r="AO130" i="35"/>
  <c r="AO131" i="35"/>
  <c r="AO133" i="35"/>
  <c r="AO134" i="35"/>
  <c r="AO135" i="35"/>
  <c r="AO136" i="35"/>
  <c r="AO137" i="35"/>
  <c r="AO138" i="35"/>
  <c r="AO139" i="35"/>
  <c r="AO140" i="35"/>
  <c r="AO141" i="35"/>
  <c r="AO142" i="35"/>
  <c r="AO143" i="35"/>
  <c r="AO144" i="35"/>
  <c r="AO145" i="35"/>
  <c r="AO146" i="35"/>
  <c r="AO147" i="35"/>
  <c r="AO148" i="35"/>
  <c r="AO149" i="35"/>
  <c r="AO150" i="35"/>
  <c r="AN219" i="35"/>
  <c r="AO219" i="35"/>
  <c r="AO220" i="35"/>
  <c r="AO221" i="35"/>
  <c r="AO222" i="35"/>
  <c r="AO223" i="35"/>
  <c r="AO224" i="35"/>
  <c r="AO225" i="35"/>
  <c r="AO226" i="35"/>
  <c r="AO227" i="35"/>
  <c r="AO228" i="35"/>
  <c r="AO229" i="35"/>
  <c r="AO230" i="35"/>
  <c r="AO231" i="35"/>
  <c r="AO232" i="35"/>
  <c r="AO233" i="35"/>
  <c r="AO234" i="35"/>
  <c r="AO235" i="35"/>
  <c r="AN247" i="35"/>
  <c r="AO247" i="35"/>
  <c r="AO248" i="35"/>
  <c r="AO249" i="35"/>
  <c r="AO250" i="35"/>
  <c r="AO251" i="35"/>
  <c r="AO252" i="35"/>
  <c r="AO253" i="35"/>
  <c r="AO254" i="35"/>
  <c r="AO255" i="35"/>
  <c r="AO256" i="35"/>
  <c r="AO257" i="35"/>
  <c r="AO258" i="35"/>
  <c r="AO259" i="35"/>
  <c r="AO260" i="35"/>
  <c r="AO261" i="35"/>
  <c r="AO262" i="35"/>
  <c r="AO263" i="35"/>
  <c r="AN275" i="35"/>
  <c r="AO275" i="35"/>
  <c r="AO276" i="35"/>
  <c r="AO277" i="35"/>
  <c r="AO278" i="35"/>
  <c r="AO279" i="35"/>
  <c r="AO280" i="35"/>
  <c r="AO281" i="35"/>
  <c r="AO282" i="35"/>
  <c r="AO283" i="35"/>
  <c r="AN291" i="35"/>
  <c r="AO291" i="35"/>
  <c r="AO292" i="35"/>
  <c r="AO293" i="35"/>
  <c r="AO294" i="35"/>
  <c r="AO295" i="35"/>
  <c r="AN301" i="35"/>
  <c r="AO301" i="35"/>
  <c r="AO302" i="35"/>
  <c r="AN308" i="35"/>
  <c r="AR6" i="35"/>
  <c r="AR24" i="35"/>
  <c r="AR42" i="35"/>
  <c r="AR60" i="35"/>
  <c r="AR78" i="35"/>
  <c r="AR96" i="35"/>
  <c r="AR114" i="35"/>
  <c r="AR132" i="35"/>
  <c r="AR7" i="35"/>
  <c r="AR8" i="35"/>
  <c r="AR9" i="35"/>
  <c r="AR10" i="35"/>
  <c r="AR11" i="35"/>
  <c r="AR12" i="35"/>
  <c r="AR13" i="35"/>
  <c r="AR14" i="35"/>
  <c r="AR15" i="35"/>
  <c r="AR16" i="35"/>
  <c r="AR17" i="35"/>
  <c r="AR18" i="35"/>
  <c r="AR19" i="35"/>
  <c r="AR20" i="35"/>
  <c r="AR21" i="35"/>
  <c r="AR22" i="35"/>
  <c r="AR23" i="35"/>
  <c r="AR25" i="35"/>
  <c r="AR26" i="35"/>
  <c r="AR27" i="35"/>
  <c r="AR28" i="35"/>
  <c r="AR29" i="35"/>
  <c r="AR30" i="35"/>
  <c r="AR31" i="35"/>
  <c r="AR32" i="35"/>
  <c r="AR33" i="35"/>
  <c r="AR34" i="35"/>
  <c r="AR35" i="35"/>
  <c r="AR36" i="35"/>
  <c r="AR37" i="35"/>
  <c r="AR38" i="35"/>
  <c r="AR39" i="35"/>
  <c r="AR40" i="35"/>
  <c r="AR41" i="35"/>
  <c r="AR43" i="35"/>
  <c r="AR44" i="35"/>
  <c r="AR45" i="35"/>
  <c r="AR46" i="35"/>
  <c r="AR47" i="35"/>
  <c r="AR48" i="35"/>
  <c r="AR49" i="35"/>
  <c r="AR50" i="35"/>
  <c r="AR51" i="35"/>
  <c r="AR52" i="35"/>
  <c r="AR53" i="35"/>
  <c r="AR54" i="35"/>
  <c r="AR55" i="35"/>
  <c r="AR56" i="35"/>
  <c r="AR57" i="35"/>
  <c r="AR58" i="35"/>
  <c r="AR59" i="35"/>
  <c r="AR61" i="35"/>
  <c r="AR62" i="35"/>
  <c r="AR63" i="35"/>
  <c r="AR64" i="35"/>
  <c r="AR65" i="35"/>
  <c r="AR66" i="35"/>
  <c r="AR67" i="35"/>
  <c r="AR68" i="35"/>
  <c r="AR69" i="35"/>
  <c r="AR70" i="35"/>
  <c r="AR71" i="35"/>
  <c r="AR72" i="35"/>
  <c r="AR73" i="35"/>
  <c r="AR74" i="35"/>
  <c r="AR75" i="35"/>
  <c r="AR76" i="35"/>
  <c r="AR77" i="35"/>
  <c r="AR79" i="35"/>
  <c r="AR80" i="35"/>
  <c r="AR81" i="35"/>
  <c r="AR82" i="35"/>
  <c r="AR83" i="35"/>
  <c r="AR84" i="35"/>
  <c r="AR85" i="35"/>
  <c r="AR86" i="35"/>
  <c r="AR87" i="35"/>
  <c r="AR88" i="35"/>
  <c r="AR89" i="35"/>
  <c r="AR90" i="35"/>
  <c r="AR91" i="35"/>
  <c r="AR92" i="35"/>
  <c r="AR93" i="35"/>
  <c r="AR94" i="35"/>
  <c r="AR95" i="35"/>
  <c r="AR97" i="35"/>
  <c r="AR98" i="35"/>
  <c r="AR99" i="35"/>
  <c r="AR100" i="35"/>
  <c r="AR101" i="35"/>
  <c r="AR102" i="35"/>
  <c r="AR103" i="35"/>
  <c r="AR104" i="35"/>
  <c r="AR105" i="35"/>
  <c r="AR106" i="35"/>
  <c r="AR107" i="35"/>
  <c r="AR108" i="35"/>
  <c r="AR109" i="35"/>
  <c r="AR110" i="35"/>
  <c r="AR111" i="35"/>
  <c r="AR112" i="35"/>
  <c r="AR113" i="35"/>
  <c r="AR115" i="35"/>
  <c r="AR116" i="35"/>
  <c r="AR117" i="35"/>
  <c r="AR118" i="35"/>
  <c r="AR119" i="35"/>
  <c r="AR120" i="35"/>
  <c r="AR121" i="35"/>
  <c r="AR122" i="35"/>
  <c r="AR123" i="35"/>
  <c r="AR124" i="35"/>
  <c r="AR125" i="35"/>
  <c r="AR126" i="35"/>
  <c r="AR127" i="35"/>
  <c r="AR128" i="35"/>
  <c r="AR129" i="35"/>
  <c r="AR130" i="35"/>
  <c r="AR131" i="35"/>
  <c r="AR133" i="35"/>
  <c r="AR134" i="35"/>
  <c r="AR135" i="35"/>
  <c r="AR136" i="35"/>
  <c r="AR137" i="35"/>
  <c r="AR138" i="35"/>
  <c r="AR139" i="35"/>
  <c r="AR140" i="35"/>
  <c r="AR141" i="35"/>
  <c r="AR142" i="35"/>
  <c r="AR143" i="35"/>
  <c r="AR144" i="35"/>
  <c r="AR145" i="35"/>
  <c r="AR146" i="35"/>
  <c r="AR147" i="35"/>
  <c r="AR148" i="35"/>
  <c r="AR149" i="35"/>
  <c r="AR150" i="35"/>
  <c r="AQ219" i="35"/>
  <c r="AR219" i="35"/>
  <c r="AR220" i="35"/>
  <c r="AR221" i="35"/>
  <c r="AR222" i="35"/>
  <c r="AR223" i="35"/>
  <c r="AR224" i="35"/>
  <c r="AR225" i="35"/>
  <c r="AR226" i="35"/>
  <c r="AR227" i="35"/>
  <c r="AR228" i="35"/>
  <c r="AR229" i="35"/>
  <c r="AR230" i="35"/>
  <c r="AR231" i="35"/>
  <c r="AR232" i="35"/>
  <c r="AR233" i="35"/>
  <c r="AR234" i="35"/>
  <c r="AR235" i="35"/>
  <c r="AQ247" i="35"/>
  <c r="AR247" i="35"/>
  <c r="AR248" i="35"/>
  <c r="AR249" i="35"/>
  <c r="AR250" i="35"/>
  <c r="AR251" i="35"/>
  <c r="AR252" i="35"/>
  <c r="AR253" i="35"/>
  <c r="AR254" i="35"/>
  <c r="AR255" i="35"/>
  <c r="AR256" i="35"/>
  <c r="AR257" i="35"/>
  <c r="AR258" i="35"/>
  <c r="AR259" i="35"/>
  <c r="AR260" i="35"/>
  <c r="AR261" i="35"/>
  <c r="AR262" i="35"/>
  <c r="AR263" i="35"/>
  <c r="AQ275" i="35"/>
  <c r="AR275" i="35"/>
  <c r="AR276" i="35"/>
  <c r="AR277" i="35"/>
  <c r="AR278" i="35"/>
  <c r="AR279" i="35"/>
  <c r="AR280" i="35"/>
  <c r="AR281" i="35"/>
  <c r="AR282" i="35"/>
  <c r="AR283" i="35"/>
  <c r="AQ291" i="35"/>
  <c r="AR291" i="35"/>
  <c r="AR292" i="35"/>
  <c r="AR293" i="35"/>
  <c r="AR294" i="35"/>
  <c r="AR295" i="35"/>
  <c r="AQ301" i="35"/>
  <c r="AR301" i="35"/>
  <c r="AR302" i="35"/>
  <c r="AQ308" i="35"/>
  <c r="AU6" i="35"/>
  <c r="AU24" i="35"/>
  <c r="AU42" i="35"/>
  <c r="AU60" i="35"/>
  <c r="AU78" i="35"/>
  <c r="AU96" i="35"/>
  <c r="AU114" i="35"/>
  <c r="AU132" i="35"/>
  <c r="AU7" i="35"/>
  <c r="AU8" i="35"/>
  <c r="AU9" i="35"/>
  <c r="AU10" i="35"/>
  <c r="AU11" i="35"/>
  <c r="AU12" i="35"/>
  <c r="AU13" i="35"/>
  <c r="AU14" i="35"/>
  <c r="AU15" i="35"/>
  <c r="AU16" i="35"/>
  <c r="AU17" i="35"/>
  <c r="AU18" i="35"/>
  <c r="AU19" i="35"/>
  <c r="AU20" i="35"/>
  <c r="AU21" i="35"/>
  <c r="AU22" i="35"/>
  <c r="AU23" i="35"/>
  <c r="AU25" i="35"/>
  <c r="AU26" i="35"/>
  <c r="AU27" i="35"/>
  <c r="AU28" i="35"/>
  <c r="AU29" i="35"/>
  <c r="AU30" i="35"/>
  <c r="AU31" i="35"/>
  <c r="AU32" i="35"/>
  <c r="AU33" i="35"/>
  <c r="AU34" i="35"/>
  <c r="AU35" i="35"/>
  <c r="AU36" i="35"/>
  <c r="AU37" i="35"/>
  <c r="AU38" i="35"/>
  <c r="AU39" i="35"/>
  <c r="AU40" i="35"/>
  <c r="AU41" i="35"/>
  <c r="AU43" i="35"/>
  <c r="AU44" i="35"/>
  <c r="AU45" i="35"/>
  <c r="AU46" i="35"/>
  <c r="AU47" i="35"/>
  <c r="AU48" i="35"/>
  <c r="AU49" i="35"/>
  <c r="AU50" i="35"/>
  <c r="AU51" i="35"/>
  <c r="AU52" i="35"/>
  <c r="AU53" i="35"/>
  <c r="AU54" i="35"/>
  <c r="AU55" i="35"/>
  <c r="AU56" i="35"/>
  <c r="AU57" i="35"/>
  <c r="AU58" i="35"/>
  <c r="AU59" i="35"/>
  <c r="AU61" i="35"/>
  <c r="AU62" i="35"/>
  <c r="AU63" i="35"/>
  <c r="AU64" i="35"/>
  <c r="AU65" i="35"/>
  <c r="AU66" i="35"/>
  <c r="AU67" i="35"/>
  <c r="AU68" i="35"/>
  <c r="AU69" i="35"/>
  <c r="AU70" i="35"/>
  <c r="AU71" i="35"/>
  <c r="AU72" i="35"/>
  <c r="AU73" i="35"/>
  <c r="AU74" i="35"/>
  <c r="AU75" i="35"/>
  <c r="AU76" i="35"/>
  <c r="AU77" i="35"/>
  <c r="AU79" i="35"/>
  <c r="AU80" i="35"/>
  <c r="AU81" i="35"/>
  <c r="AU82" i="35"/>
  <c r="AU83" i="35"/>
  <c r="AU84" i="35"/>
  <c r="AU85" i="35"/>
  <c r="AU86" i="35"/>
  <c r="AU87" i="35"/>
  <c r="AU88" i="35"/>
  <c r="AU89" i="35"/>
  <c r="AU90" i="35"/>
  <c r="AU91" i="35"/>
  <c r="AU92" i="35"/>
  <c r="AU93" i="35"/>
  <c r="AU94" i="35"/>
  <c r="AU95" i="35"/>
  <c r="AU97" i="35"/>
  <c r="AU98" i="35"/>
  <c r="AU99" i="35"/>
  <c r="AU100" i="35"/>
  <c r="AU101" i="35"/>
  <c r="AU102" i="35"/>
  <c r="AU103" i="35"/>
  <c r="AU104" i="35"/>
  <c r="AU105" i="35"/>
  <c r="AU106" i="35"/>
  <c r="AU107" i="35"/>
  <c r="AU108" i="35"/>
  <c r="AU109" i="35"/>
  <c r="AU110" i="35"/>
  <c r="AU111" i="35"/>
  <c r="AU112" i="35"/>
  <c r="AU113" i="35"/>
  <c r="AU115" i="35"/>
  <c r="AU116" i="35"/>
  <c r="AU117" i="35"/>
  <c r="AU118" i="35"/>
  <c r="AU119" i="35"/>
  <c r="AU120" i="35"/>
  <c r="AU121" i="35"/>
  <c r="AU122" i="35"/>
  <c r="AU123" i="35"/>
  <c r="AU124" i="35"/>
  <c r="AU125" i="35"/>
  <c r="AU126" i="35"/>
  <c r="AU127" i="35"/>
  <c r="AU128" i="35"/>
  <c r="AU129" i="35"/>
  <c r="AU130" i="35"/>
  <c r="AU131" i="35"/>
  <c r="AU133" i="35"/>
  <c r="AU134" i="35"/>
  <c r="AU135" i="35"/>
  <c r="AU136" i="35"/>
  <c r="AU137" i="35"/>
  <c r="AU138" i="35"/>
  <c r="AU139" i="35"/>
  <c r="AU140" i="35"/>
  <c r="AU141" i="35"/>
  <c r="AU142" i="35"/>
  <c r="AU143" i="35"/>
  <c r="AU144" i="35"/>
  <c r="AU145" i="35"/>
  <c r="AU146" i="35"/>
  <c r="AU147" i="35"/>
  <c r="AU148" i="35"/>
  <c r="AU149" i="35"/>
  <c r="AU150" i="35"/>
  <c r="AT219" i="35"/>
  <c r="AU219" i="35"/>
  <c r="AU220" i="35"/>
  <c r="AU221" i="35"/>
  <c r="AU222" i="35"/>
  <c r="AU223" i="35"/>
  <c r="AU224" i="35"/>
  <c r="AU225" i="35"/>
  <c r="AU226" i="35"/>
  <c r="AU227" i="35"/>
  <c r="AU228" i="35"/>
  <c r="AU229" i="35"/>
  <c r="AU230" i="35"/>
  <c r="AU231" i="35"/>
  <c r="AU232" i="35"/>
  <c r="AU233" i="35"/>
  <c r="AU234" i="35"/>
  <c r="AU235" i="35"/>
  <c r="AT247" i="35"/>
  <c r="AU247" i="35"/>
  <c r="AU248" i="35"/>
  <c r="AU249" i="35"/>
  <c r="AU250" i="35"/>
  <c r="AU251" i="35"/>
  <c r="AU252" i="35"/>
  <c r="AU253" i="35"/>
  <c r="AU254" i="35"/>
  <c r="AU255" i="35"/>
  <c r="AU256" i="35"/>
  <c r="AU257" i="35"/>
  <c r="AU258" i="35"/>
  <c r="AU259" i="35"/>
  <c r="AU260" i="35"/>
  <c r="AU261" i="35"/>
  <c r="AU262" i="35"/>
  <c r="AU263" i="35"/>
  <c r="AT275" i="35"/>
  <c r="AU275" i="35"/>
  <c r="AU276" i="35"/>
  <c r="AU277" i="35"/>
  <c r="AU278" i="35"/>
  <c r="AU279" i="35"/>
  <c r="AU280" i="35"/>
  <c r="AU281" i="35"/>
  <c r="AU282" i="35"/>
  <c r="AU283" i="35"/>
  <c r="AT291" i="35"/>
  <c r="AU291" i="35"/>
  <c r="AU292" i="35"/>
  <c r="AU293" i="35"/>
  <c r="AU294" i="35"/>
  <c r="AU295" i="35"/>
  <c r="AT301" i="35"/>
  <c r="AU301" i="35"/>
  <c r="AU302" i="35"/>
  <c r="AT308" i="35"/>
  <c r="AX6" i="35"/>
  <c r="AX24" i="35"/>
  <c r="AX42" i="35"/>
  <c r="AX60" i="35"/>
  <c r="AX78" i="35"/>
  <c r="AX96" i="35"/>
  <c r="AX114" i="35"/>
  <c r="AX132" i="35"/>
  <c r="AX7" i="35"/>
  <c r="AX8" i="35"/>
  <c r="AX9" i="35"/>
  <c r="AX10" i="35"/>
  <c r="AX11" i="35"/>
  <c r="AX12" i="35"/>
  <c r="AX13" i="35"/>
  <c r="AX14" i="35"/>
  <c r="AX15" i="35"/>
  <c r="AX16" i="35"/>
  <c r="AX17" i="35"/>
  <c r="AX18" i="35"/>
  <c r="AX19" i="35"/>
  <c r="AX20" i="35"/>
  <c r="AX21" i="35"/>
  <c r="AX22" i="35"/>
  <c r="AX23" i="35"/>
  <c r="AX25" i="35"/>
  <c r="AX26" i="35"/>
  <c r="AX27" i="35"/>
  <c r="AX28" i="35"/>
  <c r="AX29" i="35"/>
  <c r="AX30" i="35"/>
  <c r="AX31" i="35"/>
  <c r="AX32" i="35"/>
  <c r="AX33" i="35"/>
  <c r="AX34" i="35"/>
  <c r="AX35" i="35"/>
  <c r="AX36" i="35"/>
  <c r="AX37" i="35"/>
  <c r="AX38" i="35"/>
  <c r="AX39" i="35"/>
  <c r="AX40" i="35"/>
  <c r="AX41" i="35"/>
  <c r="AX43" i="35"/>
  <c r="AX44" i="35"/>
  <c r="AX45" i="35"/>
  <c r="AX46" i="35"/>
  <c r="AX47" i="35"/>
  <c r="AX48" i="35"/>
  <c r="AX49" i="35"/>
  <c r="AX50" i="35"/>
  <c r="AX51" i="35"/>
  <c r="AX52" i="35"/>
  <c r="AX53" i="35"/>
  <c r="AX54" i="35"/>
  <c r="AX55" i="35"/>
  <c r="AX56" i="35"/>
  <c r="AX57" i="35"/>
  <c r="AX58" i="35"/>
  <c r="AX59" i="35"/>
  <c r="AX61" i="35"/>
  <c r="AX62" i="35"/>
  <c r="AX63" i="35"/>
  <c r="AX64" i="35"/>
  <c r="AX65" i="35"/>
  <c r="AX66" i="35"/>
  <c r="AX67" i="35"/>
  <c r="AX68" i="35"/>
  <c r="AX69" i="35"/>
  <c r="AX70" i="35"/>
  <c r="AX71" i="35"/>
  <c r="AX72" i="35"/>
  <c r="AX73" i="35"/>
  <c r="AX74" i="35"/>
  <c r="AX75" i="35"/>
  <c r="AX76" i="35"/>
  <c r="AX77" i="35"/>
  <c r="AX79" i="35"/>
  <c r="AX80" i="35"/>
  <c r="AX81" i="35"/>
  <c r="AX82" i="35"/>
  <c r="AX83" i="35"/>
  <c r="AX84" i="35"/>
  <c r="AX85" i="35"/>
  <c r="AX86" i="35"/>
  <c r="AX87" i="35"/>
  <c r="AX88" i="35"/>
  <c r="AX89" i="35"/>
  <c r="AX90" i="35"/>
  <c r="AX91" i="35"/>
  <c r="AX92" i="35"/>
  <c r="AX93" i="35"/>
  <c r="AX94" i="35"/>
  <c r="AX95" i="35"/>
  <c r="AX97" i="35"/>
  <c r="AX98" i="35"/>
  <c r="AX99" i="35"/>
  <c r="AX100" i="35"/>
  <c r="AX101" i="35"/>
  <c r="AX102" i="35"/>
  <c r="AX103" i="35"/>
  <c r="AX104" i="35"/>
  <c r="AX105" i="35"/>
  <c r="AX106" i="35"/>
  <c r="AX107" i="35"/>
  <c r="AX108" i="35"/>
  <c r="AX109" i="35"/>
  <c r="AX110" i="35"/>
  <c r="AX111" i="35"/>
  <c r="AX112" i="35"/>
  <c r="AX113" i="35"/>
  <c r="AX115" i="35"/>
  <c r="AX116" i="35"/>
  <c r="AX117" i="35"/>
  <c r="AX118" i="35"/>
  <c r="AX119" i="35"/>
  <c r="AX120" i="35"/>
  <c r="AX121" i="35"/>
  <c r="AX122" i="35"/>
  <c r="AX123" i="35"/>
  <c r="AX124" i="35"/>
  <c r="AX125" i="35"/>
  <c r="AX126" i="35"/>
  <c r="AX127" i="35"/>
  <c r="AX128" i="35"/>
  <c r="AX129" i="35"/>
  <c r="AX130" i="35"/>
  <c r="AX131" i="35"/>
  <c r="AX133" i="35"/>
  <c r="AX134" i="35"/>
  <c r="AX135" i="35"/>
  <c r="AX136" i="35"/>
  <c r="AX137" i="35"/>
  <c r="AX138" i="35"/>
  <c r="AX139" i="35"/>
  <c r="AX140" i="35"/>
  <c r="AX141" i="35"/>
  <c r="AX142" i="35"/>
  <c r="AX143" i="35"/>
  <c r="AX144" i="35"/>
  <c r="AX145" i="35"/>
  <c r="AX146" i="35"/>
  <c r="AX147" i="35"/>
  <c r="AX148" i="35"/>
  <c r="AX149" i="35"/>
  <c r="AX150" i="35"/>
  <c r="AW219" i="35"/>
  <c r="AX219" i="35"/>
  <c r="AX220" i="35"/>
  <c r="AX221" i="35"/>
  <c r="AX222" i="35"/>
  <c r="AX223" i="35"/>
  <c r="AX224" i="35"/>
  <c r="AX225" i="35"/>
  <c r="AX226" i="35"/>
  <c r="AX227" i="35"/>
  <c r="AX228" i="35"/>
  <c r="AX229" i="35"/>
  <c r="AX230" i="35"/>
  <c r="AX231" i="35"/>
  <c r="AX232" i="35"/>
  <c r="AX233" i="35"/>
  <c r="AX234" i="35"/>
  <c r="AX235" i="35"/>
  <c r="AW247" i="35"/>
  <c r="AX247" i="35"/>
  <c r="AX248" i="35"/>
  <c r="AX249" i="35"/>
  <c r="AX250" i="35"/>
  <c r="AX251" i="35"/>
  <c r="AX252" i="35"/>
  <c r="AX253" i="35"/>
  <c r="AX254" i="35"/>
  <c r="AX255" i="35"/>
  <c r="AX256" i="35"/>
  <c r="AX257" i="35"/>
  <c r="AX258" i="35"/>
  <c r="AX259" i="35"/>
  <c r="AX260" i="35"/>
  <c r="AX261" i="35"/>
  <c r="AX262" i="35"/>
  <c r="AX263" i="35"/>
  <c r="AW275" i="35"/>
  <c r="AX275" i="35"/>
  <c r="AX276" i="35"/>
  <c r="AX277" i="35"/>
  <c r="AX278" i="35"/>
  <c r="AX279" i="35"/>
  <c r="AX280" i="35"/>
  <c r="AX281" i="35"/>
  <c r="AX282" i="35"/>
  <c r="AX283" i="35"/>
  <c r="AW291" i="35"/>
  <c r="AX291" i="35"/>
  <c r="AX292" i="35"/>
  <c r="AX293" i="35"/>
  <c r="AX294" i="35"/>
  <c r="AX295" i="35"/>
  <c r="AW301" i="35"/>
  <c r="AX301" i="35"/>
  <c r="AX302" i="35"/>
  <c r="AW308" i="35"/>
  <c r="BA6" i="35"/>
  <c r="BA24" i="35"/>
  <c r="BA42" i="35"/>
  <c r="BA60" i="35"/>
  <c r="BA78" i="35"/>
  <c r="BA96" i="35"/>
  <c r="BA114" i="35"/>
  <c r="BA132" i="35"/>
  <c r="BA7" i="35"/>
  <c r="BA8" i="35"/>
  <c r="BA9" i="35"/>
  <c r="BA10" i="35"/>
  <c r="BA11" i="35"/>
  <c r="BA12" i="35"/>
  <c r="BA13" i="35"/>
  <c r="BA14" i="35"/>
  <c r="BA15" i="35"/>
  <c r="BA16" i="35"/>
  <c r="BA17" i="35"/>
  <c r="BA18" i="35"/>
  <c r="BA19" i="35"/>
  <c r="BA20" i="35"/>
  <c r="BA21" i="35"/>
  <c r="BA22" i="35"/>
  <c r="BA23" i="35"/>
  <c r="BA25" i="35"/>
  <c r="BA26" i="35"/>
  <c r="BA27" i="35"/>
  <c r="BA28" i="35"/>
  <c r="BA29" i="35"/>
  <c r="BA30" i="35"/>
  <c r="BA31" i="35"/>
  <c r="BA32" i="35"/>
  <c r="BA33" i="35"/>
  <c r="BA34" i="35"/>
  <c r="BA35" i="35"/>
  <c r="BA36" i="35"/>
  <c r="BA37" i="35"/>
  <c r="BA38" i="35"/>
  <c r="BA39" i="35"/>
  <c r="BA40" i="35"/>
  <c r="BA41" i="35"/>
  <c r="BA43" i="35"/>
  <c r="BA44" i="35"/>
  <c r="BA45" i="35"/>
  <c r="BA46" i="35"/>
  <c r="BA47" i="35"/>
  <c r="BA48" i="35"/>
  <c r="BA49" i="35"/>
  <c r="BA50" i="35"/>
  <c r="BA51" i="35"/>
  <c r="BA52" i="35"/>
  <c r="BA53" i="35"/>
  <c r="BA54" i="35"/>
  <c r="BA55" i="35"/>
  <c r="BA56" i="35"/>
  <c r="BA57" i="35"/>
  <c r="BA58" i="35"/>
  <c r="BA59" i="35"/>
  <c r="BA61" i="35"/>
  <c r="BA62" i="35"/>
  <c r="BA63" i="35"/>
  <c r="BA64" i="35"/>
  <c r="BA65" i="35"/>
  <c r="BA66" i="35"/>
  <c r="BA67" i="35"/>
  <c r="BA68" i="35"/>
  <c r="BA69" i="35"/>
  <c r="BA70" i="35"/>
  <c r="BA71" i="35"/>
  <c r="BA72" i="35"/>
  <c r="BA73" i="35"/>
  <c r="BA74" i="35"/>
  <c r="BA75" i="35"/>
  <c r="BA76" i="35"/>
  <c r="BA77" i="35"/>
  <c r="BA79" i="35"/>
  <c r="BA80" i="35"/>
  <c r="BA81" i="35"/>
  <c r="BA82" i="35"/>
  <c r="BA83" i="35"/>
  <c r="BA84" i="35"/>
  <c r="BA85" i="35"/>
  <c r="BA86" i="35"/>
  <c r="BA87" i="35"/>
  <c r="BA88" i="35"/>
  <c r="BA89" i="35"/>
  <c r="BA90" i="35"/>
  <c r="BA91" i="35"/>
  <c r="BA92" i="35"/>
  <c r="BA93" i="35"/>
  <c r="BA94" i="35"/>
  <c r="BA95" i="35"/>
  <c r="BA97" i="35"/>
  <c r="BA98" i="35"/>
  <c r="BA99" i="35"/>
  <c r="BA100" i="35"/>
  <c r="BA101" i="35"/>
  <c r="BA102" i="35"/>
  <c r="BA103" i="35"/>
  <c r="BA104" i="35"/>
  <c r="BA105" i="35"/>
  <c r="BA106" i="35"/>
  <c r="BA107" i="35"/>
  <c r="BA108" i="35"/>
  <c r="BA109" i="35"/>
  <c r="BA110" i="35"/>
  <c r="BA111" i="35"/>
  <c r="BA112" i="35"/>
  <c r="BA113" i="35"/>
  <c r="BA115" i="35"/>
  <c r="BA116" i="35"/>
  <c r="BA117" i="35"/>
  <c r="BA118" i="35"/>
  <c r="BA119" i="35"/>
  <c r="BA120" i="35"/>
  <c r="BA121" i="35"/>
  <c r="BA122" i="35"/>
  <c r="BA123" i="35"/>
  <c r="BA124" i="35"/>
  <c r="BA125" i="35"/>
  <c r="BA126" i="35"/>
  <c r="BA127" i="35"/>
  <c r="BA128" i="35"/>
  <c r="BA129" i="35"/>
  <c r="BA130" i="35"/>
  <c r="BA131" i="35"/>
  <c r="BA133" i="35"/>
  <c r="BA134" i="35"/>
  <c r="BA135" i="35"/>
  <c r="BA136" i="35"/>
  <c r="BA137" i="35"/>
  <c r="BA138" i="35"/>
  <c r="BA139" i="35"/>
  <c r="BA140" i="35"/>
  <c r="BA141" i="35"/>
  <c r="BA142" i="35"/>
  <c r="BA143" i="35"/>
  <c r="BA144" i="35"/>
  <c r="BA145" i="35"/>
  <c r="BA146" i="35"/>
  <c r="BA147" i="35"/>
  <c r="BA148" i="35"/>
  <c r="BA149" i="35"/>
  <c r="BA150" i="35"/>
  <c r="AZ219" i="35"/>
  <c r="BA219" i="35"/>
  <c r="BA220" i="35"/>
  <c r="BA221" i="35"/>
  <c r="BA222" i="35"/>
  <c r="BA223" i="35"/>
  <c r="BA224" i="35"/>
  <c r="BA225" i="35"/>
  <c r="BA226" i="35"/>
  <c r="BA227" i="35"/>
  <c r="BA228" i="35"/>
  <c r="BA229" i="35"/>
  <c r="BA230" i="35"/>
  <c r="BA231" i="35"/>
  <c r="BA232" i="35"/>
  <c r="BA233" i="35"/>
  <c r="BA234" i="35"/>
  <c r="BA235" i="35"/>
  <c r="AZ247" i="35"/>
  <c r="BA247" i="35"/>
  <c r="BA248" i="35"/>
  <c r="BA249" i="35"/>
  <c r="BA250" i="35"/>
  <c r="BA251" i="35"/>
  <c r="BA252" i="35"/>
  <c r="BA253" i="35"/>
  <c r="BA254" i="35"/>
  <c r="BA255" i="35"/>
  <c r="BA256" i="35"/>
  <c r="BA257" i="35"/>
  <c r="BA258" i="35"/>
  <c r="BA259" i="35"/>
  <c r="BA260" i="35"/>
  <c r="BA261" i="35"/>
  <c r="BA262" i="35"/>
  <c r="BA263" i="35"/>
  <c r="AZ275" i="35"/>
  <c r="BA275" i="35"/>
  <c r="BA276" i="35"/>
  <c r="BA277" i="35"/>
  <c r="BA278" i="35"/>
  <c r="BA279" i="35"/>
  <c r="BA280" i="35"/>
  <c r="BA281" i="35"/>
  <c r="BA282" i="35"/>
  <c r="BA283" i="35"/>
  <c r="AZ291" i="35"/>
  <c r="BA291" i="35"/>
  <c r="BA292" i="35"/>
  <c r="BA293" i="35"/>
  <c r="BA294" i="35"/>
  <c r="BA295" i="35"/>
  <c r="AZ301" i="35"/>
  <c r="BA301" i="35"/>
  <c r="BA302" i="35"/>
  <c r="AZ308" i="35"/>
  <c r="BD6" i="35"/>
  <c r="BD24" i="35"/>
  <c r="BD42" i="35"/>
  <c r="BD60" i="35"/>
  <c r="BD78" i="35"/>
  <c r="BD96" i="35"/>
  <c r="BD114" i="35"/>
  <c r="BD132" i="35"/>
  <c r="BD7" i="35"/>
  <c r="BD8" i="35"/>
  <c r="BD9" i="35"/>
  <c r="BD10" i="35"/>
  <c r="BD11" i="35"/>
  <c r="BD12" i="35"/>
  <c r="BD13" i="35"/>
  <c r="BD14" i="35"/>
  <c r="BD15" i="35"/>
  <c r="BD16" i="35"/>
  <c r="BD17" i="35"/>
  <c r="BD18" i="35"/>
  <c r="BD19" i="35"/>
  <c r="BD20" i="35"/>
  <c r="BD21" i="35"/>
  <c r="BD22" i="35"/>
  <c r="BD23" i="35"/>
  <c r="BD25" i="35"/>
  <c r="BD26" i="35"/>
  <c r="BD27" i="35"/>
  <c r="BD28" i="35"/>
  <c r="BD29" i="35"/>
  <c r="BD30" i="35"/>
  <c r="BD31" i="35"/>
  <c r="BD32" i="35"/>
  <c r="BD33" i="35"/>
  <c r="BD34" i="35"/>
  <c r="BD35" i="35"/>
  <c r="BD36" i="35"/>
  <c r="BD37" i="35"/>
  <c r="BD38" i="35"/>
  <c r="BD39" i="35"/>
  <c r="BD40" i="35"/>
  <c r="BD41" i="35"/>
  <c r="BD43" i="35"/>
  <c r="BD44" i="35"/>
  <c r="BD45" i="35"/>
  <c r="BD46" i="35"/>
  <c r="BD47" i="35"/>
  <c r="BD48" i="35"/>
  <c r="BD49" i="35"/>
  <c r="BD50" i="35"/>
  <c r="BD51" i="35"/>
  <c r="BD52" i="35"/>
  <c r="BD53" i="35"/>
  <c r="BD54" i="35"/>
  <c r="BD55" i="35"/>
  <c r="BD56" i="35"/>
  <c r="BD57" i="35"/>
  <c r="BD58" i="35"/>
  <c r="BD59" i="35"/>
  <c r="BD61" i="35"/>
  <c r="BD62" i="35"/>
  <c r="BD63" i="35"/>
  <c r="BD64" i="35"/>
  <c r="BD65" i="35"/>
  <c r="BD66" i="35"/>
  <c r="BD67" i="35"/>
  <c r="BD68" i="35"/>
  <c r="BD69" i="35"/>
  <c r="BD70" i="35"/>
  <c r="BD71" i="35"/>
  <c r="BD72" i="35"/>
  <c r="BD73" i="35"/>
  <c r="BD74" i="35"/>
  <c r="BD75" i="35"/>
  <c r="BD76" i="35"/>
  <c r="BD77" i="35"/>
  <c r="BD79" i="35"/>
  <c r="BD80" i="35"/>
  <c r="BD81" i="35"/>
  <c r="BD82" i="35"/>
  <c r="BD83" i="35"/>
  <c r="BD84" i="35"/>
  <c r="BD85" i="35"/>
  <c r="BD86" i="35"/>
  <c r="BD87" i="35"/>
  <c r="BD88" i="35"/>
  <c r="BD89" i="35"/>
  <c r="BD90" i="35"/>
  <c r="BD91" i="35"/>
  <c r="BD92" i="35"/>
  <c r="BD93" i="35"/>
  <c r="BD94" i="35"/>
  <c r="BD95" i="35"/>
  <c r="BD97" i="35"/>
  <c r="BD98" i="35"/>
  <c r="BD99" i="35"/>
  <c r="BD100" i="35"/>
  <c r="BD101" i="35"/>
  <c r="BD102" i="35"/>
  <c r="BD103" i="35"/>
  <c r="BD104" i="35"/>
  <c r="BD105" i="35"/>
  <c r="BD106" i="35"/>
  <c r="BD107" i="35"/>
  <c r="BD108" i="35"/>
  <c r="BD109" i="35"/>
  <c r="BD110" i="35"/>
  <c r="BD111" i="35"/>
  <c r="BD112" i="35"/>
  <c r="BD113" i="35"/>
  <c r="BD115" i="35"/>
  <c r="BD116" i="35"/>
  <c r="BD117" i="35"/>
  <c r="BD118" i="35"/>
  <c r="BD119" i="35"/>
  <c r="BD120" i="35"/>
  <c r="BD121" i="35"/>
  <c r="BD122" i="35"/>
  <c r="BD123" i="35"/>
  <c r="BD124" i="35"/>
  <c r="BD125" i="35"/>
  <c r="BD126" i="35"/>
  <c r="BD127" i="35"/>
  <c r="BD128" i="35"/>
  <c r="BD129" i="35"/>
  <c r="BD130" i="35"/>
  <c r="BD131" i="35"/>
  <c r="BD133" i="35"/>
  <c r="BD134" i="35"/>
  <c r="BD135" i="35"/>
  <c r="BD136" i="35"/>
  <c r="BD137" i="35"/>
  <c r="BD138" i="35"/>
  <c r="BD139" i="35"/>
  <c r="BD140" i="35"/>
  <c r="BD141" i="35"/>
  <c r="BD142" i="35"/>
  <c r="BD143" i="35"/>
  <c r="BD144" i="35"/>
  <c r="BD145" i="35"/>
  <c r="BD146" i="35"/>
  <c r="BD147" i="35"/>
  <c r="BD148" i="35"/>
  <c r="BD149" i="35"/>
  <c r="BD150" i="35"/>
  <c r="BC219" i="35"/>
  <c r="BD219" i="35"/>
  <c r="BD220" i="35"/>
  <c r="BD221" i="35"/>
  <c r="BD222" i="35"/>
  <c r="BD223" i="35"/>
  <c r="BD224" i="35"/>
  <c r="BD225" i="35"/>
  <c r="BD226" i="35"/>
  <c r="BD227" i="35"/>
  <c r="BD228" i="35"/>
  <c r="BD229" i="35"/>
  <c r="BD230" i="35"/>
  <c r="BD231" i="35"/>
  <c r="BD232" i="35"/>
  <c r="BD233" i="35"/>
  <c r="BD234" i="35"/>
  <c r="BD235" i="35"/>
  <c r="BC247" i="35"/>
  <c r="BD247" i="35"/>
  <c r="BD248" i="35"/>
  <c r="BD249" i="35"/>
  <c r="BD250" i="35"/>
  <c r="BD251" i="35"/>
  <c r="BD252" i="35"/>
  <c r="BD253" i="35"/>
  <c r="BD254" i="35"/>
  <c r="BD255" i="35"/>
  <c r="BD256" i="35"/>
  <c r="BD257" i="35"/>
  <c r="BD258" i="35"/>
  <c r="BD259" i="35"/>
  <c r="BD260" i="35"/>
  <c r="BD261" i="35"/>
  <c r="BD262" i="35"/>
  <c r="BD263" i="35"/>
  <c r="BC275" i="35"/>
  <c r="BD275" i="35"/>
  <c r="BD276" i="35"/>
  <c r="BD277" i="35"/>
  <c r="BD278" i="35"/>
  <c r="BD279" i="35"/>
  <c r="BD280" i="35"/>
  <c r="BD281" i="35"/>
  <c r="BD282" i="35"/>
  <c r="BD283" i="35"/>
  <c r="BC291" i="35"/>
  <c r="BD291" i="35"/>
  <c r="BD292" i="35"/>
  <c r="BD293" i="35"/>
  <c r="BD294" i="35"/>
  <c r="BD295" i="35"/>
  <c r="BC301" i="35"/>
  <c r="BD301" i="35"/>
  <c r="BD302" i="35"/>
  <c r="BC308" i="35"/>
  <c r="BF6" i="35"/>
  <c r="BG6" i="35"/>
  <c r="BF24" i="35"/>
  <c r="BG24" i="35"/>
  <c r="BF42" i="35"/>
  <c r="BG42" i="35"/>
  <c r="BF60" i="35"/>
  <c r="BG60" i="35"/>
  <c r="BF78" i="35"/>
  <c r="BG78" i="35"/>
  <c r="BF96" i="35"/>
  <c r="BG96" i="35"/>
  <c r="BF114" i="35"/>
  <c r="BG114" i="35"/>
  <c r="BF132" i="35"/>
  <c r="BG132" i="35"/>
  <c r="BG7" i="35"/>
  <c r="BG8" i="35"/>
  <c r="BG9" i="35"/>
  <c r="BG10" i="35"/>
  <c r="BG11" i="35"/>
  <c r="BG12" i="35"/>
  <c r="BG13" i="35"/>
  <c r="BG14" i="35"/>
  <c r="BG15" i="35"/>
  <c r="BG16" i="35"/>
  <c r="BG17" i="35"/>
  <c r="BG18" i="35"/>
  <c r="BG19" i="35"/>
  <c r="BG20" i="35"/>
  <c r="BG21" i="35"/>
  <c r="BG22" i="35"/>
  <c r="BG23" i="35"/>
  <c r="BG25" i="35"/>
  <c r="BG26" i="35"/>
  <c r="BG27" i="35"/>
  <c r="BG28" i="35"/>
  <c r="BG29" i="35"/>
  <c r="BG30" i="35"/>
  <c r="BG31" i="35"/>
  <c r="BG32" i="35"/>
  <c r="BG33" i="35"/>
  <c r="BG34" i="35"/>
  <c r="BG35" i="35"/>
  <c r="BG36" i="35"/>
  <c r="BG37" i="35"/>
  <c r="BG38" i="35"/>
  <c r="BG39" i="35"/>
  <c r="BG40" i="35"/>
  <c r="BG41" i="35"/>
  <c r="BG43" i="35"/>
  <c r="BG44" i="35"/>
  <c r="BG45" i="35"/>
  <c r="BG46" i="35"/>
  <c r="BG47" i="35"/>
  <c r="BG48" i="35"/>
  <c r="BG49" i="35"/>
  <c r="BG50" i="35"/>
  <c r="BG51" i="35"/>
  <c r="BG52" i="35"/>
  <c r="BG53" i="35"/>
  <c r="BG54" i="35"/>
  <c r="BG55" i="35"/>
  <c r="BG56" i="35"/>
  <c r="BG57" i="35"/>
  <c r="BG58" i="35"/>
  <c r="BG59" i="35"/>
  <c r="BG61" i="35"/>
  <c r="BG62" i="35"/>
  <c r="BG63" i="35"/>
  <c r="BG64" i="35"/>
  <c r="BG65" i="35"/>
  <c r="BG66" i="35"/>
  <c r="BG67" i="35"/>
  <c r="BG68" i="35"/>
  <c r="BG69" i="35"/>
  <c r="BG70" i="35"/>
  <c r="BG71" i="35"/>
  <c r="BG72" i="35"/>
  <c r="BG73" i="35"/>
  <c r="BG74" i="35"/>
  <c r="BG75" i="35"/>
  <c r="BG76" i="35"/>
  <c r="BG77" i="35"/>
  <c r="BG79" i="35"/>
  <c r="BG80" i="35"/>
  <c r="BG81" i="35"/>
  <c r="BG82" i="35"/>
  <c r="BG83" i="35"/>
  <c r="BG84" i="35"/>
  <c r="BG85" i="35"/>
  <c r="BG86" i="35"/>
  <c r="BG87" i="35"/>
  <c r="BG88" i="35"/>
  <c r="BG89" i="35"/>
  <c r="BG90" i="35"/>
  <c r="BG91" i="35"/>
  <c r="BG92" i="35"/>
  <c r="BG93" i="35"/>
  <c r="BG94" i="35"/>
  <c r="BG95" i="35"/>
  <c r="BG97" i="35"/>
  <c r="BG98" i="35"/>
  <c r="BG99" i="35"/>
  <c r="BG100" i="35"/>
  <c r="BG101" i="35"/>
  <c r="BG102" i="35"/>
  <c r="BG103" i="35"/>
  <c r="BG104" i="35"/>
  <c r="BG105" i="35"/>
  <c r="BG106" i="35"/>
  <c r="BG107" i="35"/>
  <c r="BG108" i="35"/>
  <c r="BG109" i="35"/>
  <c r="BG110" i="35"/>
  <c r="BG111" i="35"/>
  <c r="BG112" i="35"/>
  <c r="BG113" i="35"/>
  <c r="BG115" i="35"/>
  <c r="BG116" i="35"/>
  <c r="BG117" i="35"/>
  <c r="BG118" i="35"/>
  <c r="BG119" i="35"/>
  <c r="BG120" i="35"/>
  <c r="BG121" i="35"/>
  <c r="BG122" i="35"/>
  <c r="BG123" i="35"/>
  <c r="BG124" i="35"/>
  <c r="BG125" i="35"/>
  <c r="BG126" i="35"/>
  <c r="BG127" i="35"/>
  <c r="BG128" i="35"/>
  <c r="BG129" i="35"/>
  <c r="BG130" i="35"/>
  <c r="BG131" i="35"/>
  <c r="BG133" i="35"/>
  <c r="BG134" i="35"/>
  <c r="BG135" i="35"/>
  <c r="BG136" i="35"/>
  <c r="BG137" i="35"/>
  <c r="BG138" i="35"/>
  <c r="BG139" i="35"/>
  <c r="BG140" i="35"/>
  <c r="BG141" i="35"/>
  <c r="BG142" i="35"/>
  <c r="BG143" i="35"/>
  <c r="BG144" i="35"/>
  <c r="BG145" i="35"/>
  <c r="BG146" i="35"/>
  <c r="BG147" i="35"/>
  <c r="BG148" i="35"/>
  <c r="BG149" i="35"/>
  <c r="BG150" i="35"/>
  <c r="BF219" i="35"/>
  <c r="BG219" i="35"/>
  <c r="BG220" i="35"/>
  <c r="BG221" i="35"/>
  <c r="BG222" i="35"/>
  <c r="BG223" i="35"/>
  <c r="BG224" i="35"/>
  <c r="BG225" i="35"/>
  <c r="BG226" i="35"/>
  <c r="BG227" i="35"/>
  <c r="BG228" i="35"/>
  <c r="BG229" i="35"/>
  <c r="BG230" i="35"/>
  <c r="BG231" i="35"/>
  <c r="BG232" i="35"/>
  <c r="BG233" i="35"/>
  <c r="BG234" i="35"/>
  <c r="BG235" i="35"/>
  <c r="BF247" i="35"/>
  <c r="BG247" i="35"/>
  <c r="BG248" i="35"/>
  <c r="BG249" i="35"/>
  <c r="BG250" i="35"/>
  <c r="BG251" i="35"/>
  <c r="BG252" i="35"/>
  <c r="BG253" i="35"/>
  <c r="BG254" i="35"/>
  <c r="BG255" i="35"/>
  <c r="BG256" i="35"/>
  <c r="BG257" i="35"/>
  <c r="BG258" i="35"/>
  <c r="BG259" i="35"/>
  <c r="BG260" i="35"/>
  <c r="BG261" i="35"/>
  <c r="BG262" i="35"/>
  <c r="BG263" i="35"/>
  <c r="BF275" i="35"/>
  <c r="BG275" i="35"/>
  <c r="BG276" i="35"/>
  <c r="BG277" i="35"/>
  <c r="BG278" i="35"/>
  <c r="BG279" i="35"/>
  <c r="BG280" i="35"/>
  <c r="BG281" i="35"/>
  <c r="BG282" i="35"/>
  <c r="BG283" i="35"/>
  <c r="BF291" i="35"/>
  <c r="BG291" i="35"/>
  <c r="BG292" i="35"/>
  <c r="BG293" i="35"/>
  <c r="BG294" i="35"/>
  <c r="BG295" i="35"/>
  <c r="BF301" i="35"/>
  <c r="BG301" i="35"/>
  <c r="BG302" i="35"/>
  <c r="BF308" i="35"/>
  <c r="BI6" i="35"/>
  <c r="BJ6" i="35"/>
  <c r="BI24" i="35"/>
  <c r="BJ24" i="35"/>
  <c r="BI42" i="35"/>
  <c r="BJ42" i="35"/>
  <c r="BI60" i="35"/>
  <c r="BJ60" i="35"/>
  <c r="BI78" i="35"/>
  <c r="BJ78" i="35"/>
  <c r="BI96" i="35"/>
  <c r="BJ96" i="35"/>
  <c r="BI114" i="35"/>
  <c r="BJ114" i="35"/>
  <c r="BI132" i="35"/>
  <c r="BJ132" i="35"/>
  <c r="BJ7" i="35"/>
  <c r="BJ8" i="35"/>
  <c r="BJ9" i="35"/>
  <c r="BJ10" i="35"/>
  <c r="BJ11" i="35"/>
  <c r="BJ12" i="35"/>
  <c r="BJ13" i="35"/>
  <c r="BJ14" i="35"/>
  <c r="BJ15" i="35"/>
  <c r="BJ16" i="35"/>
  <c r="BJ17" i="35"/>
  <c r="BJ18" i="35"/>
  <c r="BJ19" i="35"/>
  <c r="BJ20" i="35"/>
  <c r="BJ21" i="35"/>
  <c r="BJ22" i="35"/>
  <c r="BJ23" i="35"/>
  <c r="BJ25" i="35"/>
  <c r="BJ26" i="35"/>
  <c r="BJ27" i="35"/>
  <c r="BJ28" i="35"/>
  <c r="BJ29" i="35"/>
  <c r="BJ30" i="35"/>
  <c r="BJ31" i="35"/>
  <c r="BJ32" i="35"/>
  <c r="BJ33" i="35"/>
  <c r="BJ34" i="35"/>
  <c r="BJ35" i="35"/>
  <c r="BJ36" i="35"/>
  <c r="BJ37" i="35"/>
  <c r="BJ38" i="35"/>
  <c r="BJ39" i="35"/>
  <c r="BJ40" i="35"/>
  <c r="BJ41" i="35"/>
  <c r="BJ43" i="35"/>
  <c r="BJ44" i="35"/>
  <c r="BJ45" i="35"/>
  <c r="BJ46" i="35"/>
  <c r="BJ47" i="35"/>
  <c r="BJ48" i="35"/>
  <c r="BJ49" i="35"/>
  <c r="BJ50" i="35"/>
  <c r="BJ51" i="35"/>
  <c r="BJ52" i="35"/>
  <c r="BJ53" i="35"/>
  <c r="BJ54" i="35"/>
  <c r="BJ55" i="35"/>
  <c r="BJ56" i="35"/>
  <c r="BJ57" i="35"/>
  <c r="BJ58" i="35"/>
  <c r="BJ59" i="35"/>
  <c r="BJ61" i="35"/>
  <c r="BJ62" i="35"/>
  <c r="BJ63" i="35"/>
  <c r="BJ64" i="35"/>
  <c r="BJ65" i="35"/>
  <c r="BJ66" i="35"/>
  <c r="BJ67" i="35"/>
  <c r="BJ68" i="35"/>
  <c r="BJ69" i="35"/>
  <c r="BJ70" i="35"/>
  <c r="BJ71" i="35"/>
  <c r="BJ72" i="35"/>
  <c r="BJ73" i="35"/>
  <c r="BJ74" i="35"/>
  <c r="BJ75" i="35"/>
  <c r="BJ76" i="35"/>
  <c r="BJ77" i="35"/>
  <c r="BJ79" i="35"/>
  <c r="BJ80" i="35"/>
  <c r="BJ81" i="35"/>
  <c r="BJ82" i="35"/>
  <c r="BJ83" i="35"/>
  <c r="BJ84" i="35"/>
  <c r="BJ85" i="35"/>
  <c r="BJ86" i="35"/>
  <c r="BJ87" i="35"/>
  <c r="BJ88" i="35"/>
  <c r="BJ89" i="35"/>
  <c r="BJ90" i="35"/>
  <c r="BJ91" i="35"/>
  <c r="BJ92" i="35"/>
  <c r="BJ93" i="35"/>
  <c r="BJ94" i="35"/>
  <c r="BJ95" i="35"/>
  <c r="BJ97" i="35"/>
  <c r="BJ98" i="35"/>
  <c r="BJ99" i="35"/>
  <c r="BJ100" i="35"/>
  <c r="BJ101" i="35"/>
  <c r="BJ102" i="35"/>
  <c r="BJ103" i="35"/>
  <c r="BJ104" i="35"/>
  <c r="BJ105" i="35"/>
  <c r="BJ106" i="35"/>
  <c r="BJ107" i="35"/>
  <c r="BJ108" i="35"/>
  <c r="BJ109" i="35"/>
  <c r="BJ110" i="35"/>
  <c r="BJ111" i="35"/>
  <c r="BJ112" i="35"/>
  <c r="BJ113" i="35"/>
  <c r="BJ115" i="35"/>
  <c r="BJ116" i="35"/>
  <c r="BJ117" i="35"/>
  <c r="BJ118" i="35"/>
  <c r="BJ119" i="35"/>
  <c r="BJ120" i="35"/>
  <c r="BJ121" i="35"/>
  <c r="BJ122" i="35"/>
  <c r="BJ123" i="35"/>
  <c r="BJ124" i="35"/>
  <c r="BJ125" i="35"/>
  <c r="BJ126" i="35"/>
  <c r="BJ127" i="35"/>
  <c r="BJ128" i="35"/>
  <c r="BJ129" i="35"/>
  <c r="BJ130" i="35"/>
  <c r="BJ131" i="35"/>
  <c r="BJ133" i="35"/>
  <c r="BJ134" i="35"/>
  <c r="BJ135" i="35"/>
  <c r="BJ136" i="35"/>
  <c r="BJ137" i="35"/>
  <c r="BJ138" i="35"/>
  <c r="BJ139" i="35"/>
  <c r="BJ140" i="35"/>
  <c r="BJ141" i="35"/>
  <c r="BJ142" i="35"/>
  <c r="BJ143" i="35"/>
  <c r="BJ144" i="35"/>
  <c r="BJ145" i="35"/>
  <c r="BJ146" i="35"/>
  <c r="BJ147" i="35"/>
  <c r="BJ148" i="35"/>
  <c r="BJ149" i="35"/>
  <c r="BJ150" i="35"/>
  <c r="BI219" i="35"/>
  <c r="BJ219" i="35"/>
  <c r="BJ220" i="35"/>
  <c r="BJ221" i="35"/>
  <c r="BJ222" i="35"/>
  <c r="BJ223" i="35"/>
  <c r="BJ224" i="35"/>
  <c r="BJ225" i="35"/>
  <c r="BJ226" i="35"/>
  <c r="BJ227" i="35"/>
  <c r="BJ228" i="35"/>
  <c r="BJ229" i="35"/>
  <c r="BJ230" i="35"/>
  <c r="BJ231" i="35"/>
  <c r="BJ232" i="35"/>
  <c r="BJ233" i="35"/>
  <c r="BJ234" i="35"/>
  <c r="BJ235" i="35"/>
  <c r="BI247" i="35"/>
  <c r="BJ247" i="35"/>
  <c r="BJ248" i="35"/>
  <c r="BJ249" i="35"/>
  <c r="BJ250" i="35"/>
  <c r="BJ251" i="35"/>
  <c r="BJ252" i="35"/>
  <c r="BJ253" i="35"/>
  <c r="BJ254" i="35"/>
  <c r="BJ255" i="35"/>
  <c r="BJ256" i="35"/>
  <c r="BJ257" i="35"/>
  <c r="BJ258" i="35"/>
  <c r="BJ259" i="35"/>
  <c r="BJ260" i="35"/>
  <c r="BJ261" i="35"/>
  <c r="BJ262" i="35"/>
  <c r="BJ263" i="35"/>
  <c r="BI275" i="35"/>
  <c r="BJ275" i="35"/>
  <c r="BJ276" i="35"/>
  <c r="BJ277" i="35"/>
  <c r="BJ278" i="35"/>
  <c r="BJ279" i="35"/>
  <c r="BJ280" i="35"/>
  <c r="BJ281" i="35"/>
  <c r="BJ282" i="35"/>
  <c r="BJ283" i="35"/>
  <c r="BI291" i="35"/>
  <c r="BJ291" i="35"/>
  <c r="BJ292" i="35"/>
  <c r="BJ293" i="35"/>
  <c r="BJ294" i="35"/>
  <c r="BJ295" i="35"/>
  <c r="BI301" i="35"/>
  <c r="BJ301" i="35"/>
  <c r="BJ302" i="35"/>
  <c r="BI308" i="35"/>
  <c r="BJ304" i="35"/>
  <c r="BJ305" i="35"/>
  <c r="BL6" i="35"/>
  <c r="BM6" i="35"/>
  <c r="BL24" i="35"/>
  <c r="BM24" i="35"/>
  <c r="BL42" i="35"/>
  <c r="BM42" i="35"/>
  <c r="BL60" i="35"/>
  <c r="BM60" i="35"/>
  <c r="BL78" i="35"/>
  <c r="BM78" i="35"/>
  <c r="BL96" i="35"/>
  <c r="BM96" i="35"/>
  <c r="BL114" i="35"/>
  <c r="BM114" i="35"/>
  <c r="BL132" i="35"/>
  <c r="BM132" i="35"/>
  <c r="BM7" i="35"/>
  <c r="BM8" i="35"/>
  <c r="BM9" i="35"/>
  <c r="BM10" i="35"/>
  <c r="BM11" i="35"/>
  <c r="BM12" i="35"/>
  <c r="BM13" i="35"/>
  <c r="BM14" i="35"/>
  <c r="BM15" i="35"/>
  <c r="BM16" i="35"/>
  <c r="BM17" i="35"/>
  <c r="BM18" i="35"/>
  <c r="BM19" i="35"/>
  <c r="BM20" i="35"/>
  <c r="BM21" i="35"/>
  <c r="BM22" i="35"/>
  <c r="BM23" i="35"/>
  <c r="BM25" i="35"/>
  <c r="BM26" i="35"/>
  <c r="BM27" i="35"/>
  <c r="BM28" i="35"/>
  <c r="BM29" i="35"/>
  <c r="BM30" i="35"/>
  <c r="BM31" i="35"/>
  <c r="BM32" i="35"/>
  <c r="BM33" i="35"/>
  <c r="BM34" i="35"/>
  <c r="BM35" i="35"/>
  <c r="BM36" i="35"/>
  <c r="BM37" i="35"/>
  <c r="BM38" i="35"/>
  <c r="BM39" i="35"/>
  <c r="BM40" i="35"/>
  <c r="BM41" i="35"/>
  <c r="BM43" i="35"/>
  <c r="BM44" i="35"/>
  <c r="BM45" i="35"/>
  <c r="BM46" i="35"/>
  <c r="BM47" i="35"/>
  <c r="BM48" i="35"/>
  <c r="BM49" i="35"/>
  <c r="BM50" i="35"/>
  <c r="BM51" i="35"/>
  <c r="BM52" i="35"/>
  <c r="BM53" i="35"/>
  <c r="BM54" i="35"/>
  <c r="BM55" i="35"/>
  <c r="BM56" i="35"/>
  <c r="BM57" i="35"/>
  <c r="BM58" i="35"/>
  <c r="BM59" i="35"/>
  <c r="BM61" i="35"/>
  <c r="BM62" i="35"/>
  <c r="BM63" i="35"/>
  <c r="BM64" i="35"/>
  <c r="BM65" i="35"/>
  <c r="BM66" i="35"/>
  <c r="BM67" i="35"/>
  <c r="BM68" i="35"/>
  <c r="BM69" i="35"/>
  <c r="BM70" i="35"/>
  <c r="BM71" i="35"/>
  <c r="BM72" i="35"/>
  <c r="BM73" i="35"/>
  <c r="BM74" i="35"/>
  <c r="BM75" i="35"/>
  <c r="BM76" i="35"/>
  <c r="BM77" i="35"/>
  <c r="BM79" i="35"/>
  <c r="BM80" i="35"/>
  <c r="BM81" i="35"/>
  <c r="BM82" i="35"/>
  <c r="BM83" i="35"/>
  <c r="BM84" i="35"/>
  <c r="BM85" i="35"/>
  <c r="BM86" i="35"/>
  <c r="BM87" i="35"/>
  <c r="BM88" i="35"/>
  <c r="BM89" i="35"/>
  <c r="BM90" i="35"/>
  <c r="BM91" i="35"/>
  <c r="BM92" i="35"/>
  <c r="BM93" i="35"/>
  <c r="BM94" i="35"/>
  <c r="BM95" i="35"/>
  <c r="BM97" i="35"/>
  <c r="BM98" i="35"/>
  <c r="BM99" i="35"/>
  <c r="BM100" i="35"/>
  <c r="BM101" i="35"/>
  <c r="BM102" i="35"/>
  <c r="BM103" i="35"/>
  <c r="BM104" i="35"/>
  <c r="BM105" i="35"/>
  <c r="BM106" i="35"/>
  <c r="BM107" i="35"/>
  <c r="BM108" i="35"/>
  <c r="BM109" i="35"/>
  <c r="BM110" i="35"/>
  <c r="BM111" i="35"/>
  <c r="BM112" i="35"/>
  <c r="BM113" i="35"/>
  <c r="BM115" i="35"/>
  <c r="BM116" i="35"/>
  <c r="BM117" i="35"/>
  <c r="BM118" i="35"/>
  <c r="BM119" i="35"/>
  <c r="BM120" i="35"/>
  <c r="BM121" i="35"/>
  <c r="BM122" i="35"/>
  <c r="BM123" i="35"/>
  <c r="BM124" i="35"/>
  <c r="BM125" i="35"/>
  <c r="BM126" i="35"/>
  <c r="BM127" i="35"/>
  <c r="BM128" i="35"/>
  <c r="BM129" i="35"/>
  <c r="BM130" i="35"/>
  <c r="BM131" i="35"/>
  <c r="BM133" i="35"/>
  <c r="BM134" i="35"/>
  <c r="BM135" i="35"/>
  <c r="BM136" i="35"/>
  <c r="BM137" i="35"/>
  <c r="BM138" i="35"/>
  <c r="BM139" i="35"/>
  <c r="BM140" i="35"/>
  <c r="BM141" i="35"/>
  <c r="BM142" i="35"/>
  <c r="BM143" i="35"/>
  <c r="BM144" i="35"/>
  <c r="BM145" i="35"/>
  <c r="BM146" i="35"/>
  <c r="BM147" i="35"/>
  <c r="BM148" i="35"/>
  <c r="BM149" i="35"/>
  <c r="BM150" i="35"/>
  <c r="BL219" i="35"/>
  <c r="BM219" i="35"/>
  <c r="BM220" i="35"/>
  <c r="BM221" i="35"/>
  <c r="BM222" i="35"/>
  <c r="BM223" i="35"/>
  <c r="BM224" i="35"/>
  <c r="BM225" i="35"/>
  <c r="BM226" i="35"/>
  <c r="BM227" i="35"/>
  <c r="BM228" i="35"/>
  <c r="BM229" i="35"/>
  <c r="BM230" i="35"/>
  <c r="BM231" i="35"/>
  <c r="BM232" i="35"/>
  <c r="BM233" i="35"/>
  <c r="BM234" i="35"/>
  <c r="BM235" i="35"/>
  <c r="BL247" i="35"/>
  <c r="BM247" i="35"/>
  <c r="BM248" i="35"/>
  <c r="BM249" i="35"/>
  <c r="BM250" i="35"/>
  <c r="BM251" i="35"/>
  <c r="BM252" i="35"/>
  <c r="BM253" i="35"/>
  <c r="BM254" i="35"/>
  <c r="BM255" i="35"/>
  <c r="BM256" i="35"/>
  <c r="BM257" i="35"/>
  <c r="BM258" i="35"/>
  <c r="BM259" i="35"/>
  <c r="BM260" i="35"/>
  <c r="BM261" i="35"/>
  <c r="BM262" i="35"/>
  <c r="BM263" i="35"/>
  <c r="BL275" i="35"/>
  <c r="BM275" i="35"/>
  <c r="BM276" i="35"/>
  <c r="BM277" i="35"/>
  <c r="BM278" i="35"/>
  <c r="BM279" i="35"/>
  <c r="BM280" i="35"/>
  <c r="BM281" i="35"/>
  <c r="BM282" i="35"/>
  <c r="BM283" i="35"/>
  <c r="BL291" i="35"/>
  <c r="BM291" i="35"/>
  <c r="BM292" i="35"/>
  <c r="BM293" i="35"/>
  <c r="BM294" i="35"/>
  <c r="BM295" i="35"/>
  <c r="BL301" i="35"/>
  <c r="BM301" i="35"/>
  <c r="BM302" i="35"/>
  <c r="BL308" i="35"/>
  <c r="BM297" i="35"/>
  <c r="BM298" i="35"/>
  <c r="BM299" i="35"/>
  <c r="BM304" i="35"/>
  <c r="BM305" i="35"/>
  <c r="BO6" i="35"/>
  <c r="BP6" i="35"/>
  <c r="BO24" i="35"/>
  <c r="BP24" i="35"/>
  <c r="BO42" i="35"/>
  <c r="BP42" i="35"/>
  <c r="BO60" i="35"/>
  <c r="BP60" i="35"/>
  <c r="BO78" i="35"/>
  <c r="BP78" i="35"/>
  <c r="BO96" i="35"/>
  <c r="BP96" i="35"/>
  <c r="BO114" i="35"/>
  <c r="BP114" i="35"/>
  <c r="BO132" i="35"/>
  <c r="BP132" i="35"/>
  <c r="BP7" i="35"/>
  <c r="BP8" i="35"/>
  <c r="BP9" i="35"/>
  <c r="BP10" i="35"/>
  <c r="BP11" i="35"/>
  <c r="BP12" i="35"/>
  <c r="BP13" i="35"/>
  <c r="BP14" i="35"/>
  <c r="BP15" i="35"/>
  <c r="BP16" i="35"/>
  <c r="BP17" i="35"/>
  <c r="BP18" i="35"/>
  <c r="BP19" i="35"/>
  <c r="BP20" i="35"/>
  <c r="BP21" i="35"/>
  <c r="BP22" i="35"/>
  <c r="BP23" i="35"/>
  <c r="BP25" i="35"/>
  <c r="BP26" i="35"/>
  <c r="BP27" i="35"/>
  <c r="BP28" i="35"/>
  <c r="BP29" i="35"/>
  <c r="BP30" i="35"/>
  <c r="BP31" i="35"/>
  <c r="BP32" i="35"/>
  <c r="BP33" i="35"/>
  <c r="BP34" i="35"/>
  <c r="BP35" i="35"/>
  <c r="BP36" i="35"/>
  <c r="BP37" i="35"/>
  <c r="BP38" i="35"/>
  <c r="BP39" i="35"/>
  <c r="BP40" i="35"/>
  <c r="BP41" i="35"/>
  <c r="BP43" i="35"/>
  <c r="BP44" i="35"/>
  <c r="BP45" i="35"/>
  <c r="BP46" i="35"/>
  <c r="BP47" i="35"/>
  <c r="BP48" i="35"/>
  <c r="BP49" i="35"/>
  <c r="BP50" i="35"/>
  <c r="BP51" i="35"/>
  <c r="BP52" i="35"/>
  <c r="BP53" i="35"/>
  <c r="BP54" i="35"/>
  <c r="BP55" i="35"/>
  <c r="BP56" i="35"/>
  <c r="BP57" i="35"/>
  <c r="BP58" i="35"/>
  <c r="BP59" i="35"/>
  <c r="BP61" i="35"/>
  <c r="BP62" i="35"/>
  <c r="BP63" i="35"/>
  <c r="BP64" i="35"/>
  <c r="BP65" i="35"/>
  <c r="BP66" i="35"/>
  <c r="BP67" i="35"/>
  <c r="BP68" i="35"/>
  <c r="BP69" i="35"/>
  <c r="BP70" i="35"/>
  <c r="BP71" i="35"/>
  <c r="BP72" i="35"/>
  <c r="BP73" i="35"/>
  <c r="BP74" i="35"/>
  <c r="BP75" i="35"/>
  <c r="BP76" i="35"/>
  <c r="BP77" i="35"/>
  <c r="BP79" i="35"/>
  <c r="BP80" i="35"/>
  <c r="BP81" i="35"/>
  <c r="BP82" i="35"/>
  <c r="BP83" i="35"/>
  <c r="BP84" i="35"/>
  <c r="BP85" i="35"/>
  <c r="BP86" i="35"/>
  <c r="BP87" i="35"/>
  <c r="BP88" i="35"/>
  <c r="BP89" i="35"/>
  <c r="BP90" i="35"/>
  <c r="BP91" i="35"/>
  <c r="BP92" i="35"/>
  <c r="BP93" i="35"/>
  <c r="BP94" i="35"/>
  <c r="BP95" i="35"/>
  <c r="BP97" i="35"/>
  <c r="BP98" i="35"/>
  <c r="BP99" i="35"/>
  <c r="BP100" i="35"/>
  <c r="BP101" i="35"/>
  <c r="BP102" i="35"/>
  <c r="BP103" i="35"/>
  <c r="BP104" i="35"/>
  <c r="BP105" i="35"/>
  <c r="BP106" i="35"/>
  <c r="BP107" i="35"/>
  <c r="BP108" i="35"/>
  <c r="BP109" i="35"/>
  <c r="BP110" i="35"/>
  <c r="BP111" i="35"/>
  <c r="BP112" i="35"/>
  <c r="BP113" i="35"/>
  <c r="BP115" i="35"/>
  <c r="BP116" i="35"/>
  <c r="BP117" i="35"/>
  <c r="BP118" i="35"/>
  <c r="BP119" i="35"/>
  <c r="BP120" i="35"/>
  <c r="BP121" i="35"/>
  <c r="BP122" i="35"/>
  <c r="BP123" i="35"/>
  <c r="BP124" i="35"/>
  <c r="BP125" i="35"/>
  <c r="BP126" i="35"/>
  <c r="BP127" i="35"/>
  <c r="BP128" i="35"/>
  <c r="BP129" i="35"/>
  <c r="BP130" i="35"/>
  <c r="BP131" i="35"/>
  <c r="BP133" i="35"/>
  <c r="BP134" i="35"/>
  <c r="BP135" i="35"/>
  <c r="BP136" i="35"/>
  <c r="BP137" i="35"/>
  <c r="BP138" i="35"/>
  <c r="BP139" i="35"/>
  <c r="BP140" i="35"/>
  <c r="BP141" i="35"/>
  <c r="BP142" i="35"/>
  <c r="BP143" i="35"/>
  <c r="BP144" i="35"/>
  <c r="BP145" i="35"/>
  <c r="BP146" i="35"/>
  <c r="BP147" i="35"/>
  <c r="BP148" i="35"/>
  <c r="BP149" i="35"/>
  <c r="BP150" i="35"/>
  <c r="BO219" i="35"/>
  <c r="BP219" i="35"/>
  <c r="BP220" i="35"/>
  <c r="BP221" i="35"/>
  <c r="BP222" i="35"/>
  <c r="BP223" i="35"/>
  <c r="BP224" i="35"/>
  <c r="BP225" i="35"/>
  <c r="BP226" i="35"/>
  <c r="BP227" i="35"/>
  <c r="BP228" i="35"/>
  <c r="BP229" i="35"/>
  <c r="BP230" i="35"/>
  <c r="BP231" i="35"/>
  <c r="BP232" i="35"/>
  <c r="BP233" i="35"/>
  <c r="BP234" i="35"/>
  <c r="BP235" i="35"/>
  <c r="BO247" i="35"/>
  <c r="BP247" i="35"/>
  <c r="BP248" i="35"/>
  <c r="BP249" i="35"/>
  <c r="BP250" i="35"/>
  <c r="BP251" i="35"/>
  <c r="BP252" i="35"/>
  <c r="BP253" i="35"/>
  <c r="BP254" i="35"/>
  <c r="BP255" i="35"/>
  <c r="BP256" i="35"/>
  <c r="BP257" i="35"/>
  <c r="BP258" i="35"/>
  <c r="BP259" i="35"/>
  <c r="BP260" i="35"/>
  <c r="BP261" i="35"/>
  <c r="BP262" i="35"/>
  <c r="BP263" i="35"/>
  <c r="BO275" i="35"/>
  <c r="BP275" i="35"/>
  <c r="BP276" i="35"/>
  <c r="BP277" i="35"/>
  <c r="BP278" i="35"/>
  <c r="BP279" i="35"/>
  <c r="BP280" i="35"/>
  <c r="BP281" i="35"/>
  <c r="BP282" i="35"/>
  <c r="BP283" i="35"/>
  <c r="BO291" i="35"/>
  <c r="BP291" i="35"/>
  <c r="BP292" i="35"/>
  <c r="BP293" i="35"/>
  <c r="BP294" i="35"/>
  <c r="BP295" i="35"/>
  <c r="BO301" i="35"/>
  <c r="BP301" i="35"/>
  <c r="BP302" i="35"/>
  <c r="BO308" i="35"/>
  <c r="BP297" i="35"/>
  <c r="BP298" i="35"/>
  <c r="BP299" i="35"/>
  <c r="BP304" i="35"/>
  <c r="BP305" i="35"/>
  <c r="BR6" i="35"/>
  <c r="BS6" i="35"/>
  <c r="BR24" i="35"/>
  <c r="BS24" i="35"/>
  <c r="BR42" i="35"/>
  <c r="BS42" i="35"/>
  <c r="BR60" i="35"/>
  <c r="BS60" i="35"/>
  <c r="BR78" i="35"/>
  <c r="BS78" i="35"/>
  <c r="BR96" i="35"/>
  <c r="BS96" i="35"/>
  <c r="BR114" i="35"/>
  <c r="BS114" i="35"/>
  <c r="BR132" i="35"/>
  <c r="BS132" i="35"/>
  <c r="BS7" i="35"/>
  <c r="BS8" i="35"/>
  <c r="BS9" i="35"/>
  <c r="BS10" i="35"/>
  <c r="BS11" i="35"/>
  <c r="BS12" i="35"/>
  <c r="BS13" i="35"/>
  <c r="BS14" i="35"/>
  <c r="BS15" i="35"/>
  <c r="BS16" i="35"/>
  <c r="BS17" i="35"/>
  <c r="BS18" i="35"/>
  <c r="BS19" i="35"/>
  <c r="BS20" i="35"/>
  <c r="BS21" i="35"/>
  <c r="BS22" i="35"/>
  <c r="BS23" i="35"/>
  <c r="BS25" i="35"/>
  <c r="BS26" i="35"/>
  <c r="BS27" i="35"/>
  <c r="BS28" i="35"/>
  <c r="BS29" i="35"/>
  <c r="BS30" i="35"/>
  <c r="BS31" i="35"/>
  <c r="BS32" i="35"/>
  <c r="BS33" i="35"/>
  <c r="BS34" i="35"/>
  <c r="BS35" i="35"/>
  <c r="BS36" i="35"/>
  <c r="BS37" i="35"/>
  <c r="BS38" i="35"/>
  <c r="BS39" i="35"/>
  <c r="BS40" i="35"/>
  <c r="BS41" i="35"/>
  <c r="BS43" i="35"/>
  <c r="BS44" i="35"/>
  <c r="BS45" i="35"/>
  <c r="BS46" i="35"/>
  <c r="BS47" i="35"/>
  <c r="BS48" i="35"/>
  <c r="BS49" i="35"/>
  <c r="BS50" i="35"/>
  <c r="BS51" i="35"/>
  <c r="BS52" i="35"/>
  <c r="BS53" i="35"/>
  <c r="BS54" i="35"/>
  <c r="BS55" i="35"/>
  <c r="BS56" i="35"/>
  <c r="BS57" i="35"/>
  <c r="BS58" i="35"/>
  <c r="BS59" i="35"/>
  <c r="BS61" i="35"/>
  <c r="BS62" i="35"/>
  <c r="BS63" i="35"/>
  <c r="BS64" i="35"/>
  <c r="BS65" i="35"/>
  <c r="BS66" i="35"/>
  <c r="BS67" i="35"/>
  <c r="BS68" i="35"/>
  <c r="BS69" i="35"/>
  <c r="BS70" i="35"/>
  <c r="BS71" i="35"/>
  <c r="BS72" i="35"/>
  <c r="BS73" i="35"/>
  <c r="BS74" i="35"/>
  <c r="BS75" i="35"/>
  <c r="BS76" i="35"/>
  <c r="BS77" i="35"/>
  <c r="BS79" i="35"/>
  <c r="BS80" i="35"/>
  <c r="BS81" i="35"/>
  <c r="BS82" i="35"/>
  <c r="BS83" i="35"/>
  <c r="BS84" i="35"/>
  <c r="BS85" i="35"/>
  <c r="BS86" i="35"/>
  <c r="BS87" i="35"/>
  <c r="BS88" i="35"/>
  <c r="BS89" i="35"/>
  <c r="BS90" i="35"/>
  <c r="BS91" i="35"/>
  <c r="BS92" i="35"/>
  <c r="BS93" i="35"/>
  <c r="BS94" i="35"/>
  <c r="BS95" i="35"/>
  <c r="BS97" i="35"/>
  <c r="BS98" i="35"/>
  <c r="BS99" i="35"/>
  <c r="BS100" i="35"/>
  <c r="BS101" i="35"/>
  <c r="BS102" i="35"/>
  <c r="BS103" i="35"/>
  <c r="BS104" i="35"/>
  <c r="BS105" i="35"/>
  <c r="BS106" i="35"/>
  <c r="BS107" i="35"/>
  <c r="BS108" i="35"/>
  <c r="BS109" i="35"/>
  <c r="BS110" i="35"/>
  <c r="BS111" i="35"/>
  <c r="BS112" i="35"/>
  <c r="BS113" i="35"/>
  <c r="BS115" i="35"/>
  <c r="BS116" i="35"/>
  <c r="BS117" i="35"/>
  <c r="BS118" i="35"/>
  <c r="BS119" i="35"/>
  <c r="BS120" i="35"/>
  <c r="BS121" i="35"/>
  <c r="BS122" i="35"/>
  <c r="BS123" i="35"/>
  <c r="BS124" i="35"/>
  <c r="BS125" i="35"/>
  <c r="BS126" i="35"/>
  <c r="BS127" i="35"/>
  <c r="BS128" i="35"/>
  <c r="BS129" i="35"/>
  <c r="BS130" i="35"/>
  <c r="BS131" i="35"/>
  <c r="BS133" i="35"/>
  <c r="BS134" i="35"/>
  <c r="BS135" i="35"/>
  <c r="BS136" i="35"/>
  <c r="BS137" i="35"/>
  <c r="BS138" i="35"/>
  <c r="BS139" i="35"/>
  <c r="BS140" i="35"/>
  <c r="BS141" i="35"/>
  <c r="BS142" i="35"/>
  <c r="BS143" i="35"/>
  <c r="BS144" i="35"/>
  <c r="BS145" i="35"/>
  <c r="BS146" i="35"/>
  <c r="BS147" i="35"/>
  <c r="BS148" i="35"/>
  <c r="BS149" i="35"/>
  <c r="BS150" i="35"/>
  <c r="BR219" i="35"/>
  <c r="BS219" i="35"/>
  <c r="BS220" i="35"/>
  <c r="BS221" i="35"/>
  <c r="BS222" i="35"/>
  <c r="BS223" i="35"/>
  <c r="BS224" i="35"/>
  <c r="BS225" i="35"/>
  <c r="BS226" i="35"/>
  <c r="BS227" i="35"/>
  <c r="BS228" i="35"/>
  <c r="BS229" i="35"/>
  <c r="BS230" i="35"/>
  <c r="BS231" i="35"/>
  <c r="BS232" i="35"/>
  <c r="BS233" i="35"/>
  <c r="BS234" i="35"/>
  <c r="BS235" i="35"/>
  <c r="BR247" i="35"/>
  <c r="BS247" i="35"/>
  <c r="BS248" i="35"/>
  <c r="BS249" i="35"/>
  <c r="BS250" i="35"/>
  <c r="BS251" i="35"/>
  <c r="BS252" i="35"/>
  <c r="BS253" i="35"/>
  <c r="BS254" i="35"/>
  <c r="BS255" i="35"/>
  <c r="BS256" i="35"/>
  <c r="BS257" i="35"/>
  <c r="BS258" i="35"/>
  <c r="BS259" i="35"/>
  <c r="BS260" i="35"/>
  <c r="BS261" i="35"/>
  <c r="BS262" i="35"/>
  <c r="BS263" i="35"/>
  <c r="BR275" i="35"/>
  <c r="BS275" i="35"/>
  <c r="BS276" i="35"/>
  <c r="BS277" i="35"/>
  <c r="BS278" i="35"/>
  <c r="BS279" i="35"/>
  <c r="BS280" i="35"/>
  <c r="BS281" i="35"/>
  <c r="BS282" i="35"/>
  <c r="BS283" i="35"/>
  <c r="BR291" i="35"/>
  <c r="BS291" i="35"/>
  <c r="BS292" i="35"/>
  <c r="BS293" i="35"/>
  <c r="BS294" i="35"/>
  <c r="BS295" i="35"/>
  <c r="BR301" i="35"/>
  <c r="BS301" i="35"/>
  <c r="BS302" i="35"/>
  <c r="BR308" i="35"/>
  <c r="BS297" i="35"/>
  <c r="BS298" i="35"/>
  <c r="BS299" i="35"/>
  <c r="BS304" i="35"/>
  <c r="BS305" i="35"/>
  <c r="BU6" i="35"/>
  <c r="BV6" i="35"/>
  <c r="BU24" i="35"/>
  <c r="BV24" i="35"/>
  <c r="BU42" i="35"/>
  <c r="BV42" i="35"/>
  <c r="BU60" i="35"/>
  <c r="BV60" i="35"/>
  <c r="BU78" i="35"/>
  <c r="BV78" i="35"/>
  <c r="BU96" i="35"/>
  <c r="BV96" i="35"/>
  <c r="BU114" i="35"/>
  <c r="BV114" i="35"/>
  <c r="BU132" i="35"/>
  <c r="BV132" i="35"/>
  <c r="BV7" i="35"/>
  <c r="BV8" i="35"/>
  <c r="BV9" i="35"/>
  <c r="BV10" i="35"/>
  <c r="BV11" i="35"/>
  <c r="BV12" i="35"/>
  <c r="BV13" i="35"/>
  <c r="BV14" i="35"/>
  <c r="BV15" i="35"/>
  <c r="BV16" i="35"/>
  <c r="BV17" i="35"/>
  <c r="BV18" i="35"/>
  <c r="BV19" i="35"/>
  <c r="BV20" i="35"/>
  <c r="BV21" i="35"/>
  <c r="BV22" i="35"/>
  <c r="BV23" i="35"/>
  <c r="BV25" i="35"/>
  <c r="BV26" i="35"/>
  <c r="BV27" i="35"/>
  <c r="BV28" i="35"/>
  <c r="BV29" i="35"/>
  <c r="BV30" i="35"/>
  <c r="BV31" i="35"/>
  <c r="BV32" i="35"/>
  <c r="BV33" i="35"/>
  <c r="BV34" i="35"/>
  <c r="BV35" i="35"/>
  <c r="BV36" i="35"/>
  <c r="BV37" i="35"/>
  <c r="BV38" i="35"/>
  <c r="BV39" i="35"/>
  <c r="BV40" i="35"/>
  <c r="BV41" i="35"/>
  <c r="BV43" i="35"/>
  <c r="BV44" i="35"/>
  <c r="BV45" i="35"/>
  <c r="BV46" i="35"/>
  <c r="BV47" i="35"/>
  <c r="BV48" i="35"/>
  <c r="BV49" i="35"/>
  <c r="BV50" i="35"/>
  <c r="BV51" i="35"/>
  <c r="BV52" i="35"/>
  <c r="BV53" i="35"/>
  <c r="BV54" i="35"/>
  <c r="BV55" i="35"/>
  <c r="BV56" i="35"/>
  <c r="BV57" i="35"/>
  <c r="BV58" i="35"/>
  <c r="BV59" i="35"/>
  <c r="BV61" i="35"/>
  <c r="BV62" i="35"/>
  <c r="BV63" i="35"/>
  <c r="BV64" i="35"/>
  <c r="BV65" i="35"/>
  <c r="BV66" i="35"/>
  <c r="BV67" i="35"/>
  <c r="BV68" i="35"/>
  <c r="BV69" i="35"/>
  <c r="BV70" i="35"/>
  <c r="BV71" i="35"/>
  <c r="BV72" i="35"/>
  <c r="BV73" i="35"/>
  <c r="BV74" i="35"/>
  <c r="BV75" i="35"/>
  <c r="BV76" i="35"/>
  <c r="BV77" i="35"/>
  <c r="BV79" i="35"/>
  <c r="BV80" i="35"/>
  <c r="BV81" i="35"/>
  <c r="BV82" i="35"/>
  <c r="BV83" i="35"/>
  <c r="BV84" i="35"/>
  <c r="BV85" i="35"/>
  <c r="BV86" i="35"/>
  <c r="BV87" i="35"/>
  <c r="BV88" i="35"/>
  <c r="BV89" i="35"/>
  <c r="BV90" i="35"/>
  <c r="BV91" i="35"/>
  <c r="BV92" i="35"/>
  <c r="BV93" i="35"/>
  <c r="BV94" i="35"/>
  <c r="BV95" i="35"/>
  <c r="BV97" i="35"/>
  <c r="BV98" i="35"/>
  <c r="BV99" i="35"/>
  <c r="BV100" i="35"/>
  <c r="BV101" i="35"/>
  <c r="BV102" i="35"/>
  <c r="BV103" i="35"/>
  <c r="BV104" i="35"/>
  <c r="BV105" i="35"/>
  <c r="BV106" i="35"/>
  <c r="BV107" i="35"/>
  <c r="BV108" i="35"/>
  <c r="BV109" i="35"/>
  <c r="BV110" i="35"/>
  <c r="BV111" i="35"/>
  <c r="BV112" i="35"/>
  <c r="BV113" i="35"/>
  <c r="BV115" i="35"/>
  <c r="BV116" i="35"/>
  <c r="BV117" i="35"/>
  <c r="BV118" i="35"/>
  <c r="BV119" i="35"/>
  <c r="BV120" i="35"/>
  <c r="BV121" i="35"/>
  <c r="BV122" i="35"/>
  <c r="BV123" i="35"/>
  <c r="BV124" i="35"/>
  <c r="BV125" i="35"/>
  <c r="BV126" i="35"/>
  <c r="BV127" i="35"/>
  <c r="BV128" i="35"/>
  <c r="BV129" i="35"/>
  <c r="BV130" i="35"/>
  <c r="BV131" i="35"/>
  <c r="BV133" i="35"/>
  <c r="BV134" i="35"/>
  <c r="BV135" i="35"/>
  <c r="BV136" i="35"/>
  <c r="BV137" i="35"/>
  <c r="BV138" i="35"/>
  <c r="BV139" i="35"/>
  <c r="BV140" i="35"/>
  <c r="BV141" i="35"/>
  <c r="BV142" i="35"/>
  <c r="BV143" i="35"/>
  <c r="BV144" i="35"/>
  <c r="BV145" i="35"/>
  <c r="BV146" i="35"/>
  <c r="BV147" i="35"/>
  <c r="BV148" i="35"/>
  <c r="BV149" i="35"/>
  <c r="BV150" i="35"/>
  <c r="BU219" i="35"/>
  <c r="BV219" i="35"/>
  <c r="BV220" i="35"/>
  <c r="BV221" i="35"/>
  <c r="BV222" i="35"/>
  <c r="BV223" i="35"/>
  <c r="BV224" i="35"/>
  <c r="BV225" i="35"/>
  <c r="BV226" i="35"/>
  <c r="BV227" i="35"/>
  <c r="BV228" i="35"/>
  <c r="BV229" i="35"/>
  <c r="BV230" i="35"/>
  <c r="BV231" i="35"/>
  <c r="BV232" i="35"/>
  <c r="BV233" i="35"/>
  <c r="BV234" i="35"/>
  <c r="BV235" i="35"/>
  <c r="BU247" i="35"/>
  <c r="BV247" i="35"/>
  <c r="BV248" i="35"/>
  <c r="BV249" i="35"/>
  <c r="BV250" i="35"/>
  <c r="BV251" i="35"/>
  <c r="BV252" i="35"/>
  <c r="BV253" i="35"/>
  <c r="BV254" i="35"/>
  <c r="BV255" i="35"/>
  <c r="BV256" i="35"/>
  <c r="BV257" i="35"/>
  <c r="BV258" i="35"/>
  <c r="BV259" i="35"/>
  <c r="BV260" i="35"/>
  <c r="BV261" i="35"/>
  <c r="BV262" i="35"/>
  <c r="BV263" i="35"/>
  <c r="BU275" i="35"/>
  <c r="BV275" i="35"/>
  <c r="BV276" i="35"/>
  <c r="BV277" i="35"/>
  <c r="BV278" i="35"/>
  <c r="BV279" i="35"/>
  <c r="BV280" i="35"/>
  <c r="BV281" i="35"/>
  <c r="BV282" i="35"/>
  <c r="BV283" i="35"/>
  <c r="BU291" i="35"/>
  <c r="BV291" i="35"/>
  <c r="BV292" i="35"/>
  <c r="BV293" i="35"/>
  <c r="BV294" i="35"/>
  <c r="BV295" i="35"/>
  <c r="BU301" i="35"/>
  <c r="BV301" i="35"/>
  <c r="BV302" i="35"/>
  <c r="BU308" i="35"/>
  <c r="BV297" i="35"/>
  <c r="BV298" i="35"/>
  <c r="BV299" i="35"/>
  <c r="BV304" i="35"/>
  <c r="BV305" i="35"/>
  <c r="BX6" i="35"/>
  <c r="BY6" i="35"/>
  <c r="BX24" i="35"/>
  <c r="BY24" i="35"/>
  <c r="BX42" i="35"/>
  <c r="BY42" i="35"/>
  <c r="BX60" i="35"/>
  <c r="BY60" i="35"/>
  <c r="BX78" i="35"/>
  <c r="BY78" i="35"/>
  <c r="BX96" i="35"/>
  <c r="BY96" i="35"/>
  <c r="BX114" i="35"/>
  <c r="BY114" i="35"/>
  <c r="BX132" i="35"/>
  <c r="BY132" i="35"/>
  <c r="BY7" i="35"/>
  <c r="BY8" i="35"/>
  <c r="BY9" i="35"/>
  <c r="BY10" i="35"/>
  <c r="BY11" i="35"/>
  <c r="BY12" i="35"/>
  <c r="BY13" i="35"/>
  <c r="BY14" i="35"/>
  <c r="BY15" i="35"/>
  <c r="BY16" i="35"/>
  <c r="BY17" i="35"/>
  <c r="BY18" i="35"/>
  <c r="BY19" i="35"/>
  <c r="BY20" i="35"/>
  <c r="BY21" i="35"/>
  <c r="BY22" i="35"/>
  <c r="BY23" i="35"/>
  <c r="BY25" i="35"/>
  <c r="BY26" i="35"/>
  <c r="BY27" i="35"/>
  <c r="BY28" i="35"/>
  <c r="BY29" i="35"/>
  <c r="BY30" i="35"/>
  <c r="BY31" i="35"/>
  <c r="BY32" i="35"/>
  <c r="BY33" i="35"/>
  <c r="BY34" i="35"/>
  <c r="BY35" i="35"/>
  <c r="BY36" i="35"/>
  <c r="BY37" i="35"/>
  <c r="BY38" i="35"/>
  <c r="BY39" i="35"/>
  <c r="BY40" i="35"/>
  <c r="BY41" i="35"/>
  <c r="BY43" i="35"/>
  <c r="BY44" i="35"/>
  <c r="BY45" i="35"/>
  <c r="BY46" i="35"/>
  <c r="BY47" i="35"/>
  <c r="BY48" i="35"/>
  <c r="BY49" i="35"/>
  <c r="BY50" i="35"/>
  <c r="BY51" i="35"/>
  <c r="BY52" i="35"/>
  <c r="BY53" i="35"/>
  <c r="BY54" i="35"/>
  <c r="BY55" i="35"/>
  <c r="BY56" i="35"/>
  <c r="BY57" i="35"/>
  <c r="BY58" i="35"/>
  <c r="BY59" i="35"/>
  <c r="BY61" i="35"/>
  <c r="BY62" i="35"/>
  <c r="BY63" i="35"/>
  <c r="BY64" i="35"/>
  <c r="BY65" i="35"/>
  <c r="BY66" i="35"/>
  <c r="BY67" i="35"/>
  <c r="BY68" i="35"/>
  <c r="BY69" i="35"/>
  <c r="BY70" i="35"/>
  <c r="BY71" i="35"/>
  <c r="BY72" i="35"/>
  <c r="BY73" i="35"/>
  <c r="BY74" i="35"/>
  <c r="BY75" i="35"/>
  <c r="BY76" i="35"/>
  <c r="BY77" i="35"/>
  <c r="BY79" i="35"/>
  <c r="BY80" i="35"/>
  <c r="BY81" i="35"/>
  <c r="BY82" i="35"/>
  <c r="BY83" i="35"/>
  <c r="BY84" i="35"/>
  <c r="BY85" i="35"/>
  <c r="BY86" i="35"/>
  <c r="BY87" i="35"/>
  <c r="BY88" i="35"/>
  <c r="BY89" i="35"/>
  <c r="BY90" i="35"/>
  <c r="BY91" i="35"/>
  <c r="BY92" i="35"/>
  <c r="BY93" i="35"/>
  <c r="BY94" i="35"/>
  <c r="BY95" i="35"/>
  <c r="BY97" i="35"/>
  <c r="BY98" i="35"/>
  <c r="BY99" i="35"/>
  <c r="BY100" i="35"/>
  <c r="BY101" i="35"/>
  <c r="BY102" i="35"/>
  <c r="BY103" i="35"/>
  <c r="BY104" i="35"/>
  <c r="BY105" i="35"/>
  <c r="BY106" i="35"/>
  <c r="BY107" i="35"/>
  <c r="BY108" i="35"/>
  <c r="BY109" i="35"/>
  <c r="BY110" i="35"/>
  <c r="BY111" i="35"/>
  <c r="BY112" i="35"/>
  <c r="BY113" i="35"/>
  <c r="BY115" i="35"/>
  <c r="BY116" i="35"/>
  <c r="BY117" i="35"/>
  <c r="BY118" i="35"/>
  <c r="BY119" i="35"/>
  <c r="BY120" i="35"/>
  <c r="BY121" i="35"/>
  <c r="BY122" i="35"/>
  <c r="BY123" i="35"/>
  <c r="BY124" i="35"/>
  <c r="BY125" i="35"/>
  <c r="BY126" i="35"/>
  <c r="BY127" i="35"/>
  <c r="BY128" i="35"/>
  <c r="BY129" i="35"/>
  <c r="BY130" i="35"/>
  <c r="BY131" i="35"/>
  <c r="BY133" i="35"/>
  <c r="BY134" i="35"/>
  <c r="BY135" i="35"/>
  <c r="BY136" i="35"/>
  <c r="BY137" i="35"/>
  <c r="BY138" i="35"/>
  <c r="BY139" i="35"/>
  <c r="BY140" i="35"/>
  <c r="BY141" i="35"/>
  <c r="BY142" i="35"/>
  <c r="BY143" i="35"/>
  <c r="BY144" i="35"/>
  <c r="BY145" i="35"/>
  <c r="BY146" i="35"/>
  <c r="BY147" i="35"/>
  <c r="BY148" i="35"/>
  <c r="BY149" i="35"/>
  <c r="BY150" i="35"/>
  <c r="BX219" i="35"/>
  <c r="BY219" i="35"/>
  <c r="BY220" i="35"/>
  <c r="BY221" i="35"/>
  <c r="BY222" i="35"/>
  <c r="BY223" i="35"/>
  <c r="BY224" i="35"/>
  <c r="BY225" i="35"/>
  <c r="BY226" i="35"/>
  <c r="BY227" i="35"/>
  <c r="BY228" i="35"/>
  <c r="BY229" i="35"/>
  <c r="BY230" i="35"/>
  <c r="BY231" i="35"/>
  <c r="BY232" i="35"/>
  <c r="BY233" i="35"/>
  <c r="BY234" i="35"/>
  <c r="BY235" i="35"/>
  <c r="BX247" i="35"/>
  <c r="BY247" i="35"/>
  <c r="BY248" i="35"/>
  <c r="BY249" i="35"/>
  <c r="BY250" i="35"/>
  <c r="BY251" i="35"/>
  <c r="BY252" i="35"/>
  <c r="BY253" i="35"/>
  <c r="BY254" i="35"/>
  <c r="BY255" i="35"/>
  <c r="BY256" i="35"/>
  <c r="BY257" i="35"/>
  <c r="BY258" i="35"/>
  <c r="BY259" i="35"/>
  <c r="BY260" i="35"/>
  <c r="BY261" i="35"/>
  <c r="BY262" i="35"/>
  <c r="BY263" i="35"/>
  <c r="BX275" i="35"/>
  <c r="BY275" i="35"/>
  <c r="BY276" i="35"/>
  <c r="BY277" i="35"/>
  <c r="BY278" i="35"/>
  <c r="BY279" i="35"/>
  <c r="BY280" i="35"/>
  <c r="BY281" i="35"/>
  <c r="BY282" i="35"/>
  <c r="BY283" i="35"/>
  <c r="BX291" i="35"/>
  <c r="BY291" i="35"/>
  <c r="BY292" i="35"/>
  <c r="BY293" i="35"/>
  <c r="BY294" i="35"/>
  <c r="BY295" i="35"/>
  <c r="BX301" i="35"/>
  <c r="BY301" i="35"/>
  <c r="BY302" i="35"/>
  <c r="BX308" i="35"/>
  <c r="BY297" i="35"/>
  <c r="BY298" i="35"/>
  <c r="BY299" i="35"/>
  <c r="BY304" i="35"/>
  <c r="BY305" i="35"/>
  <c r="CA6" i="35"/>
  <c r="CB6" i="35"/>
  <c r="CA24" i="35"/>
  <c r="CB24" i="35"/>
  <c r="CA42" i="35"/>
  <c r="CB42" i="35"/>
  <c r="CA60" i="35"/>
  <c r="CB60" i="35"/>
  <c r="CA78" i="35"/>
  <c r="CB78" i="35"/>
  <c r="CA96" i="35"/>
  <c r="CB96" i="35"/>
  <c r="CA114" i="35"/>
  <c r="CB114" i="35"/>
  <c r="CA132" i="35"/>
  <c r="CB132" i="35"/>
  <c r="CB7" i="35"/>
  <c r="CB8" i="35"/>
  <c r="CB9" i="35"/>
  <c r="CB10" i="35"/>
  <c r="CB11" i="35"/>
  <c r="CB12" i="35"/>
  <c r="CB13" i="35"/>
  <c r="CB14" i="35"/>
  <c r="CB15" i="35"/>
  <c r="CB16" i="35"/>
  <c r="CB17" i="35"/>
  <c r="CB18" i="35"/>
  <c r="CB19" i="35"/>
  <c r="CB20" i="35"/>
  <c r="CB21" i="35"/>
  <c r="CB22" i="35"/>
  <c r="CB23" i="35"/>
  <c r="CB25" i="35"/>
  <c r="CB26" i="35"/>
  <c r="CB27" i="35"/>
  <c r="CB28" i="35"/>
  <c r="CB29" i="35"/>
  <c r="CB30" i="35"/>
  <c r="CB31" i="35"/>
  <c r="CB32" i="35"/>
  <c r="CB33" i="35"/>
  <c r="CB34" i="35"/>
  <c r="CB35" i="35"/>
  <c r="CB36" i="35"/>
  <c r="CB37" i="35"/>
  <c r="CB38" i="35"/>
  <c r="CB39" i="35"/>
  <c r="CB40" i="35"/>
  <c r="CB41" i="35"/>
  <c r="CB43" i="35"/>
  <c r="CB44" i="35"/>
  <c r="CB45" i="35"/>
  <c r="CB46" i="35"/>
  <c r="CB47" i="35"/>
  <c r="CB48" i="35"/>
  <c r="CB49" i="35"/>
  <c r="CB50" i="35"/>
  <c r="CB51" i="35"/>
  <c r="CB52" i="35"/>
  <c r="CB53" i="35"/>
  <c r="CB54" i="35"/>
  <c r="CB55" i="35"/>
  <c r="CB56" i="35"/>
  <c r="CB57" i="35"/>
  <c r="CB58" i="35"/>
  <c r="CB59" i="35"/>
  <c r="CB61" i="35"/>
  <c r="CB62" i="35"/>
  <c r="CB63" i="35"/>
  <c r="CB64" i="35"/>
  <c r="CB65" i="35"/>
  <c r="CB66" i="35"/>
  <c r="CB67" i="35"/>
  <c r="CB68" i="35"/>
  <c r="CB69" i="35"/>
  <c r="CB70" i="35"/>
  <c r="CB71" i="35"/>
  <c r="CB72" i="35"/>
  <c r="CB73" i="35"/>
  <c r="CB74" i="35"/>
  <c r="CB75" i="35"/>
  <c r="CB76" i="35"/>
  <c r="CB77" i="35"/>
  <c r="CB79" i="35"/>
  <c r="CB80" i="35"/>
  <c r="CB81" i="35"/>
  <c r="CB82" i="35"/>
  <c r="CB83" i="35"/>
  <c r="CB84" i="35"/>
  <c r="CB85" i="35"/>
  <c r="CB86" i="35"/>
  <c r="CB87" i="35"/>
  <c r="CB88" i="35"/>
  <c r="CB89" i="35"/>
  <c r="CB90" i="35"/>
  <c r="CB91" i="35"/>
  <c r="CB92" i="35"/>
  <c r="CB93" i="35"/>
  <c r="CB94" i="35"/>
  <c r="CB95" i="35"/>
  <c r="CB97" i="35"/>
  <c r="CB98" i="35"/>
  <c r="CB99" i="35"/>
  <c r="CB100" i="35"/>
  <c r="CB101" i="35"/>
  <c r="CB102" i="35"/>
  <c r="CB103" i="35"/>
  <c r="CB104" i="35"/>
  <c r="CB105" i="35"/>
  <c r="CB106" i="35"/>
  <c r="CB107" i="35"/>
  <c r="CB108" i="35"/>
  <c r="CB109" i="35"/>
  <c r="CB110" i="35"/>
  <c r="CB111" i="35"/>
  <c r="CB112" i="35"/>
  <c r="CB113" i="35"/>
  <c r="CB115" i="35"/>
  <c r="CB116" i="35"/>
  <c r="CB117" i="35"/>
  <c r="CB118" i="35"/>
  <c r="CB119" i="35"/>
  <c r="CB120" i="35"/>
  <c r="CB121" i="35"/>
  <c r="CB122" i="35"/>
  <c r="CB123" i="35"/>
  <c r="CB124" i="35"/>
  <c r="CB125" i="35"/>
  <c r="CB126" i="35"/>
  <c r="CB127" i="35"/>
  <c r="CB128" i="35"/>
  <c r="CB129" i="35"/>
  <c r="CB130" i="35"/>
  <c r="CB131" i="35"/>
  <c r="CB133" i="35"/>
  <c r="CB134" i="35"/>
  <c r="CB135" i="35"/>
  <c r="CB136" i="35"/>
  <c r="CB137" i="35"/>
  <c r="CB138" i="35"/>
  <c r="CB139" i="35"/>
  <c r="CB140" i="35"/>
  <c r="CB141" i="35"/>
  <c r="CB142" i="35"/>
  <c r="CB143" i="35"/>
  <c r="CB144" i="35"/>
  <c r="CB145" i="35"/>
  <c r="CB146" i="35"/>
  <c r="CB147" i="35"/>
  <c r="CB148" i="35"/>
  <c r="CB149" i="35"/>
  <c r="CB150" i="35"/>
  <c r="CA219" i="35"/>
  <c r="CB219" i="35"/>
  <c r="CB220" i="35"/>
  <c r="CB221" i="35"/>
  <c r="CB222" i="35"/>
  <c r="CB223" i="35"/>
  <c r="CB224" i="35"/>
  <c r="CB225" i="35"/>
  <c r="CB226" i="35"/>
  <c r="CB227" i="35"/>
  <c r="CB228" i="35"/>
  <c r="CB229" i="35"/>
  <c r="CB230" i="35"/>
  <c r="CB231" i="35"/>
  <c r="CB232" i="35"/>
  <c r="CB233" i="35"/>
  <c r="CB234" i="35"/>
  <c r="CB235" i="35"/>
  <c r="CA247" i="35"/>
  <c r="CB247" i="35"/>
  <c r="CB248" i="35"/>
  <c r="CB249" i="35"/>
  <c r="CB250" i="35"/>
  <c r="CB251" i="35"/>
  <c r="CB252" i="35"/>
  <c r="CB253" i="35"/>
  <c r="CB254" i="35"/>
  <c r="CB255" i="35"/>
  <c r="CB256" i="35"/>
  <c r="CB257" i="35"/>
  <c r="CB258" i="35"/>
  <c r="CB259" i="35"/>
  <c r="CB260" i="35"/>
  <c r="CB261" i="35"/>
  <c r="CB262" i="35"/>
  <c r="CB263" i="35"/>
  <c r="CA275" i="35"/>
  <c r="CB275" i="35"/>
  <c r="CB276" i="35"/>
  <c r="CB277" i="35"/>
  <c r="CB278" i="35"/>
  <c r="CB279" i="35"/>
  <c r="CB280" i="35"/>
  <c r="CB281" i="35"/>
  <c r="CB282" i="35"/>
  <c r="CB283" i="35"/>
  <c r="CA291" i="35"/>
  <c r="CB291" i="35"/>
  <c r="CB292" i="35"/>
  <c r="CB293" i="35"/>
  <c r="CB294" i="35"/>
  <c r="CB295" i="35"/>
  <c r="CA301" i="35"/>
  <c r="CB301" i="35"/>
  <c r="CB302" i="35"/>
  <c r="CA308" i="35"/>
  <c r="CB297" i="35"/>
  <c r="CB298" i="35"/>
  <c r="CB299" i="35"/>
  <c r="CB304" i="35"/>
  <c r="CB305" i="35"/>
  <c r="CD6" i="35"/>
  <c r="CE6" i="35"/>
  <c r="CD24" i="35"/>
  <c r="CE24" i="35"/>
  <c r="CD42" i="35"/>
  <c r="CE42" i="35"/>
  <c r="CD60" i="35"/>
  <c r="CE60" i="35"/>
  <c r="CD78" i="35"/>
  <c r="CE78" i="35"/>
  <c r="CD96" i="35"/>
  <c r="CE96" i="35"/>
  <c r="CD114" i="35"/>
  <c r="CE114" i="35"/>
  <c r="CD132" i="35"/>
  <c r="CE132" i="35"/>
  <c r="CE7" i="35"/>
  <c r="CE8" i="35"/>
  <c r="CE9" i="35"/>
  <c r="CE10" i="35"/>
  <c r="CE11" i="35"/>
  <c r="CE12" i="35"/>
  <c r="CE13" i="35"/>
  <c r="CE14" i="35"/>
  <c r="CE15" i="35"/>
  <c r="CE16" i="35"/>
  <c r="CE17" i="35"/>
  <c r="CE18" i="35"/>
  <c r="CE19" i="35"/>
  <c r="CE20" i="35"/>
  <c r="CE21" i="35"/>
  <c r="CE22" i="35"/>
  <c r="CE23" i="35"/>
  <c r="CE25" i="35"/>
  <c r="CE26" i="35"/>
  <c r="CE27" i="35"/>
  <c r="CE28" i="35"/>
  <c r="CE29" i="35"/>
  <c r="CE30" i="35"/>
  <c r="CE31" i="35"/>
  <c r="CE32" i="35"/>
  <c r="CE33" i="35"/>
  <c r="CE34" i="35"/>
  <c r="CE35" i="35"/>
  <c r="CE36" i="35"/>
  <c r="CE37" i="35"/>
  <c r="CE38" i="35"/>
  <c r="CE39" i="35"/>
  <c r="CE40" i="35"/>
  <c r="CE41" i="35"/>
  <c r="CE43" i="35"/>
  <c r="CE44" i="35"/>
  <c r="CE45" i="35"/>
  <c r="CE46" i="35"/>
  <c r="CE47" i="35"/>
  <c r="CE48" i="35"/>
  <c r="CE49" i="35"/>
  <c r="CE50" i="35"/>
  <c r="CE51" i="35"/>
  <c r="CE52" i="35"/>
  <c r="CE53" i="35"/>
  <c r="CE54" i="35"/>
  <c r="CE55" i="35"/>
  <c r="CE56" i="35"/>
  <c r="CE57" i="35"/>
  <c r="CE58" i="35"/>
  <c r="CE59" i="35"/>
  <c r="CE61" i="35"/>
  <c r="CE62" i="35"/>
  <c r="CE63" i="35"/>
  <c r="CE64" i="35"/>
  <c r="CE65" i="35"/>
  <c r="CE66" i="35"/>
  <c r="CE67" i="35"/>
  <c r="CE68" i="35"/>
  <c r="CE69" i="35"/>
  <c r="CE70" i="35"/>
  <c r="CE71" i="35"/>
  <c r="CE72" i="35"/>
  <c r="CE73" i="35"/>
  <c r="CE74" i="35"/>
  <c r="CE75" i="35"/>
  <c r="CE76" i="35"/>
  <c r="CE77" i="35"/>
  <c r="CE79" i="35"/>
  <c r="CE80" i="35"/>
  <c r="CE81" i="35"/>
  <c r="CE82" i="35"/>
  <c r="CE83" i="35"/>
  <c r="CE84" i="35"/>
  <c r="CE85" i="35"/>
  <c r="CE86" i="35"/>
  <c r="CE87" i="35"/>
  <c r="CE88" i="35"/>
  <c r="CE89" i="35"/>
  <c r="CE90" i="35"/>
  <c r="CE91" i="35"/>
  <c r="CE92" i="35"/>
  <c r="CE93" i="35"/>
  <c r="CE94" i="35"/>
  <c r="CE95" i="35"/>
  <c r="CE97" i="35"/>
  <c r="CE98" i="35"/>
  <c r="CE99" i="35"/>
  <c r="CE100" i="35"/>
  <c r="CE101" i="35"/>
  <c r="CE102" i="35"/>
  <c r="CE103" i="35"/>
  <c r="CE104" i="35"/>
  <c r="CE105" i="35"/>
  <c r="CE106" i="35"/>
  <c r="CE107" i="35"/>
  <c r="CE108" i="35"/>
  <c r="CE109" i="35"/>
  <c r="CE110" i="35"/>
  <c r="CE111" i="35"/>
  <c r="CE112" i="35"/>
  <c r="CE113" i="35"/>
  <c r="CE115" i="35"/>
  <c r="CE116" i="35"/>
  <c r="CE117" i="35"/>
  <c r="CE118" i="35"/>
  <c r="CE119" i="35"/>
  <c r="CE120" i="35"/>
  <c r="CE121" i="35"/>
  <c r="CE122" i="35"/>
  <c r="CE123" i="35"/>
  <c r="CE124" i="35"/>
  <c r="CE125" i="35"/>
  <c r="CE126" i="35"/>
  <c r="CE127" i="35"/>
  <c r="CE128" i="35"/>
  <c r="CE129" i="35"/>
  <c r="CE130" i="35"/>
  <c r="CE131" i="35"/>
  <c r="CE133" i="35"/>
  <c r="CE134" i="35"/>
  <c r="CE135" i="35"/>
  <c r="CE136" i="35"/>
  <c r="CE137" i="35"/>
  <c r="CE138" i="35"/>
  <c r="CE139" i="35"/>
  <c r="CE140" i="35"/>
  <c r="CE141" i="35"/>
  <c r="CE142" i="35"/>
  <c r="CE143" i="35"/>
  <c r="CE144" i="35"/>
  <c r="CE145" i="35"/>
  <c r="CE146" i="35"/>
  <c r="CE147" i="35"/>
  <c r="CE148" i="35"/>
  <c r="CE149" i="35"/>
  <c r="CE150" i="35"/>
  <c r="CD219" i="35"/>
  <c r="CE219" i="35"/>
  <c r="CE220" i="35"/>
  <c r="CE221" i="35"/>
  <c r="CE222" i="35"/>
  <c r="CE223" i="35"/>
  <c r="CE224" i="35"/>
  <c r="CE225" i="35"/>
  <c r="CE226" i="35"/>
  <c r="CE227" i="35"/>
  <c r="CE228" i="35"/>
  <c r="CE229" i="35"/>
  <c r="CE230" i="35"/>
  <c r="CE231" i="35"/>
  <c r="CE232" i="35"/>
  <c r="CE233" i="35"/>
  <c r="CE234" i="35"/>
  <c r="CE235" i="35"/>
  <c r="CD247" i="35"/>
  <c r="CE247" i="35"/>
  <c r="CE248" i="35"/>
  <c r="CE249" i="35"/>
  <c r="CE250" i="35"/>
  <c r="CE251" i="35"/>
  <c r="CE252" i="35"/>
  <c r="CE253" i="35"/>
  <c r="CE254" i="35"/>
  <c r="CE255" i="35"/>
  <c r="CE256" i="35"/>
  <c r="CE257" i="35"/>
  <c r="CE258" i="35"/>
  <c r="CE259" i="35"/>
  <c r="CE260" i="35"/>
  <c r="CE261" i="35"/>
  <c r="CE262" i="35"/>
  <c r="CE263" i="35"/>
  <c r="CD275" i="35"/>
  <c r="CE275" i="35"/>
  <c r="CE276" i="35"/>
  <c r="CE277" i="35"/>
  <c r="CE278" i="35"/>
  <c r="CE279" i="35"/>
  <c r="CE280" i="35"/>
  <c r="CE281" i="35"/>
  <c r="CE282" i="35"/>
  <c r="CE283" i="35"/>
  <c r="CD291" i="35"/>
  <c r="CE291" i="35"/>
  <c r="CE292" i="35"/>
  <c r="CE293" i="35"/>
  <c r="CE294" i="35"/>
  <c r="CE295" i="35"/>
  <c r="CD301" i="35"/>
  <c r="CE301" i="35"/>
  <c r="CE302" i="35"/>
  <c r="CD308" i="35"/>
  <c r="CE297" i="35"/>
  <c r="CE298" i="35"/>
  <c r="CE304" i="35"/>
  <c r="CE305" i="35"/>
  <c r="D237" i="24"/>
  <c r="BF5" i="35"/>
  <c r="BI5" i="35"/>
  <c r="BL5" i="35"/>
  <c r="BO5" i="35"/>
  <c r="BR5" i="35"/>
  <c r="BU5" i="35"/>
  <c r="BX5" i="35"/>
  <c r="CA5" i="35"/>
  <c r="CD5" i="35"/>
  <c r="BF22" i="10"/>
  <c r="BF40" i="10"/>
  <c r="BF104" i="10"/>
  <c r="BF123" i="10"/>
  <c r="BF5" i="10"/>
  <c r="BF6" i="10"/>
  <c r="BF7" i="10"/>
  <c r="BF8" i="10"/>
  <c r="BF9" i="10"/>
  <c r="BF10" i="10"/>
  <c r="BF11" i="10"/>
  <c r="BF12" i="10"/>
  <c r="BF13" i="10"/>
  <c r="BF14" i="10"/>
  <c r="BF15" i="10"/>
  <c r="BF16" i="10"/>
  <c r="BF17" i="10"/>
  <c r="BF18" i="10"/>
  <c r="BF19" i="10"/>
  <c r="BF20" i="10"/>
  <c r="BF21" i="10"/>
  <c r="BF23" i="10"/>
  <c r="BF24" i="10"/>
  <c r="BF25" i="10"/>
  <c r="BF26" i="10"/>
  <c r="BF27" i="10"/>
  <c r="BF28" i="10"/>
  <c r="BF29" i="10"/>
  <c r="BF30" i="10"/>
  <c r="BF31" i="10"/>
  <c r="BF32" i="10"/>
  <c r="BF33" i="10"/>
  <c r="BF34" i="10"/>
  <c r="BF35" i="10"/>
  <c r="BF36" i="10"/>
  <c r="BF37" i="10"/>
  <c r="BF38" i="10"/>
  <c r="BF39" i="10"/>
  <c r="BF41" i="10"/>
  <c r="BF42" i="10"/>
  <c r="BF43" i="10"/>
  <c r="BF44" i="10"/>
  <c r="BF45" i="10"/>
  <c r="BF46" i="10"/>
  <c r="BF47" i="10"/>
  <c r="BF48" i="10"/>
  <c r="BF49" i="10"/>
  <c r="BF50" i="10"/>
  <c r="BF51" i="10"/>
  <c r="BF52" i="10"/>
  <c r="BF53" i="10"/>
  <c r="BF54" i="10"/>
  <c r="BF55" i="10"/>
  <c r="BF56" i="10"/>
  <c r="BF57" i="10"/>
  <c r="BF58" i="10"/>
  <c r="BF59" i="10"/>
  <c r="BF60" i="10"/>
  <c r="BF61" i="10"/>
  <c r="BF62" i="10"/>
  <c r="BF63" i="10"/>
  <c r="BF64" i="10"/>
  <c r="BF65" i="10"/>
  <c r="BF66" i="10"/>
  <c r="BF67" i="10"/>
  <c r="BF68" i="10"/>
  <c r="BF69" i="10"/>
  <c r="BF70" i="10"/>
  <c r="BF71" i="10"/>
  <c r="BF72" i="10"/>
  <c r="BF73" i="10"/>
  <c r="BF74" i="10"/>
  <c r="BF75" i="10"/>
  <c r="BF76" i="10"/>
  <c r="BF77" i="10"/>
  <c r="BF78" i="10"/>
  <c r="BF79" i="10"/>
  <c r="BF80" i="10"/>
  <c r="BF81" i="10"/>
  <c r="BF82" i="10"/>
  <c r="BF83" i="10"/>
  <c r="BF84" i="10"/>
  <c r="BF85" i="10"/>
  <c r="BF86" i="10"/>
  <c r="BF87" i="10"/>
  <c r="BF88" i="10"/>
  <c r="BF89" i="10"/>
  <c r="BF90" i="10"/>
  <c r="BF91" i="10"/>
  <c r="BF92" i="10"/>
  <c r="BF93" i="10"/>
  <c r="BF94" i="10"/>
  <c r="BF95" i="10"/>
  <c r="BF96" i="10"/>
  <c r="BF97" i="10"/>
  <c r="BF98" i="10"/>
  <c r="BF99" i="10"/>
  <c r="BF100" i="10"/>
  <c r="BF101" i="10"/>
  <c r="BF102" i="10"/>
  <c r="BF103" i="10"/>
  <c r="BF105" i="10"/>
  <c r="BF106" i="10"/>
  <c r="BF107" i="10"/>
  <c r="BF108" i="10"/>
  <c r="BF109" i="10"/>
  <c r="BF110" i="10"/>
  <c r="BF111" i="10"/>
  <c r="BF112" i="10"/>
  <c r="BF113" i="10"/>
  <c r="BF114" i="10"/>
  <c r="BF115" i="10"/>
  <c r="BF116" i="10"/>
  <c r="BF117" i="10"/>
  <c r="BF118" i="10"/>
  <c r="BF119" i="10"/>
  <c r="BF120" i="10"/>
  <c r="BF121" i="10"/>
  <c r="BF122" i="10"/>
  <c r="BF124" i="10"/>
  <c r="BF125" i="10"/>
  <c r="BF126" i="10"/>
  <c r="BF127" i="10"/>
  <c r="BF128" i="10"/>
  <c r="BF129" i="10"/>
  <c r="BF130" i="10"/>
  <c r="BF131" i="10"/>
  <c r="BF132" i="10"/>
  <c r="BF133" i="10"/>
  <c r="BF134" i="10"/>
  <c r="BF135" i="10"/>
  <c r="BF136" i="10"/>
  <c r="BF137" i="10"/>
  <c r="BF138" i="10"/>
  <c r="BF139" i="10"/>
  <c r="BF140" i="10"/>
  <c r="BF141" i="10"/>
  <c r="BF142" i="10"/>
  <c r="BF143" i="10"/>
  <c r="BF144" i="10"/>
  <c r="BF145" i="10"/>
  <c r="AZ2" i="10"/>
  <c r="AZ3" i="10"/>
  <c r="AZ4" i="10"/>
  <c r="AZ5" i="10"/>
  <c r="AZ6" i="10"/>
  <c r="AZ7" i="10"/>
  <c r="AZ8" i="10"/>
  <c r="AZ9" i="10"/>
  <c r="AZ10" i="10"/>
  <c r="AZ11" i="10"/>
  <c r="AZ12" i="10"/>
  <c r="AZ13" i="10"/>
  <c r="AZ14" i="10"/>
  <c r="AZ15" i="10"/>
  <c r="AZ16" i="10"/>
  <c r="AZ17" i="10"/>
  <c r="AZ18" i="10"/>
  <c r="AZ19" i="10"/>
  <c r="AZ20" i="10"/>
  <c r="AZ21" i="10"/>
  <c r="AZ22" i="10"/>
  <c r="AZ23" i="10"/>
  <c r="AZ24" i="10"/>
  <c r="AZ25" i="10"/>
  <c r="AZ26" i="10"/>
  <c r="AZ27" i="10"/>
  <c r="AZ28" i="10"/>
  <c r="AZ29" i="10"/>
  <c r="AZ30" i="10"/>
  <c r="AZ31" i="10"/>
  <c r="AZ32" i="10"/>
  <c r="AZ33" i="10"/>
  <c r="AZ34" i="10"/>
  <c r="AZ35" i="10"/>
  <c r="AZ36" i="10"/>
  <c r="AZ37" i="10"/>
  <c r="F2" i="11"/>
  <c r="G2" i="11"/>
  <c r="H2" i="11"/>
  <c r="F3" i="11"/>
  <c r="G3" i="11"/>
  <c r="H3" i="11"/>
  <c r="F4" i="11"/>
  <c r="G4" i="11"/>
  <c r="H4" i="11"/>
  <c r="F5" i="11"/>
  <c r="G5" i="11"/>
  <c r="H5" i="11"/>
  <c r="F6" i="11"/>
  <c r="G6" i="11"/>
  <c r="H6" i="11"/>
  <c r="F7" i="11"/>
  <c r="G7" i="11"/>
  <c r="H7" i="11"/>
  <c r="F8" i="11"/>
  <c r="G8" i="11"/>
  <c r="H8" i="11"/>
  <c r="F9" i="11"/>
  <c r="G9" i="11"/>
  <c r="H9" i="11"/>
  <c r="F10" i="11"/>
  <c r="G10" i="11"/>
  <c r="H10" i="11"/>
  <c r="F11" i="11"/>
  <c r="G11" i="11"/>
  <c r="H11" i="11"/>
  <c r="F12" i="11"/>
  <c r="G12" i="11"/>
  <c r="H12" i="11"/>
  <c r="F13" i="11"/>
  <c r="G13" i="11"/>
  <c r="H13" i="11"/>
  <c r="F14" i="11"/>
  <c r="G14" i="11"/>
  <c r="H14" i="11"/>
  <c r="F15" i="11"/>
  <c r="G15" i="11"/>
  <c r="H15" i="11"/>
  <c r="F16" i="11"/>
  <c r="G16" i="11"/>
  <c r="H16" i="11"/>
  <c r="F17" i="11"/>
  <c r="G17" i="11"/>
  <c r="H17" i="11"/>
  <c r="F18" i="11"/>
  <c r="G18" i="11"/>
  <c r="H18" i="11"/>
  <c r="F19" i="11"/>
  <c r="G19" i="11"/>
  <c r="H19" i="11"/>
  <c r="F20" i="11"/>
  <c r="G20" i="11"/>
  <c r="H20" i="11"/>
  <c r="F21" i="11"/>
  <c r="G21" i="11"/>
  <c r="H21" i="11"/>
  <c r="F22" i="11"/>
  <c r="G22" i="11"/>
  <c r="H22" i="11"/>
  <c r="F23" i="11"/>
  <c r="G23" i="11"/>
  <c r="H23" i="11"/>
  <c r="F24" i="11"/>
  <c r="G24" i="11"/>
  <c r="H24" i="11"/>
  <c r="F25" i="11"/>
  <c r="G25" i="11"/>
  <c r="H25" i="11"/>
  <c r="F26" i="11"/>
  <c r="G26" i="11"/>
  <c r="H26" i="11"/>
  <c r="F27" i="11"/>
  <c r="G27" i="11"/>
  <c r="H27" i="11"/>
  <c r="F28" i="11"/>
  <c r="G28" i="11"/>
  <c r="H28" i="11"/>
  <c r="F29" i="11"/>
  <c r="G29" i="11"/>
  <c r="H29" i="11"/>
  <c r="F30" i="11"/>
  <c r="G30" i="11"/>
  <c r="H30" i="11"/>
  <c r="F31" i="11"/>
  <c r="G31" i="11"/>
  <c r="H31" i="11"/>
  <c r="F32" i="11"/>
  <c r="G32" i="11"/>
  <c r="H32" i="11"/>
  <c r="F33" i="11"/>
  <c r="G33" i="11"/>
  <c r="H33" i="11"/>
  <c r="F34" i="11"/>
  <c r="G34" i="11"/>
  <c r="H34" i="11"/>
  <c r="F35" i="11"/>
  <c r="G35" i="11"/>
  <c r="H35" i="11"/>
  <c r="F36" i="11"/>
  <c r="G36" i="11"/>
  <c r="H36" i="11"/>
  <c r="F37" i="11"/>
  <c r="G37" i="11"/>
  <c r="H37" i="11"/>
  <c r="V2" i="11"/>
  <c r="V3" i="11"/>
  <c r="V4" i="11"/>
  <c r="V5" i="11"/>
  <c r="V6" i="11"/>
  <c r="V7" i="11"/>
  <c r="V8" i="11"/>
  <c r="V9" i="11"/>
  <c r="V10" i="11"/>
  <c r="V11" i="11"/>
  <c r="V12" i="11"/>
  <c r="V13" i="11"/>
  <c r="V14" i="11"/>
  <c r="V15" i="11"/>
  <c r="V16" i="11"/>
  <c r="V17" i="11"/>
  <c r="V18" i="11"/>
  <c r="V19" i="11"/>
  <c r="V20" i="11"/>
  <c r="V21" i="11"/>
  <c r="V22" i="11"/>
  <c r="V23" i="11"/>
  <c r="V24" i="11"/>
  <c r="V25" i="11"/>
  <c r="V26" i="11"/>
  <c r="V27" i="11"/>
  <c r="V28" i="11"/>
  <c r="V29" i="11"/>
  <c r="V30" i="11"/>
  <c r="V31" i="11"/>
  <c r="V32" i="11"/>
  <c r="V33" i="11"/>
  <c r="V34" i="11"/>
  <c r="V35" i="11"/>
  <c r="V36" i="11"/>
  <c r="V37" i="11"/>
  <c r="S2" i="11"/>
  <c r="S3" i="11"/>
  <c r="S4" i="11"/>
  <c r="S5" i="11"/>
  <c r="S6" i="11"/>
  <c r="S7" i="11"/>
  <c r="S8"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BI1" i="10" a="1"/>
  <c r="BI1" i="10"/>
  <c r="BI2" i="10" a="1"/>
  <c r="BI2" i="10"/>
  <c r="BI3" i="10" a="1"/>
  <c r="BI3" i="10"/>
  <c r="BI4" i="10" a="1"/>
  <c r="BI4" i="10"/>
  <c r="BI5" i="10" a="1"/>
  <c r="BI5" i="10"/>
  <c r="BI6" i="10" a="1"/>
  <c r="BI6" i="10"/>
  <c r="BI7" i="10" a="1"/>
  <c r="BI7" i="10"/>
  <c r="BI8" i="10" a="1"/>
  <c r="BI8" i="10"/>
  <c r="BI9" i="10" a="1"/>
  <c r="BI9" i="10"/>
  <c r="BJ2" i="10" a="1"/>
  <c r="BJ2" i="10"/>
  <c r="BJ3" i="10" a="1"/>
  <c r="BJ3" i="10"/>
  <c r="BJ4" i="10" a="1"/>
  <c r="BJ4" i="10"/>
  <c r="BJ5" i="10" a="1"/>
  <c r="BJ5" i="10"/>
  <c r="BJ6" i="10" a="1"/>
  <c r="BJ6" i="10"/>
  <c r="BJ7" i="10" a="1"/>
  <c r="BJ7" i="10"/>
  <c r="BJ8" i="10" a="1"/>
  <c r="BJ8" i="10"/>
  <c r="BJ9" i="10" a="1"/>
  <c r="BJ9" i="10"/>
  <c r="BK2" i="10" a="1"/>
  <c r="BK2" i="10"/>
  <c r="BK3" i="10" a="1"/>
  <c r="BK3" i="10"/>
  <c r="BK4" i="10" a="1"/>
  <c r="BK4" i="10"/>
  <c r="BK5" i="10" a="1"/>
  <c r="BK5" i="10"/>
  <c r="BK6" i="10" a="1"/>
  <c r="BK6" i="10"/>
  <c r="BK7" i="10" a="1"/>
  <c r="BK7" i="10"/>
  <c r="BK8" i="10" a="1"/>
  <c r="BK8" i="10"/>
  <c r="BK9" i="10" a="1"/>
  <c r="BK9" i="10"/>
  <c r="BL2" i="10" a="1"/>
  <c r="BL2" i="10"/>
  <c r="BL3" i="10" a="1"/>
  <c r="BL3" i="10"/>
  <c r="BL4" i="10" a="1"/>
  <c r="BL4" i="10"/>
  <c r="BL5" i="10" a="1"/>
  <c r="BL5" i="10"/>
  <c r="BL6" i="10" a="1"/>
  <c r="BL6" i="10"/>
  <c r="BL7" i="10" a="1"/>
  <c r="BL7" i="10"/>
  <c r="BL8" i="10" a="1"/>
  <c r="BL8" i="10"/>
  <c r="BL9" i="10" a="1"/>
  <c r="BL9" i="10"/>
  <c r="BM2" i="10" a="1"/>
  <c r="BM2" i="10"/>
  <c r="BM3" i="10" a="1"/>
  <c r="BM3" i="10"/>
  <c r="BM4" i="10" a="1"/>
  <c r="BM4" i="10"/>
  <c r="BM5" i="10" a="1"/>
  <c r="BM5" i="10"/>
  <c r="BM6" i="10" a="1"/>
  <c r="BM6" i="10"/>
  <c r="BM7" i="10" a="1"/>
  <c r="BM7" i="10"/>
  <c r="BM8" i="10" a="1"/>
  <c r="BM8" i="10"/>
  <c r="BM9" i="10" a="1"/>
  <c r="BM9" i="10"/>
  <c r="BN2" i="10" a="1"/>
  <c r="BN2" i="10"/>
  <c r="BN3" i="10" a="1"/>
  <c r="BN3" i="10"/>
  <c r="BN4" i="10" a="1"/>
  <c r="BN4" i="10"/>
  <c r="BN5" i="10" a="1"/>
  <c r="BN5" i="10"/>
  <c r="BN6" i="10" a="1"/>
  <c r="BN6" i="10"/>
  <c r="BN7" i="10" a="1"/>
  <c r="BN7" i="10"/>
  <c r="BN8" i="10" a="1"/>
  <c r="BN8" i="10"/>
  <c r="BN9" i="10" a="1"/>
  <c r="BN9" i="10"/>
  <c r="BO2" i="10" a="1"/>
  <c r="BO2" i="10"/>
  <c r="BO3" i="10" a="1"/>
  <c r="BO3" i="10"/>
  <c r="BO4" i="10" a="1"/>
  <c r="BO4" i="10"/>
  <c r="BO5" i="10" a="1"/>
  <c r="BO5" i="10"/>
  <c r="BO6" i="10" a="1"/>
  <c r="BO6" i="10"/>
  <c r="BO7" i="10" a="1"/>
  <c r="BO7" i="10"/>
  <c r="BO8" i="10" a="1"/>
  <c r="BO8" i="10"/>
  <c r="BO9" i="10" a="1"/>
  <c r="BO9" i="10"/>
  <c r="BP2" i="10" a="1"/>
  <c r="BP2" i="10"/>
  <c r="BP3" i="10" a="1"/>
  <c r="BP3" i="10"/>
  <c r="BP4" i="10" a="1"/>
  <c r="BP4" i="10"/>
  <c r="BP5" i="10" a="1"/>
  <c r="BP5" i="10"/>
  <c r="BP6" i="10" a="1"/>
  <c r="BP6" i="10"/>
  <c r="BP7" i="10" a="1"/>
  <c r="BP7" i="10"/>
  <c r="BP8" i="10" a="1"/>
  <c r="BP8" i="10"/>
  <c r="BP9" i="10" a="1"/>
  <c r="BP9" i="10"/>
  <c r="BQ2" i="10" a="1"/>
  <c r="BQ2" i="10"/>
  <c r="BQ3" i="10" a="1"/>
  <c r="BQ3" i="10"/>
  <c r="BQ4" i="10" a="1"/>
  <c r="BQ4" i="10"/>
  <c r="BQ5" i="10" a="1"/>
  <c r="BQ5" i="10"/>
  <c r="BQ6" i="10" a="1"/>
  <c r="BQ6" i="10"/>
  <c r="BQ7" i="10" a="1"/>
  <c r="BQ7" i="10"/>
  <c r="BQ8" i="10" a="1"/>
  <c r="BQ8" i="10"/>
  <c r="BQ9" i="10" a="1"/>
  <c r="BQ9" i="10"/>
  <c r="BR2" i="10" a="1"/>
  <c r="BR2" i="10"/>
  <c r="BR3" i="10" a="1"/>
  <c r="BR3" i="10"/>
  <c r="BR4" i="10" a="1"/>
  <c r="BR4" i="10"/>
  <c r="BR5" i="10" a="1"/>
  <c r="BR5" i="10"/>
  <c r="BR6" i="10" a="1"/>
  <c r="BR6" i="10"/>
  <c r="BR7" i="10" a="1"/>
  <c r="BR7" i="10"/>
  <c r="BR8" i="10" a="1"/>
  <c r="BR8" i="10"/>
  <c r="BR9" i="10" a="1"/>
  <c r="BR9" i="10"/>
  <c r="BS2" i="10" a="1"/>
  <c r="BS2" i="10"/>
  <c r="BS3" i="10" a="1"/>
  <c r="BS3" i="10"/>
  <c r="BS4" i="10" a="1"/>
  <c r="BS4" i="10"/>
  <c r="BS5" i="10" a="1"/>
  <c r="BS5" i="10"/>
  <c r="BS6" i="10" a="1"/>
  <c r="BS6" i="10"/>
  <c r="BS7" i="10" a="1"/>
  <c r="BS7" i="10"/>
  <c r="BS8" i="10" a="1"/>
  <c r="BS8" i="10"/>
  <c r="BS9" i="10" a="1"/>
  <c r="BS9" i="10"/>
  <c r="BT2" i="10" a="1"/>
  <c r="BT2" i="10"/>
  <c r="BT3" i="10" a="1"/>
  <c r="BT3" i="10"/>
  <c r="BT4" i="10" a="1"/>
  <c r="BT4" i="10"/>
  <c r="BT5" i="10" a="1"/>
  <c r="BT5" i="10"/>
  <c r="BT6" i="10" a="1"/>
  <c r="BT6" i="10"/>
  <c r="BT7" i="10" a="1"/>
  <c r="BT7" i="10"/>
  <c r="BT8" i="10" a="1"/>
  <c r="BT8" i="10"/>
  <c r="BT9" i="10" a="1"/>
  <c r="BT9" i="10"/>
  <c r="BU2" i="10" a="1"/>
  <c r="BU2" i="10"/>
  <c r="BU3" i="10" a="1"/>
  <c r="BU3" i="10"/>
  <c r="BU4" i="10" a="1"/>
  <c r="BU4" i="10"/>
  <c r="BU5" i="10" a="1"/>
  <c r="BU5" i="10"/>
  <c r="BU6" i="10" a="1"/>
  <c r="BU6" i="10"/>
  <c r="BU7" i="10" a="1"/>
  <c r="BU7" i="10"/>
  <c r="BU8" i="10" a="1"/>
  <c r="BU8" i="10"/>
  <c r="BU9" i="10" a="1"/>
  <c r="BU9" i="10"/>
  <c r="BV2" i="10" a="1"/>
  <c r="BV2" i="10"/>
  <c r="BV3" i="10" a="1"/>
  <c r="BV3" i="10"/>
  <c r="BV4" i="10" a="1"/>
  <c r="BV4" i="10"/>
  <c r="BV5" i="10" a="1"/>
  <c r="BV5" i="10"/>
  <c r="BV6" i="10" a="1"/>
  <c r="BV6" i="10"/>
  <c r="BV7" i="10" a="1"/>
  <c r="BV7" i="10"/>
  <c r="BV8" i="10" a="1"/>
  <c r="BV8" i="10"/>
  <c r="BV9" i="10" a="1"/>
  <c r="BV9" i="10"/>
  <c r="BW2" i="10" a="1"/>
  <c r="BW2" i="10"/>
  <c r="BW3" i="10" a="1"/>
  <c r="BW3" i="10"/>
  <c r="BW4" i="10" a="1"/>
  <c r="BW4" i="10"/>
  <c r="BW5" i="10" a="1"/>
  <c r="BW5" i="10"/>
  <c r="BW6" i="10" a="1"/>
  <c r="BW6" i="10"/>
  <c r="BW7" i="10" a="1"/>
  <c r="BW7" i="10"/>
  <c r="BW8" i="10" a="1"/>
  <c r="BW8" i="10"/>
  <c r="BW9" i="10" a="1"/>
  <c r="BW9" i="10"/>
  <c r="BX2" i="10" a="1"/>
  <c r="BX2" i="10"/>
  <c r="BX3" i="10" a="1"/>
  <c r="BX3" i="10"/>
  <c r="BX4" i="10" a="1"/>
  <c r="BX4" i="10"/>
  <c r="BX5" i="10" a="1"/>
  <c r="BX5" i="10"/>
  <c r="BX6" i="10" a="1"/>
  <c r="BX6" i="10"/>
  <c r="BX7" i="10" a="1"/>
  <c r="BX7" i="10"/>
  <c r="BX8" i="10" a="1"/>
  <c r="BX8" i="10"/>
  <c r="BX9" i="10" a="1"/>
  <c r="BX9" i="10"/>
  <c r="BY2" i="10" a="1"/>
  <c r="BY2" i="10"/>
  <c r="BY3" i="10" a="1"/>
  <c r="BY3" i="10"/>
  <c r="BY4" i="10" a="1"/>
  <c r="BY4" i="10"/>
  <c r="BY5" i="10" a="1"/>
  <c r="BY5" i="10"/>
  <c r="BY6" i="10" a="1"/>
  <c r="BY6" i="10"/>
  <c r="BY7" i="10" a="1"/>
  <c r="BY7" i="10"/>
  <c r="BY8" i="10" a="1"/>
  <c r="BY8" i="10"/>
  <c r="BY9" i="10" a="1"/>
  <c r="BY9" i="10"/>
  <c r="BZ2" i="10" a="1"/>
  <c r="BZ2" i="10"/>
  <c r="BZ3" i="10" a="1"/>
  <c r="BZ3" i="10"/>
  <c r="BZ4" i="10" a="1"/>
  <c r="BZ4" i="10"/>
  <c r="BZ5" i="10" a="1"/>
  <c r="BZ5" i="10"/>
  <c r="BZ6" i="10" a="1"/>
  <c r="BZ6" i="10"/>
  <c r="BZ7" i="10" a="1"/>
  <c r="BZ7" i="10"/>
  <c r="BZ8" i="10" a="1"/>
  <c r="BZ8" i="10"/>
  <c r="BZ9" i="10" a="1"/>
  <c r="BZ9" i="10"/>
  <c r="CA2" i="10" a="1"/>
  <c r="CA2" i="10"/>
  <c r="CA3" i="10" a="1"/>
  <c r="CA3" i="10"/>
  <c r="CA4" i="10" a="1"/>
  <c r="CA4" i="10"/>
  <c r="CA5" i="10" a="1"/>
  <c r="CA5" i="10"/>
  <c r="CA6" i="10" a="1"/>
  <c r="CA6" i="10"/>
  <c r="CA7" i="10" a="1"/>
  <c r="CA7" i="10"/>
  <c r="CA8" i="10" a="1"/>
  <c r="CA8" i="10"/>
  <c r="CA9" i="10" a="1"/>
  <c r="CA9" i="10"/>
  <c r="CB2" i="10" a="1"/>
  <c r="CB2" i="10"/>
  <c r="CB3" i="10" a="1"/>
  <c r="CB3" i="10"/>
  <c r="CB4" i="10" a="1"/>
  <c r="CB4" i="10"/>
  <c r="CB5" i="10" a="1"/>
  <c r="CB5" i="10"/>
  <c r="CB6" i="10" a="1"/>
  <c r="CB6" i="10"/>
  <c r="CB7" i="10" a="1"/>
  <c r="CB7" i="10"/>
  <c r="CB8" i="10" a="1"/>
  <c r="CB8" i="10"/>
  <c r="CB9" i="10" a="1"/>
  <c r="CB9" i="10"/>
  <c r="CC2" i="10" a="1"/>
  <c r="CC2" i="10"/>
  <c r="CC3" i="10" a="1"/>
  <c r="CC3" i="10"/>
  <c r="CC4" i="10" a="1"/>
  <c r="CC4" i="10"/>
  <c r="CC5" i="10" a="1"/>
  <c r="CC5" i="10"/>
  <c r="CC6" i="10" a="1"/>
  <c r="CC6" i="10"/>
  <c r="CC7" i="10" a="1"/>
  <c r="CC7" i="10"/>
  <c r="CC8" i="10" a="1"/>
  <c r="CC8" i="10"/>
  <c r="CC9" i="10" a="1"/>
  <c r="CC9" i="10"/>
  <c r="CD2" i="10" a="1"/>
  <c r="CD2" i="10"/>
  <c r="CD3" i="10" a="1"/>
  <c r="CD3" i="10"/>
  <c r="CD4" i="10" a="1"/>
  <c r="CD4" i="10"/>
  <c r="CD5" i="10" a="1"/>
  <c r="CD5" i="10"/>
  <c r="CD6" i="10" a="1"/>
  <c r="CD6" i="10"/>
  <c r="CD7" i="10" a="1"/>
  <c r="CD7" i="10"/>
  <c r="CD8" i="10" a="1"/>
  <c r="CD8" i="10"/>
  <c r="CD9" i="10" a="1"/>
  <c r="CD9" i="10"/>
  <c r="CE2" i="10" a="1"/>
  <c r="CE2" i="10"/>
  <c r="CE3" i="10" a="1"/>
  <c r="CE3" i="10"/>
  <c r="CE4" i="10" a="1"/>
  <c r="CE4" i="10"/>
  <c r="CE5" i="10" a="1"/>
  <c r="CE5" i="10"/>
  <c r="CE6" i="10" a="1"/>
  <c r="CE6" i="10"/>
  <c r="CE7" i="10" a="1"/>
  <c r="CE7" i="10"/>
  <c r="CE8" i="10" a="1"/>
  <c r="CE8" i="10"/>
  <c r="CE9" i="10" a="1"/>
  <c r="CE9" i="10"/>
  <c r="CF2" i="10" a="1"/>
  <c r="CF2" i="10"/>
  <c r="CF3" i="10" a="1"/>
  <c r="CF3" i="10"/>
  <c r="CF4" i="10" a="1"/>
  <c r="CF4" i="10"/>
  <c r="CF5" i="10" a="1"/>
  <c r="CF5" i="10"/>
  <c r="CF6" i="10" a="1"/>
  <c r="CF6" i="10"/>
  <c r="CF7" i="10" a="1"/>
  <c r="CF7" i="10"/>
  <c r="CF8" i="10" a="1"/>
  <c r="CF8" i="10"/>
  <c r="CF9" i="10" a="1"/>
  <c r="CF9" i="10"/>
  <c r="CG2" i="10" a="1"/>
  <c r="CG2" i="10"/>
  <c r="CG3" i="10" a="1"/>
  <c r="CG3" i="10"/>
  <c r="CG4" i="10" a="1"/>
  <c r="CG4" i="10"/>
  <c r="CG5" i="10" a="1"/>
  <c r="CG5" i="10"/>
  <c r="CG6" i="10" a="1"/>
  <c r="CG6" i="10"/>
  <c r="CG7" i="10" a="1"/>
  <c r="CG7" i="10"/>
  <c r="CG8" i="10" a="1"/>
  <c r="CG8" i="10"/>
  <c r="CG9" i="10" a="1"/>
  <c r="CG9" i="10"/>
  <c r="CH2" i="10" a="1"/>
  <c r="CH2" i="10"/>
  <c r="CH3" i="10" a="1"/>
  <c r="CH3" i="10"/>
  <c r="CH4" i="10" a="1"/>
  <c r="CH4" i="10"/>
  <c r="CH5" i="10" a="1"/>
  <c r="CH5" i="10"/>
  <c r="CH6" i="10" a="1"/>
  <c r="CH6" i="10"/>
  <c r="CH7" i="10" a="1"/>
  <c r="CH7" i="10"/>
  <c r="CH8" i="10" a="1"/>
  <c r="CH8" i="10"/>
  <c r="CH9" i="10" a="1"/>
  <c r="CH9" i="10"/>
  <c r="CI2" i="10" a="1"/>
  <c r="CI2" i="10"/>
  <c r="CI3" i="10" a="1"/>
  <c r="CI3" i="10"/>
  <c r="CI4" i="10" a="1"/>
  <c r="CI4" i="10"/>
  <c r="CI5" i="10" a="1"/>
  <c r="CI5" i="10"/>
  <c r="CI6" i="10" a="1"/>
  <c r="CI6" i="10"/>
  <c r="CI7" i="10" a="1"/>
  <c r="CI7" i="10"/>
  <c r="CI8" i="10" a="1"/>
  <c r="CI8" i="10"/>
  <c r="CI9" i="10" a="1"/>
  <c r="CI9" i="10"/>
  <c r="CJ2" i="10" a="1"/>
  <c r="CJ2" i="10"/>
  <c r="CJ3" i="10" a="1"/>
  <c r="CJ3" i="10"/>
  <c r="CJ4" i="10" a="1"/>
  <c r="CJ4" i="10"/>
  <c r="CJ5" i="10" a="1"/>
  <c r="CJ5" i="10"/>
  <c r="CJ6" i="10" a="1"/>
  <c r="CJ6" i="10"/>
  <c r="CJ7" i="10" a="1"/>
  <c r="CJ7" i="10"/>
  <c r="CJ8" i="10" a="1"/>
  <c r="CJ8" i="10"/>
  <c r="CJ9" i="10" a="1"/>
  <c r="CJ9" i="10"/>
  <c r="CK2" i="10" a="1"/>
  <c r="CK2" i="10"/>
  <c r="CK3" i="10" a="1"/>
  <c r="CK3" i="10"/>
  <c r="CK4" i="10" a="1"/>
  <c r="CK4" i="10"/>
  <c r="CK5" i="10" a="1"/>
  <c r="CK5" i="10"/>
  <c r="CK6" i="10" a="1"/>
  <c r="CK6" i="10"/>
  <c r="CK7" i="10" a="1"/>
  <c r="CK7" i="10"/>
  <c r="CK8" i="10" a="1"/>
  <c r="CK8" i="10"/>
  <c r="CK9" i="10" a="1"/>
  <c r="CK9" i="10"/>
  <c r="CL2" i="10" a="1"/>
  <c r="CL2" i="10"/>
  <c r="CL3" i="10" a="1"/>
  <c r="CL3" i="10"/>
  <c r="CL4" i="10" a="1"/>
  <c r="CL4" i="10"/>
  <c r="CL5" i="10" a="1"/>
  <c r="CL5" i="10"/>
  <c r="CL6" i="10" a="1"/>
  <c r="CL6" i="10"/>
  <c r="CL7" i="10" a="1"/>
  <c r="CL7" i="10"/>
  <c r="CL8" i="10" a="1"/>
  <c r="CL8" i="10"/>
  <c r="CL9" i="10" a="1"/>
  <c r="CL9" i="10"/>
  <c r="CM2" i="10" a="1"/>
  <c r="CM2" i="10"/>
  <c r="CM3" i="10" a="1"/>
  <c r="CM3" i="10"/>
  <c r="CM4" i="10" a="1"/>
  <c r="CM4" i="10"/>
  <c r="CM5" i="10" a="1"/>
  <c r="CM5" i="10"/>
  <c r="CM6" i="10" a="1"/>
  <c r="CM6" i="10"/>
  <c r="CM7" i="10" a="1"/>
  <c r="CM7" i="10"/>
  <c r="CM8" i="10" a="1"/>
  <c r="CM8" i="10"/>
  <c r="CM9" i="10" a="1"/>
  <c r="CM9" i="10"/>
  <c r="CN2" i="10" a="1"/>
  <c r="CN2" i="10"/>
  <c r="CN3" i="10" a="1"/>
  <c r="CN3" i="10"/>
  <c r="CN4" i="10" a="1"/>
  <c r="CN4" i="10"/>
  <c r="CN5" i="10" a="1"/>
  <c r="CN5" i="10"/>
  <c r="CN6" i="10" a="1"/>
  <c r="CN6" i="10"/>
  <c r="CN7" i="10" a="1"/>
  <c r="CN7" i="10"/>
  <c r="CN8" i="10" a="1"/>
  <c r="CN8" i="10"/>
  <c r="CN9" i="10" a="1"/>
  <c r="CN9" i="10"/>
  <c r="CO2" i="10" a="1"/>
  <c r="CO2" i="10"/>
  <c r="CO3" i="10" a="1"/>
  <c r="CO3" i="10"/>
  <c r="CO4" i="10" a="1"/>
  <c r="CO4" i="10"/>
  <c r="CO5" i="10" a="1"/>
  <c r="CO5" i="10"/>
  <c r="CO6" i="10" a="1"/>
  <c r="CO6" i="10"/>
  <c r="CO7" i="10" a="1"/>
  <c r="CO7" i="10"/>
  <c r="CO8" i="10" a="1"/>
  <c r="CO8" i="10"/>
  <c r="CO9" i="10" a="1"/>
  <c r="CO9" i="10"/>
  <c r="CP2" i="10" a="1"/>
  <c r="CP2" i="10"/>
  <c r="CP3" i="10" a="1"/>
  <c r="CP3" i="10"/>
  <c r="CP4" i="10" a="1"/>
  <c r="CP4" i="10"/>
  <c r="CP5" i="10" a="1"/>
  <c r="CP5" i="10"/>
  <c r="CP6" i="10" a="1"/>
  <c r="CP6" i="10"/>
  <c r="CP7" i="10" a="1"/>
  <c r="CP7" i="10"/>
  <c r="CP8" i="10" a="1"/>
  <c r="CP8" i="10"/>
  <c r="CP9" i="10" a="1"/>
  <c r="CP9" i="10"/>
  <c r="CQ2" i="10" a="1"/>
  <c r="CQ2" i="10"/>
  <c r="CQ3" i="10" a="1"/>
  <c r="CQ3" i="10"/>
  <c r="CQ4" i="10" a="1"/>
  <c r="CQ4" i="10"/>
  <c r="CQ5" i="10" a="1"/>
  <c r="CQ5" i="10"/>
  <c r="CQ6" i="10" a="1"/>
  <c r="CQ6" i="10"/>
  <c r="CQ7" i="10" a="1"/>
  <c r="CQ7" i="10"/>
  <c r="CQ8" i="10" a="1"/>
  <c r="CQ8" i="10"/>
  <c r="CQ9" i="10" a="1"/>
  <c r="CQ9" i="10"/>
  <c r="CR2" i="10" a="1"/>
  <c r="CR2" i="10"/>
  <c r="CR3" i="10" a="1"/>
  <c r="CR3" i="10"/>
  <c r="CR4" i="10" a="1"/>
  <c r="CR4" i="10"/>
  <c r="CR5" i="10" a="1"/>
  <c r="CR5" i="10"/>
  <c r="CR6" i="10" a="1"/>
  <c r="CR6" i="10"/>
  <c r="CR7" i="10" a="1"/>
  <c r="CR7" i="10"/>
  <c r="CR8" i="10" a="1"/>
  <c r="CR8" i="10"/>
  <c r="CR9" i="10" a="1"/>
  <c r="CR9" i="10"/>
  <c r="BI19" i="10"/>
  <c r="BI20" i="10"/>
  <c r="BI21" i="10"/>
  <c r="BI22" i="10"/>
  <c r="BI23" i="10"/>
  <c r="BI24" i="10"/>
  <c r="BI25" i="10"/>
  <c r="BI26" i="10"/>
  <c r="BI27" i="10"/>
  <c r="AA2" i="11" a="1"/>
  <c r="AA2" i="11"/>
  <c r="BJ19" i="10"/>
  <c r="BJ20" i="10"/>
  <c r="BJ21" i="10"/>
  <c r="BJ22" i="10"/>
  <c r="BJ23" i="10"/>
  <c r="BJ24" i="10"/>
  <c r="BJ25" i="10"/>
  <c r="BJ26" i="10"/>
  <c r="BJ27" i="10"/>
  <c r="AA3" i="11" a="1"/>
  <c r="AA3" i="11"/>
  <c r="BK19" i="10"/>
  <c r="BK20" i="10"/>
  <c r="BK21" i="10"/>
  <c r="BK22" i="10"/>
  <c r="BK23" i="10"/>
  <c r="BK24" i="10"/>
  <c r="BK25" i="10"/>
  <c r="BK26" i="10"/>
  <c r="BK27" i="10"/>
  <c r="AA4" i="11" a="1"/>
  <c r="AA4" i="11"/>
  <c r="BL19" i="10"/>
  <c r="BL20" i="10"/>
  <c r="BL21" i="10"/>
  <c r="BL22" i="10"/>
  <c r="BL23" i="10"/>
  <c r="BL24" i="10"/>
  <c r="BL25" i="10"/>
  <c r="BL26" i="10"/>
  <c r="BL27" i="10"/>
  <c r="AA5" i="11" a="1"/>
  <c r="AA5" i="11"/>
  <c r="BM19" i="10"/>
  <c r="BM20" i="10"/>
  <c r="BM21" i="10"/>
  <c r="BM22" i="10"/>
  <c r="BM23" i="10"/>
  <c r="BM24" i="10"/>
  <c r="BM25" i="10"/>
  <c r="BM26" i="10"/>
  <c r="BM27" i="10"/>
  <c r="AA6" i="11" a="1"/>
  <c r="AA6" i="11"/>
  <c r="BN19" i="10"/>
  <c r="BN20" i="10"/>
  <c r="BN21" i="10"/>
  <c r="BN22" i="10"/>
  <c r="BN23" i="10"/>
  <c r="BN24" i="10"/>
  <c r="BN25" i="10"/>
  <c r="BN26" i="10"/>
  <c r="BN27" i="10"/>
  <c r="AA7" i="11" a="1"/>
  <c r="AA7" i="11"/>
  <c r="BO19" i="10"/>
  <c r="BO20" i="10"/>
  <c r="BO21" i="10"/>
  <c r="BO22" i="10"/>
  <c r="BO23" i="10"/>
  <c r="BO24" i="10"/>
  <c r="BO25" i="10"/>
  <c r="BO26" i="10"/>
  <c r="BO27" i="10"/>
  <c r="AA8" i="11" a="1"/>
  <c r="AA8" i="11"/>
  <c r="BP19" i="10"/>
  <c r="BP20" i="10"/>
  <c r="BP21" i="10"/>
  <c r="BP22" i="10"/>
  <c r="BP23" i="10"/>
  <c r="BP24" i="10"/>
  <c r="BP25" i="10"/>
  <c r="BP26" i="10"/>
  <c r="BP27" i="10"/>
  <c r="AA9" i="11" a="1"/>
  <c r="AA9" i="11"/>
  <c r="BQ19" i="10"/>
  <c r="BQ20" i="10"/>
  <c r="BQ21" i="10"/>
  <c r="BQ22" i="10"/>
  <c r="BQ23" i="10"/>
  <c r="BQ24" i="10"/>
  <c r="BQ25" i="10"/>
  <c r="BQ26" i="10"/>
  <c r="BQ27" i="10"/>
  <c r="AA10" i="11" a="1"/>
  <c r="AA10" i="11"/>
  <c r="BR19" i="10"/>
  <c r="BR20" i="10"/>
  <c r="BR21" i="10"/>
  <c r="BR22" i="10"/>
  <c r="BR23" i="10"/>
  <c r="BR24" i="10"/>
  <c r="BR25" i="10"/>
  <c r="BR26" i="10"/>
  <c r="BR27" i="10"/>
  <c r="AA11" i="11" a="1"/>
  <c r="AA11" i="11"/>
  <c r="BS19" i="10"/>
  <c r="BS20" i="10"/>
  <c r="BS21" i="10"/>
  <c r="BS22" i="10"/>
  <c r="BS23" i="10"/>
  <c r="BS24" i="10"/>
  <c r="BS25" i="10"/>
  <c r="BS26" i="10"/>
  <c r="BS27" i="10"/>
  <c r="AA12" i="11" a="1"/>
  <c r="AA12" i="11"/>
  <c r="BT19" i="10"/>
  <c r="BT20" i="10"/>
  <c r="BT21" i="10"/>
  <c r="BT22" i="10"/>
  <c r="BT23" i="10"/>
  <c r="BT24" i="10"/>
  <c r="BT25" i="10"/>
  <c r="BT26" i="10"/>
  <c r="BT27" i="10"/>
  <c r="AA13" i="11" a="1"/>
  <c r="AA13" i="11"/>
  <c r="BU19" i="10"/>
  <c r="BU20" i="10"/>
  <c r="BU21" i="10"/>
  <c r="BU22" i="10"/>
  <c r="BU23" i="10"/>
  <c r="BU24" i="10"/>
  <c r="BU25" i="10"/>
  <c r="BU26" i="10"/>
  <c r="BU27" i="10"/>
  <c r="AA14" i="11" a="1"/>
  <c r="AA14" i="11"/>
  <c r="BV19" i="10"/>
  <c r="BV20" i="10"/>
  <c r="BV21" i="10"/>
  <c r="BV22" i="10"/>
  <c r="BV23" i="10"/>
  <c r="BV24" i="10"/>
  <c r="BV25" i="10"/>
  <c r="BV26" i="10"/>
  <c r="BV27" i="10"/>
  <c r="AA15" i="11" a="1"/>
  <c r="AA15" i="11"/>
  <c r="BW19" i="10"/>
  <c r="BW20" i="10"/>
  <c r="BW21" i="10"/>
  <c r="BW22" i="10"/>
  <c r="BW23" i="10"/>
  <c r="BW24" i="10"/>
  <c r="BW25" i="10"/>
  <c r="BW26" i="10"/>
  <c r="BW27" i="10"/>
  <c r="AA16" i="11" a="1"/>
  <c r="AA16" i="11"/>
  <c r="BX19" i="10"/>
  <c r="BX20" i="10"/>
  <c r="BX21" i="10"/>
  <c r="BX22" i="10"/>
  <c r="BX23" i="10"/>
  <c r="BX24" i="10"/>
  <c r="BX25" i="10"/>
  <c r="BX26" i="10"/>
  <c r="BX27" i="10"/>
  <c r="AA17" i="11" a="1"/>
  <c r="AA17" i="11"/>
  <c r="BY19" i="10"/>
  <c r="BY20" i="10"/>
  <c r="BY21" i="10"/>
  <c r="BY22" i="10"/>
  <c r="BY23" i="10"/>
  <c r="BY24" i="10"/>
  <c r="BY25" i="10"/>
  <c r="BY26" i="10"/>
  <c r="BY27" i="10"/>
  <c r="AA18" i="11" a="1"/>
  <c r="AA18" i="11"/>
  <c r="BZ19" i="10"/>
  <c r="BZ20" i="10"/>
  <c r="BZ21" i="10"/>
  <c r="BZ22" i="10"/>
  <c r="BZ23" i="10"/>
  <c r="BZ24" i="10"/>
  <c r="BZ25" i="10"/>
  <c r="BZ26" i="10"/>
  <c r="BZ27" i="10"/>
  <c r="AA19" i="11" a="1"/>
  <c r="AA19" i="11"/>
  <c r="CA19" i="10"/>
  <c r="CA20" i="10"/>
  <c r="CA21" i="10"/>
  <c r="CA22" i="10"/>
  <c r="CA23" i="10"/>
  <c r="CA24" i="10"/>
  <c r="CA25" i="10"/>
  <c r="CA26" i="10"/>
  <c r="CA27" i="10"/>
  <c r="AA20" i="11" a="1"/>
  <c r="AA20" i="11"/>
  <c r="CB19" i="10"/>
  <c r="CB20" i="10"/>
  <c r="CB21" i="10"/>
  <c r="CB22" i="10"/>
  <c r="CB23" i="10"/>
  <c r="CB24" i="10"/>
  <c r="CB25" i="10"/>
  <c r="CB26" i="10"/>
  <c r="CB27" i="10"/>
  <c r="AA21" i="11" a="1"/>
  <c r="AA21" i="11"/>
  <c r="CC19" i="10"/>
  <c r="CC20" i="10"/>
  <c r="CC21" i="10"/>
  <c r="CC22" i="10"/>
  <c r="CC23" i="10"/>
  <c r="CC24" i="10"/>
  <c r="CC25" i="10"/>
  <c r="CC26" i="10"/>
  <c r="CC27" i="10"/>
  <c r="AA22" i="11" a="1"/>
  <c r="AA22" i="11"/>
  <c r="CD19" i="10"/>
  <c r="CD20" i="10"/>
  <c r="CD21" i="10"/>
  <c r="CD22" i="10"/>
  <c r="CD23" i="10"/>
  <c r="CD24" i="10"/>
  <c r="CD25" i="10"/>
  <c r="CD26" i="10"/>
  <c r="CD27" i="10"/>
  <c r="AA23" i="11" a="1"/>
  <c r="AA23" i="11"/>
  <c r="CE19" i="10"/>
  <c r="CE20" i="10"/>
  <c r="CE21" i="10"/>
  <c r="CE22" i="10"/>
  <c r="CE23" i="10"/>
  <c r="CE24" i="10"/>
  <c r="CE25" i="10"/>
  <c r="CE26" i="10"/>
  <c r="CE27" i="10"/>
  <c r="AA24" i="11" a="1"/>
  <c r="AA24" i="11"/>
  <c r="CF19" i="10"/>
  <c r="CF20" i="10"/>
  <c r="CF21" i="10"/>
  <c r="CF22" i="10"/>
  <c r="CF23" i="10"/>
  <c r="CF24" i="10"/>
  <c r="CF25" i="10"/>
  <c r="CF26" i="10"/>
  <c r="CF27" i="10"/>
  <c r="AA25" i="11" a="1"/>
  <c r="AA25" i="11"/>
  <c r="CG19" i="10"/>
  <c r="CG20" i="10"/>
  <c r="CG21" i="10"/>
  <c r="CG22" i="10"/>
  <c r="CG23" i="10"/>
  <c r="CG24" i="10"/>
  <c r="CG25" i="10"/>
  <c r="CG26" i="10"/>
  <c r="CG27" i="10"/>
  <c r="AA26" i="11" a="1"/>
  <c r="AA26" i="11"/>
  <c r="CH19" i="10"/>
  <c r="CH20" i="10"/>
  <c r="CH21" i="10"/>
  <c r="CH22" i="10"/>
  <c r="CH23" i="10"/>
  <c r="CH24" i="10"/>
  <c r="CH25" i="10"/>
  <c r="CH26" i="10"/>
  <c r="CH27" i="10"/>
  <c r="AA27" i="11" a="1"/>
  <c r="AA27" i="11"/>
  <c r="CI19" i="10"/>
  <c r="CI20" i="10"/>
  <c r="CI21" i="10"/>
  <c r="CI22" i="10"/>
  <c r="CI23" i="10"/>
  <c r="CI24" i="10"/>
  <c r="CI25" i="10"/>
  <c r="CI26" i="10"/>
  <c r="CI27" i="10"/>
  <c r="AA28" i="11" a="1"/>
  <c r="AA28" i="11"/>
  <c r="CJ19" i="10"/>
  <c r="CJ20" i="10"/>
  <c r="CJ21" i="10"/>
  <c r="CJ22" i="10"/>
  <c r="CJ23" i="10"/>
  <c r="CJ24" i="10"/>
  <c r="CJ25" i="10"/>
  <c r="CJ26" i="10"/>
  <c r="CJ27" i="10"/>
  <c r="AA29" i="11" a="1"/>
  <c r="AA29" i="11"/>
  <c r="CK19" i="10"/>
  <c r="CK20" i="10"/>
  <c r="CK21" i="10"/>
  <c r="CK22" i="10"/>
  <c r="CK23" i="10"/>
  <c r="CK24" i="10"/>
  <c r="CK25" i="10"/>
  <c r="CK26" i="10"/>
  <c r="CK27" i="10"/>
  <c r="AA30" i="11" a="1"/>
  <c r="AA30" i="11"/>
  <c r="CL19" i="10"/>
  <c r="CL20" i="10"/>
  <c r="CL21" i="10"/>
  <c r="CL22" i="10"/>
  <c r="CL23" i="10"/>
  <c r="CL24" i="10"/>
  <c r="CL25" i="10"/>
  <c r="CL26" i="10"/>
  <c r="CL27" i="10"/>
  <c r="AA31" i="11" a="1"/>
  <c r="AA31" i="11"/>
  <c r="CM19" i="10"/>
  <c r="CM20" i="10"/>
  <c r="CM21" i="10"/>
  <c r="CM22" i="10"/>
  <c r="CM23" i="10"/>
  <c r="CM24" i="10"/>
  <c r="CM25" i="10"/>
  <c r="CM26" i="10"/>
  <c r="CM27" i="10"/>
  <c r="AA32" i="11" a="1"/>
  <c r="AA32" i="11"/>
  <c r="CN19" i="10"/>
  <c r="CN20" i="10"/>
  <c r="CN21" i="10"/>
  <c r="CN22" i="10"/>
  <c r="CN23" i="10"/>
  <c r="CN24" i="10"/>
  <c r="CN25" i="10"/>
  <c r="CN26" i="10"/>
  <c r="CN27" i="10"/>
  <c r="AA33" i="11" a="1"/>
  <c r="AA33" i="11"/>
  <c r="CO19" i="10"/>
  <c r="CO20" i="10"/>
  <c r="CO21" i="10"/>
  <c r="CO22" i="10"/>
  <c r="CO23" i="10"/>
  <c r="CO24" i="10"/>
  <c r="CO25" i="10"/>
  <c r="CO26" i="10"/>
  <c r="CO27" i="10"/>
  <c r="AA34" i="11" a="1"/>
  <c r="AA34" i="11"/>
  <c r="CP19" i="10"/>
  <c r="CP20" i="10"/>
  <c r="CP21" i="10"/>
  <c r="CP22" i="10"/>
  <c r="CP23" i="10"/>
  <c r="CP24" i="10"/>
  <c r="CP25" i="10"/>
  <c r="CP26" i="10"/>
  <c r="CP27" i="10"/>
  <c r="AA35" i="11" a="1"/>
  <c r="AA35" i="11"/>
  <c r="CQ19" i="10"/>
  <c r="CQ20" i="10"/>
  <c r="CQ21" i="10"/>
  <c r="CQ22" i="10"/>
  <c r="CQ23" i="10"/>
  <c r="CQ24" i="10"/>
  <c r="CQ25" i="10"/>
  <c r="CQ26" i="10"/>
  <c r="CQ27" i="10"/>
  <c r="AA36" i="11" a="1"/>
  <c r="AA36" i="11"/>
  <c r="CR19" i="10"/>
  <c r="CR20" i="10"/>
  <c r="CR21" i="10"/>
  <c r="CR22" i="10"/>
  <c r="CR23" i="10"/>
  <c r="CR24" i="10"/>
  <c r="CR25" i="10"/>
  <c r="CR26" i="10"/>
  <c r="CR27" i="10"/>
  <c r="AA37" i="11" a="1"/>
  <c r="AA37" i="11"/>
  <c r="BI28" i="10"/>
  <c r="BI29" i="10"/>
  <c r="BI30" i="10"/>
  <c r="BI31" i="10"/>
  <c r="BI32" i="10"/>
  <c r="BI33" i="10"/>
  <c r="BI34" i="10"/>
  <c r="BI35" i="10"/>
  <c r="BI36" i="10"/>
  <c r="AB2" i="11" a="1"/>
  <c r="AB2" i="11"/>
  <c r="BJ28" i="10"/>
  <c r="BJ29" i="10"/>
  <c r="BJ30" i="10"/>
  <c r="BJ31" i="10"/>
  <c r="BJ32" i="10"/>
  <c r="BJ33" i="10"/>
  <c r="BJ34" i="10"/>
  <c r="BJ35" i="10"/>
  <c r="BJ36" i="10"/>
  <c r="AB3" i="11" a="1"/>
  <c r="AB3" i="11"/>
  <c r="BK28" i="10"/>
  <c r="BK29" i="10"/>
  <c r="BK30" i="10"/>
  <c r="BK31" i="10"/>
  <c r="BK32" i="10"/>
  <c r="BK33" i="10"/>
  <c r="BK34" i="10"/>
  <c r="BK35" i="10"/>
  <c r="BK36" i="10"/>
  <c r="AB4" i="11" a="1"/>
  <c r="AB4" i="11"/>
  <c r="BL28" i="10"/>
  <c r="BL29" i="10"/>
  <c r="BL30" i="10"/>
  <c r="BL31" i="10"/>
  <c r="BL32" i="10"/>
  <c r="BL33" i="10"/>
  <c r="BL34" i="10"/>
  <c r="BL35" i="10"/>
  <c r="BL36" i="10"/>
  <c r="AB5" i="11" a="1"/>
  <c r="AB5" i="11"/>
  <c r="BM28" i="10"/>
  <c r="BM29" i="10"/>
  <c r="BM30" i="10"/>
  <c r="BM31" i="10"/>
  <c r="BM32" i="10"/>
  <c r="BM33" i="10"/>
  <c r="BM34" i="10"/>
  <c r="BM35" i="10"/>
  <c r="BM36" i="10"/>
  <c r="AB6" i="11" a="1"/>
  <c r="AB6" i="11"/>
  <c r="BN28" i="10"/>
  <c r="BN29" i="10"/>
  <c r="BN30" i="10"/>
  <c r="BN31" i="10"/>
  <c r="BN32" i="10"/>
  <c r="BN33" i="10"/>
  <c r="BN34" i="10"/>
  <c r="BN35" i="10"/>
  <c r="BN36" i="10"/>
  <c r="AB7" i="11" a="1"/>
  <c r="AB7" i="11"/>
  <c r="BO28" i="10"/>
  <c r="BO29" i="10"/>
  <c r="BO30" i="10"/>
  <c r="BO31" i="10"/>
  <c r="BO32" i="10"/>
  <c r="BO33" i="10"/>
  <c r="BO34" i="10"/>
  <c r="BO35" i="10"/>
  <c r="BO36" i="10"/>
  <c r="AB8" i="11" a="1"/>
  <c r="AB8" i="11"/>
  <c r="BP28" i="10"/>
  <c r="BP29" i="10"/>
  <c r="BP30" i="10"/>
  <c r="BP31" i="10"/>
  <c r="BP32" i="10"/>
  <c r="BP33" i="10"/>
  <c r="BP34" i="10"/>
  <c r="BP35" i="10"/>
  <c r="BP36" i="10"/>
  <c r="AB9" i="11" a="1"/>
  <c r="AB9" i="11"/>
  <c r="BQ28" i="10"/>
  <c r="BQ29" i="10"/>
  <c r="BQ30" i="10"/>
  <c r="BQ31" i="10"/>
  <c r="BQ32" i="10"/>
  <c r="BQ33" i="10"/>
  <c r="BQ34" i="10"/>
  <c r="BQ35" i="10"/>
  <c r="BQ36" i="10"/>
  <c r="AB10" i="11" a="1"/>
  <c r="AB10" i="11"/>
  <c r="BR28" i="10"/>
  <c r="BR29" i="10"/>
  <c r="BR30" i="10"/>
  <c r="BR31" i="10"/>
  <c r="BR32" i="10"/>
  <c r="BR33" i="10"/>
  <c r="BR34" i="10"/>
  <c r="BR35" i="10"/>
  <c r="BR36" i="10"/>
  <c r="AB11" i="11" a="1"/>
  <c r="AB11" i="11"/>
  <c r="BS28" i="10"/>
  <c r="BS29" i="10"/>
  <c r="BS30" i="10"/>
  <c r="BS31" i="10"/>
  <c r="BS32" i="10"/>
  <c r="BS33" i="10"/>
  <c r="BS34" i="10"/>
  <c r="BS35" i="10"/>
  <c r="BS36" i="10"/>
  <c r="AB12" i="11" a="1"/>
  <c r="AB12" i="11"/>
  <c r="BT28" i="10"/>
  <c r="BT29" i="10"/>
  <c r="BT30" i="10"/>
  <c r="BT31" i="10"/>
  <c r="BT32" i="10"/>
  <c r="BT33" i="10"/>
  <c r="BT34" i="10"/>
  <c r="BT35" i="10"/>
  <c r="BT36" i="10"/>
  <c r="AB13" i="11" a="1"/>
  <c r="AB13" i="11"/>
  <c r="BU28" i="10"/>
  <c r="BU29" i="10"/>
  <c r="BU30" i="10"/>
  <c r="BU31" i="10"/>
  <c r="BU32" i="10"/>
  <c r="BU33" i="10"/>
  <c r="BU34" i="10"/>
  <c r="BU35" i="10"/>
  <c r="BU36" i="10"/>
  <c r="AB14" i="11" a="1"/>
  <c r="AB14" i="11"/>
  <c r="BV28" i="10"/>
  <c r="BV29" i="10"/>
  <c r="BV30" i="10"/>
  <c r="BV31" i="10"/>
  <c r="BV32" i="10"/>
  <c r="BV33" i="10"/>
  <c r="BV34" i="10"/>
  <c r="BV35" i="10"/>
  <c r="BV36" i="10"/>
  <c r="AB15" i="11" a="1"/>
  <c r="AB15" i="11"/>
  <c r="BW28" i="10"/>
  <c r="BW29" i="10"/>
  <c r="BW30" i="10"/>
  <c r="BW31" i="10"/>
  <c r="BW32" i="10"/>
  <c r="BW33" i="10"/>
  <c r="BW34" i="10"/>
  <c r="BW35" i="10"/>
  <c r="BW36" i="10"/>
  <c r="AB16" i="11" a="1"/>
  <c r="AB16" i="11"/>
  <c r="BX28" i="10"/>
  <c r="BX29" i="10"/>
  <c r="BX30" i="10"/>
  <c r="BX31" i="10"/>
  <c r="BX32" i="10"/>
  <c r="BX33" i="10"/>
  <c r="BX34" i="10"/>
  <c r="BX35" i="10"/>
  <c r="BX36" i="10"/>
  <c r="AB17" i="11" a="1"/>
  <c r="AB17" i="11"/>
  <c r="BY28" i="10"/>
  <c r="BY29" i="10"/>
  <c r="BY30" i="10"/>
  <c r="BY31" i="10"/>
  <c r="BY32" i="10"/>
  <c r="BY33" i="10"/>
  <c r="BY34" i="10"/>
  <c r="BY35" i="10"/>
  <c r="BY36" i="10"/>
  <c r="AB18" i="11" a="1"/>
  <c r="AB18" i="11"/>
  <c r="BZ28" i="10"/>
  <c r="BZ29" i="10"/>
  <c r="BZ30" i="10"/>
  <c r="BZ31" i="10"/>
  <c r="BZ32" i="10"/>
  <c r="BZ33" i="10"/>
  <c r="BZ34" i="10"/>
  <c r="BZ35" i="10"/>
  <c r="BZ36" i="10"/>
  <c r="AB19" i="11" a="1"/>
  <c r="AB19" i="11"/>
  <c r="CA28" i="10"/>
  <c r="CA29" i="10"/>
  <c r="CA30" i="10"/>
  <c r="CA31" i="10"/>
  <c r="CA32" i="10"/>
  <c r="CA33" i="10"/>
  <c r="CA34" i="10"/>
  <c r="CA35" i="10"/>
  <c r="CA36" i="10"/>
  <c r="AB20" i="11" a="1"/>
  <c r="AB20" i="11"/>
  <c r="CB28" i="10"/>
  <c r="CB29" i="10"/>
  <c r="CB30" i="10"/>
  <c r="CB31" i="10"/>
  <c r="CB32" i="10"/>
  <c r="CB33" i="10"/>
  <c r="CB34" i="10"/>
  <c r="CB35" i="10"/>
  <c r="CB36" i="10"/>
  <c r="AB21" i="11" a="1"/>
  <c r="AB21" i="11"/>
  <c r="CC28" i="10"/>
  <c r="CC29" i="10"/>
  <c r="CC30" i="10"/>
  <c r="CC31" i="10"/>
  <c r="CC32" i="10"/>
  <c r="CC33" i="10"/>
  <c r="CC34" i="10"/>
  <c r="CC35" i="10"/>
  <c r="CC36" i="10"/>
  <c r="AB22" i="11" a="1"/>
  <c r="AB22" i="11"/>
  <c r="CD28" i="10"/>
  <c r="CD29" i="10"/>
  <c r="CD30" i="10"/>
  <c r="CD31" i="10"/>
  <c r="CD32" i="10"/>
  <c r="CD33" i="10"/>
  <c r="CD34" i="10"/>
  <c r="CD35" i="10"/>
  <c r="CD36" i="10"/>
  <c r="AB23" i="11" a="1"/>
  <c r="AB23" i="11"/>
  <c r="CE28" i="10"/>
  <c r="CE29" i="10"/>
  <c r="CE30" i="10"/>
  <c r="CE31" i="10"/>
  <c r="CE32" i="10"/>
  <c r="CE33" i="10"/>
  <c r="CE34" i="10"/>
  <c r="CE35" i="10"/>
  <c r="CE36" i="10"/>
  <c r="AB24" i="11" a="1"/>
  <c r="AB24" i="11"/>
  <c r="CF28" i="10"/>
  <c r="CF29" i="10"/>
  <c r="CF30" i="10"/>
  <c r="CF31" i="10"/>
  <c r="CF32" i="10"/>
  <c r="CF33" i="10"/>
  <c r="CF34" i="10"/>
  <c r="CF35" i="10"/>
  <c r="CF36" i="10"/>
  <c r="AB25" i="11" a="1"/>
  <c r="AB25" i="11"/>
  <c r="CG28" i="10"/>
  <c r="CG29" i="10"/>
  <c r="CG30" i="10"/>
  <c r="CG31" i="10"/>
  <c r="CG32" i="10"/>
  <c r="CG33" i="10"/>
  <c r="CG34" i="10"/>
  <c r="CG35" i="10"/>
  <c r="CG36" i="10"/>
  <c r="AB26" i="11" a="1"/>
  <c r="AB26" i="11"/>
  <c r="CH28" i="10"/>
  <c r="CH29" i="10"/>
  <c r="CH30" i="10"/>
  <c r="CH31" i="10"/>
  <c r="CH32" i="10"/>
  <c r="CH33" i="10"/>
  <c r="CH34" i="10"/>
  <c r="CH35" i="10"/>
  <c r="CH36" i="10"/>
  <c r="AB27" i="11" a="1"/>
  <c r="AB27" i="11"/>
  <c r="CI28" i="10"/>
  <c r="CI29" i="10"/>
  <c r="CI30" i="10"/>
  <c r="CI31" i="10"/>
  <c r="CI32" i="10"/>
  <c r="CI33" i="10"/>
  <c r="CI34" i="10"/>
  <c r="CI35" i="10"/>
  <c r="CI36" i="10"/>
  <c r="AB28" i="11" a="1"/>
  <c r="AB28" i="11"/>
  <c r="CJ28" i="10"/>
  <c r="CJ29" i="10"/>
  <c r="CJ30" i="10"/>
  <c r="CJ31" i="10"/>
  <c r="CJ32" i="10"/>
  <c r="CJ33" i="10"/>
  <c r="CJ34" i="10"/>
  <c r="CJ35" i="10"/>
  <c r="CJ36" i="10"/>
  <c r="AB29" i="11" a="1"/>
  <c r="AB29" i="11"/>
  <c r="CK28" i="10"/>
  <c r="CK29" i="10"/>
  <c r="CK30" i="10"/>
  <c r="CK31" i="10"/>
  <c r="CK32" i="10"/>
  <c r="CK33" i="10"/>
  <c r="CK34" i="10"/>
  <c r="CK35" i="10"/>
  <c r="CK36" i="10"/>
  <c r="AB30" i="11" a="1"/>
  <c r="AB30" i="11"/>
  <c r="CL28" i="10"/>
  <c r="CL29" i="10"/>
  <c r="CL30" i="10"/>
  <c r="CL31" i="10"/>
  <c r="CL32" i="10"/>
  <c r="CL33" i="10"/>
  <c r="CL34" i="10"/>
  <c r="CL35" i="10"/>
  <c r="CL36" i="10"/>
  <c r="AB31" i="11" a="1"/>
  <c r="AB31" i="11"/>
  <c r="CM28" i="10"/>
  <c r="CM29" i="10"/>
  <c r="CM30" i="10"/>
  <c r="CM31" i="10"/>
  <c r="CM32" i="10"/>
  <c r="CM33" i="10"/>
  <c r="CM34" i="10"/>
  <c r="CM35" i="10"/>
  <c r="CM36" i="10"/>
  <c r="AB32" i="11" a="1"/>
  <c r="AB32" i="11"/>
  <c r="CN28" i="10"/>
  <c r="CN29" i="10"/>
  <c r="CN30" i="10"/>
  <c r="CN31" i="10"/>
  <c r="CN32" i="10"/>
  <c r="CN33" i="10"/>
  <c r="CN34" i="10"/>
  <c r="CN35" i="10"/>
  <c r="CN36" i="10"/>
  <c r="AB33" i="11" a="1"/>
  <c r="AB33" i="11"/>
  <c r="CO28" i="10"/>
  <c r="CO29" i="10"/>
  <c r="CO30" i="10"/>
  <c r="CO31" i="10"/>
  <c r="CO32" i="10"/>
  <c r="CO33" i="10"/>
  <c r="CO34" i="10"/>
  <c r="CO35" i="10"/>
  <c r="CO36" i="10"/>
  <c r="AB34" i="11" a="1"/>
  <c r="AB34" i="11"/>
  <c r="CP28" i="10"/>
  <c r="CP29" i="10"/>
  <c r="CP30" i="10"/>
  <c r="CP31" i="10"/>
  <c r="CP32" i="10"/>
  <c r="CP33" i="10"/>
  <c r="CP34" i="10"/>
  <c r="CP35" i="10"/>
  <c r="CP36" i="10"/>
  <c r="AB35" i="11" a="1"/>
  <c r="AB35" i="11"/>
  <c r="CQ28" i="10"/>
  <c r="CQ29" i="10"/>
  <c r="CQ30" i="10"/>
  <c r="CQ31" i="10"/>
  <c r="CQ32" i="10"/>
  <c r="CQ33" i="10"/>
  <c r="CQ34" i="10"/>
  <c r="CQ35" i="10"/>
  <c r="CQ36" i="10"/>
  <c r="AB36" i="11" a="1"/>
  <c r="AB36" i="11"/>
  <c r="CR28" i="10"/>
  <c r="CR29" i="10"/>
  <c r="CR30" i="10"/>
  <c r="CR31" i="10"/>
  <c r="CR32" i="10"/>
  <c r="CR33" i="10"/>
  <c r="CR34" i="10"/>
  <c r="CR35" i="10"/>
  <c r="CR36" i="10"/>
  <c r="AB37" i="11" a="1"/>
  <c r="AB37" i="11"/>
  <c r="D291" i="24"/>
  <c r="D223" i="24"/>
  <c r="G189" i="35"/>
  <c r="D107" i="24"/>
  <c r="G5" i="35"/>
  <c r="C56" i="35"/>
  <c r="D48" i="35"/>
  <c r="D56" i="35"/>
  <c r="D49" i="35"/>
  <c r="D50" i="35"/>
  <c r="D51" i="35"/>
  <c r="D52" i="35"/>
  <c r="D53" i="35"/>
  <c r="D57" i="35"/>
  <c r="D54" i="35" a="1"/>
  <c r="D54" i="35"/>
  <c r="D58" i="35"/>
  <c r="D59" i="35"/>
  <c r="C54" i="35"/>
  <c r="C53" i="35"/>
  <c r="D114" i="24"/>
  <c r="G290" i="35"/>
  <c r="C52" i="35"/>
  <c r="D112" i="24"/>
  <c r="G274" i="35"/>
  <c r="C51" i="35"/>
  <c r="D110" i="24"/>
  <c r="G246" i="35"/>
  <c r="C50" i="35"/>
  <c r="C49" i="35"/>
  <c r="C48" i="35"/>
  <c r="W37" i="11"/>
  <c r="W36" i="11"/>
  <c r="W35" i="11"/>
  <c r="W34" i="11"/>
  <c r="W33" i="11"/>
  <c r="W32" i="11"/>
  <c r="W31" i="11"/>
  <c r="W30" i="11"/>
  <c r="W29" i="11"/>
  <c r="W28" i="11"/>
  <c r="W27" i="11"/>
  <c r="W26" i="11"/>
  <c r="W25" i="11"/>
  <c r="W24" i="11"/>
  <c r="W23" i="11"/>
  <c r="W22" i="11"/>
  <c r="W21" i="11"/>
  <c r="W20" i="11"/>
  <c r="W19" i="11"/>
  <c r="W18" i="11"/>
  <c r="W17" i="11"/>
  <c r="W16" i="11"/>
  <c r="W15" i="11"/>
  <c r="W14" i="11"/>
  <c r="W13" i="11"/>
  <c r="W12" i="11"/>
  <c r="W11" i="11"/>
  <c r="W10" i="11"/>
  <c r="W9" i="11"/>
  <c r="W8" i="11"/>
  <c r="W7" i="11"/>
  <c r="W6" i="11"/>
  <c r="W5" i="11"/>
  <c r="W4" i="11"/>
  <c r="W3" i="11"/>
  <c r="W2" i="11"/>
  <c r="O37" i="11"/>
  <c r="N37" i="11"/>
  <c r="O36" i="11"/>
  <c r="N36" i="11"/>
  <c r="O35" i="11"/>
  <c r="N35" i="11"/>
  <c r="O34" i="11"/>
  <c r="N34" i="11"/>
  <c r="O33" i="11"/>
  <c r="N33" i="11"/>
  <c r="O32" i="11"/>
  <c r="N32" i="11"/>
  <c r="O31" i="11"/>
  <c r="N31" i="11"/>
  <c r="O30" i="11"/>
  <c r="N30" i="11"/>
  <c r="O29" i="11"/>
  <c r="N29" i="11"/>
  <c r="O28" i="11"/>
  <c r="N28" i="11"/>
  <c r="O27" i="11"/>
  <c r="N27" i="11"/>
  <c r="O26" i="11"/>
  <c r="N26" i="11"/>
  <c r="O25" i="11"/>
  <c r="N25" i="11"/>
  <c r="O24" i="11"/>
  <c r="N24" i="11"/>
  <c r="O23" i="11"/>
  <c r="N23" i="11"/>
  <c r="O22" i="11"/>
  <c r="N22" i="11"/>
  <c r="O21" i="11"/>
  <c r="N21" i="11"/>
  <c r="O20" i="11"/>
  <c r="N20" i="11"/>
  <c r="O19" i="11"/>
  <c r="N19" i="11"/>
  <c r="O18" i="11"/>
  <c r="N18" i="11"/>
  <c r="O17" i="11"/>
  <c r="N17" i="11"/>
  <c r="O16" i="11"/>
  <c r="N16" i="11"/>
  <c r="O15" i="11"/>
  <c r="N15" i="11"/>
  <c r="O14" i="11"/>
  <c r="N14" i="11"/>
  <c r="O13" i="11"/>
  <c r="N13" i="11"/>
  <c r="O12" i="11"/>
  <c r="N12" i="11"/>
  <c r="O11" i="11"/>
  <c r="N11" i="11"/>
  <c r="O10" i="11"/>
  <c r="N10" i="11"/>
  <c r="O9" i="11"/>
  <c r="N9" i="11"/>
  <c r="O8" i="11"/>
  <c r="N8" i="11"/>
  <c r="O7" i="11"/>
  <c r="N7" i="11"/>
  <c r="O6" i="11"/>
  <c r="N6" i="11"/>
  <c r="O5" i="11"/>
  <c r="N5" i="11"/>
  <c r="O4" i="11"/>
  <c r="N4" i="11"/>
  <c r="O3" i="11"/>
  <c r="N3" i="11"/>
  <c r="O2" i="11"/>
  <c r="N2" i="11"/>
  <c r="D148" i="10"/>
  <c r="K149" i="10"/>
  <c r="J149" i="10"/>
  <c r="A4" i="37"/>
  <c r="A5" i="37"/>
  <c r="A6" i="37"/>
  <c r="A7" i="37"/>
  <c r="A8" i="37"/>
  <c r="A9" i="37"/>
  <c r="A10" i="37"/>
  <c r="A11" i="37"/>
  <c r="A12" i="37"/>
  <c r="A13" i="37"/>
  <c r="A14" i="37"/>
  <c r="A15" i="37"/>
  <c r="A16" i="37"/>
  <c r="A17" i="37"/>
  <c r="A18" i="37"/>
  <c r="A19" i="37"/>
  <c r="A20" i="37"/>
  <c r="A21" i="37"/>
  <c r="A22" i="37"/>
  <c r="A23" i="37"/>
  <c r="A24" i="37"/>
  <c r="A25" i="37"/>
  <c r="A26" i="37"/>
  <c r="A27" i="37"/>
  <c r="A28" i="37"/>
  <c r="K163" i="10"/>
  <c r="J163" i="10"/>
  <c r="K162" i="10"/>
  <c r="J162" i="10"/>
  <c r="K161" i="10"/>
  <c r="J161" i="10"/>
  <c r="K160" i="10"/>
  <c r="J160" i="10"/>
  <c r="K159" i="10"/>
  <c r="J159" i="10"/>
  <c r="K158" i="10"/>
  <c r="J158" i="10"/>
  <c r="K157" i="10"/>
  <c r="J157" i="10"/>
  <c r="K156" i="10"/>
  <c r="J156" i="10"/>
  <c r="K155" i="10"/>
  <c r="J155" i="10"/>
  <c r="K154" i="10"/>
  <c r="J154" i="10"/>
  <c r="K153" i="10"/>
  <c r="J153" i="10"/>
  <c r="K152" i="10"/>
  <c r="J152" i="10"/>
  <c r="K151" i="10"/>
  <c r="J151" i="10"/>
  <c r="K150" i="10"/>
  <c r="J150" i="10"/>
  <c r="K148" i="10"/>
  <c r="J148" i="10"/>
  <c r="D65" i="24"/>
  <c r="P193" i="10"/>
  <c r="P183" i="10"/>
  <c r="P165" i="10"/>
  <c r="P147" i="10"/>
  <c r="D296" i="24"/>
  <c r="D3" i="37"/>
  <c r="D311" i="24"/>
  <c r="S3" i="37"/>
  <c r="D310" i="24"/>
  <c r="R3" i="37"/>
  <c r="D309" i="24"/>
  <c r="Q3" i="37"/>
  <c r="D308" i="24"/>
  <c r="P3" i="37"/>
  <c r="D307" i="24"/>
  <c r="O3" i="37"/>
  <c r="D306" i="24"/>
  <c r="N3" i="37"/>
  <c r="D305" i="24"/>
  <c r="M3" i="37"/>
  <c r="D304" i="24"/>
  <c r="L3" i="37"/>
  <c r="D303" i="24"/>
  <c r="K3" i="37"/>
  <c r="D302" i="24"/>
  <c r="J3" i="37"/>
  <c r="D301" i="24"/>
  <c r="I3" i="37"/>
  <c r="D300" i="24"/>
  <c r="H3" i="37"/>
  <c r="D299" i="24"/>
  <c r="G3" i="37"/>
  <c r="D298" i="24"/>
  <c r="F3" i="37"/>
  <c r="D297" i="24"/>
  <c r="E3" i="37"/>
  <c r="D295" i="24"/>
  <c r="C3" i="37"/>
  <c r="D294" i="24"/>
  <c r="B3" i="37"/>
  <c r="D274" i="24"/>
  <c r="D273" i="24"/>
  <c r="D272" i="24"/>
  <c r="D271" i="24"/>
  <c r="D270" i="24"/>
  <c r="D269" i="24"/>
  <c r="D268" i="24"/>
  <c r="D267" i="24"/>
  <c r="D266" i="24"/>
  <c r="D265" i="24"/>
  <c r="D264" i="24"/>
  <c r="D184" i="24"/>
  <c r="C5" i="35"/>
  <c r="D192" i="24"/>
  <c r="C13" i="35"/>
  <c r="D194" i="24"/>
  <c r="C17" i="35"/>
  <c r="D193" i="24"/>
  <c r="C12" i="35"/>
  <c r="D214" i="24"/>
  <c r="C33" i="35"/>
  <c r="D213" i="24"/>
  <c r="C32" i="35"/>
  <c r="D212" i="24"/>
  <c r="C31" i="35"/>
  <c r="D211" i="24"/>
  <c r="C30" i="35"/>
  <c r="D210" i="24"/>
  <c r="C29" i="35"/>
  <c r="D209" i="24"/>
  <c r="C28" i="35"/>
  <c r="D208" i="24"/>
  <c r="C27" i="35"/>
  <c r="D207" i="24"/>
  <c r="C26" i="35"/>
  <c r="D206" i="24"/>
  <c r="C25" i="35"/>
  <c r="D205" i="24"/>
  <c r="C24" i="35"/>
  <c r="D204" i="24"/>
  <c r="C23" i="35"/>
  <c r="D203" i="24"/>
  <c r="C22" i="35"/>
  <c r="D202" i="24"/>
  <c r="C21" i="35"/>
  <c r="D201" i="24"/>
  <c r="C20" i="35"/>
  <c r="D200" i="24"/>
  <c r="C19" i="35"/>
  <c r="D199" i="24"/>
  <c r="C18" i="35"/>
  <c r="D198" i="24"/>
  <c r="C16" i="35"/>
  <c r="D197" i="24"/>
  <c r="C15" i="35"/>
  <c r="D196" i="24"/>
  <c r="C14" i="35"/>
  <c r="D230" i="24"/>
  <c r="G296" i="35"/>
  <c r="D228" i="24"/>
  <c r="G284" i="35"/>
  <c r="D225" i="24"/>
  <c r="G264" i="35"/>
  <c r="D222" i="24"/>
  <c r="G236" i="35"/>
  <c r="D221" i="24"/>
  <c r="D233" i="24"/>
  <c r="G303" i="35"/>
  <c r="G304" i="35"/>
  <c r="D279" i="24"/>
  <c r="G298" i="35"/>
  <c r="G297" i="35"/>
  <c r="D278" i="24"/>
  <c r="G288" i="35"/>
  <c r="G287" i="35"/>
  <c r="G286" i="35"/>
  <c r="G285" i="35"/>
  <c r="D277" i="24"/>
  <c r="G272" i="35"/>
  <c r="G271" i="35"/>
  <c r="G270" i="35"/>
  <c r="G269" i="35"/>
  <c r="G268" i="35"/>
  <c r="G267" i="35"/>
  <c r="G266" i="35"/>
  <c r="G265" i="35"/>
  <c r="G244" i="35"/>
  <c r="G243" i="35"/>
  <c r="G242" i="35"/>
  <c r="G241" i="35"/>
  <c r="G240" i="35"/>
  <c r="G239" i="35"/>
  <c r="G238" i="35"/>
  <c r="G237" i="35"/>
  <c r="G190" i="35"/>
  <c r="D220" i="24"/>
  <c r="G199" i="35"/>
  <c r="G197" i="35"/>
  <c r="G196" i="35"/>
  <c r="G195" i="35"/>
  <c r="G194" i="35"/>
  <c r="G193" i="35"/>
  <c r="G192" i="35"/>
  <c r="G191" i="35"/>
  <c r="D24" i="24"/>
  <c r="G1" i="10"/>
  <c r="G165" i="10"/>
  <c r="D25" i="24"/>
  <c r="H1" i="10"/>
  <c r="H165" i="10"/>
  <c r="D23" i="24"/>
  <c r="D1" i="10"/>
  <c r="D165" i="10"/>
  <c r="D26" i="24"/>
  <c r="K1" i="10"/>
  <c r="K165" i="10"/>
  <c r="N197" i="10"/>
  <c r="N195" i="10"/>
  <c r="N187" i="10"/>
  <c r="N189" i="10"/>
  <c r="N191" i="10"/>
  <c r="N185" i="10"/>
  <c r="N169" i="10"/>
  <c r="N171" i="10"/>
  <c r="N173" i="10"/>
  <c r="N175" i="10"/>
  <c r="N177" i="10"/>
  <c r="N179" i="10"/>
  <c r="N181" i="10"/>
  <c r="N167" i="10"/>
  <c r="N151" i="10"/>
  <c r="N153" i="10"/>
  <c r="N155" i="10"/>
  <c r="N157" i="10"/>
  <c r="N159" i="10"/>
  <c r="N161" i="10"/>
  <c r="N163" i="10"/>
  <c r="N149" i="10"/>
  <c r="C40" i="35"/>
  <c r="D287" i="24"/>
  <c r="C36" i="35"/>
  <c r="D288" i="24"/>
  <c r="C37" i="35"/>
  <c r="D289" i="24"/>
  <c r="C38" i="35"/>
  <c r="D290" i="24"/>
  <c r="C39" i="35"/>
  <c r="D286" i="24"/>
  <c r="C35" i="35"/>
  <c r="D285" i="24"/>
  <c r="C34" i="35"/>
  <c r="D54" i="24"/>
  <c r="B1" i="11"/>
  <c r="D55" i="24"/>
  <c r="C1" i="11"/>
  <c r="D56" i="24"/>
  <c r="D1" i="11"/>
  <c r="D57" i="24"/>
  <c r="E1" i="11"/>
  <c r="D58" i="24"/>
  <c r="F1" i="11"/>
  <c r="D59" i="24"/>
  <c r="G1" i="11"/>
  <c r="D60" i="24"/>
  <c r="H1" i="11"/>
  <c r="D53" i="24"/>
  <c r="I1" i="11"/>
  <c r="D61" i="24"/>
  <c r="J1" i="11"/>
  <c r="K1" i="11"/>
  <c r="L1" i="11"/>
  <c r="M1" i="11"/>
  <c r="N1" i="11"/>
  <c r="O1" i="11"/>
  <c r="P1" i="11"/>
  <c r="Q1" i="11"/>
  <c r="D62" i="24"/>
  <c r="R1" i="11"/>
  <c r="S1" i="11"/>
  <c r="T1" i="11"/>
  <c r="U1" i="11"/>
  <c r="V1" i="11"/>
  <c r="W1" i="11"/>
  <c r="X1" i="11"/>
  <c r="Y1" i="11"/>
  <c r="X3" i="11"/>
  <c r="X27" i="11"/>
  <c r="X37" i="11"/>
  <c r="X8" i="11"/>
  <c r="X1" i="10"/>
  <c r="AN1" i="10"/>
  <c r="X36" i="11"/>
  <c r="X7" i="11"/>
  <c r="X35" i="11"/>
  <c r="X15" i="11"/>
  <c r="X34" i="11"/>
  <c r="X30" i="11"/>
  <c r="X31" i="11"/>
  <c r="X29" i="11"/>
  <c r="X2" i="11"/>
  <c r="X5" i="11"/>
  <c r="X19" i="11"/>
  <c r="W1" i="10"/>
  <c r="AM1" i="10"/>
  <c r="V1" i="10"/>
  <c r="AL1" i="10"/>
  <c r="U3" i="11"/>
  <c r="U27" i="11"/>
  <c r="U37" i="11"/>
  <c r="U8" i="11"/>
  <c r="U1" i="10"/>
  <c r="AK1" i="10"/>
  <c r="U36" i="11"/>
  <c r="U7" i="11"/>
  <c r="U35" i="11"/>
  <c r="U15" i="11"/>
  <c r="U34" i="11"/>
  <c r="U30" i="11"/>
  <c r="U31" i="11"/>
  <c r="U29" i="11"/>
  <c r="U2" i="11"/>
  <c r="U5" i="11"/>
  <c r="U19" i="11"/>
  <c r="T3" i="11"/>
  <c r="T27" i="11"/>
  <c r="T37" i="11"/>
  <c r="T8" i="11"/>
  <c r="T1" i="10"/>
  <c r="AJ1" i="10"/>
  <c r="T36" i="11"/>
  <c r="T7" i="11"/>
  <c r="T35" i="11"/>
  <c r="T15" i="11"/>
  <c r="T34" i="11"/>
  <c r="T30" i="11"/>
  <c r="T31" i="11"/>
  <c r="T29" i="11"/>
  <c r="T2" i="11"/>
  <c r="T5" i="11"/>
  <c r="T19" i="11"/>
  <c r="S1" i="10"/>
  <c r="AI1" i="10"/>
  <c r="R3" i="11"/>
  <c r="R27" i="11"/>
  <c r="R37" i="11"/>
  <c r="R8" i="11"/>
  <c r="R1" i="10"/>
  <c r="AH1" i="10"/>
  <c r="R36" i="11"/>
  <c r="R7" i="11"/>
  <c r="R35" i="11"/>
  <c r="R15" i="11"/>
  <c r="R34" i="11"/>
  <c r="R30" i="11"/>
  <c r="R31" i="11"/>
  <c r="R29" i="11"/>
  <c r="R2" i="11"/>
  <c r="R5" i="11"/>
  <c r="R19" i="11"/>
  <c r="Y3" i="11"/>
  <c r="Y27" i="11"/>
  <c r="Y37" i="11"/>
  <c r="Y8" i="11"/>
  <c r="Q1" i="10"/>
  <c r="AG1" i="10"/>
  <c r="Y36" i="11"/>
  <c r="Y7" i="11"/>
  <c r="Y35" i="11"/>
  <c r="Y15" i="11"/>
  <c r="Y34" i="11"/>
  <c r="Y30" i="11"/>
  <c r="Y31" i="11"/>
  <c r="Y29" i="11"/>
  <c r="Y2" i="11"/>
  <c r="Y5" i="11"/>
  <c r="Y19" i="11"/>
  <c r="P3" i="11"/>
  <c r="P27" i="11"/>
  <c r="P37" i="11"/>
  <c r="P8" i="11"/>
  <c r="AF1" i="10"/>
  <c r="P36" i="11"/>
  <c r="P7" i="11"/>
  <c r="P35" i="11"/>
  <c r="P15" i="11"/>
  <c r="P34" i="11"/>
  <c r="P30" i="11"/>
  <c r="P31" i="11"/>
  <c r="P29" i="11"/>
  <c r="P2" i="11"/>
  <c r="P5" i="11"/>
  <c r="P19" i="11"/>
  <c r="AE1" i="10"/>
  <c r="AD1" i="10"/>
  <c r="M3" i="11"/>
  <c r="M27" i="11"/>
  <c r="M37" i="11"/>
  <c r="M8" i="11"/>
  <c r="AC1" i="10"/>
  <c r="M36" i="11"/>
  <c r="M7" i="11"/>
  <c r="M35" i="11"/>
  <c r="M15" i="11"/>
  <c r="M34" i="11"/>
  <c r="M30" i="11"/>
  <c r="M31" i="11"/>
  <c r="M29" i="11"/>
  <c r="M2" i="11"/>
  <c r="M5" i="11"/>
  <c r="M19" i="11"/>
  <c r="L3" i="11"/>
  <c r="L27" i="11"/>
  <c r="L37" i="11"/>
  <c r="L8" i="11"/>
  <c r="AB1" i="10"/>
  <c r="L36" i="11"/>
  <c r="L7" i="11"/>
  <c r="L35" i="11"/>
  <c r="L15" i="11"/>
  <c r="L34" i="11"/>
  <c r="L30" i="11"/>
  <c r="L31" i="11"/>
  <c r="L29" i="11"/>
  <c r="L2" i="11"/>
  <c r="L5" i="11"/>
  <c r="L19" i="11"/>
  <c r="K3" i="11"/>
  <c r="K27" i="11"/>
  <c r="K37" i="11"/>
  <c r="K8" i="11"/>
  <c r="AA1" i="10"/>
  <c r="K36" i="11"/>
  <c r="K7" i="11"/>
  <c r="K35" i="11"/>
  <c r="K15" i="11"/>
  <c r="K34" i="11"/>
  <c r="K30" i="11"/>
  <c r="K31" i="11"/>
  <c r="K29" i="11"/>
  <c r="K2" i="11"/>
  <c r="K5" i="11"/>
  <c r="K19" i="11"/>
  <c r="J3" i="11"/>
  <c r="J27" i="11"/>
  <c r="J37" i="11"/>
  <c r="J8" i="11"/>
  <c r="Z1" i="10"/>
  <c r="J36" i="11"/>
  <c r="J7" i="11"/>
  <c r="J35" i="11"/>
  <c r="J15" i="11"/>
  <c r="J34" i="11"/>
  <c r="J30" i="11"/>
  <c r="J31" i="11"/>
  <c r="J29" i="11"/>
  <c r="J2" i="11"/>
  <c r="J5" i="11"/>
  <c r="J19" i="11"/>
  <c r="Q3" i="11"/>
  <c r="Q27" i="11"/>
  <c r="Q37" i="11"/>
  <c r="Q8" i="11"/>
  <c r="Y1" i="10"/>
  <c r="Q36" i="11"/>
  <c r="Q7" i="11"/>
  <c r="Q35" i="11"/>
  <c r="Q15" i="11"/>
  <c r="Q34" i="11"/>
  <c r="Q30" i="11"/>
  <c r="Q31" i="11"/>
  <c r="Q29" i="11"/>
  <c r="Q2" i="11"/>
  <c r="Q5" i="11"/>
  <c r="Q19" i="11"/>
  <c r="X25" i="11"/>
  <c r="X26" i="11"/>
  <c r="X28" i="11"/>
  <c r="X33" i="11"/>
  <c r="X16" i="11"/>
  <c r="X6" i="11"/>
  <c r="U25" i="11"/>
  <c r="U26" i="11"/>
  <c r="U28" i="11"/>
  <c r="U33" i="11"/>
  <c r="U16" i="11"/>
  <c r="U6" i="11"/>
  <c r="T25" i="11"/>
  <c r="T26" i="11"/>
  <c r="T28" i="11"/>
  <c r="T33" i="11"/>
  <c r="T16" i="11"/>
  <c r="T6" i="11"/>
  <c r="R25" i="11"/>
  <c r="R26" i="11"/>
  <c r="R28" i="11"/>
  <c r="R33" i="11"/>
  <c r="R16" i="11"/>
  <c r="R6" i="11"/>
  <c r="Y25" i="11"/>
  <c r="Y26" i="11"/>
  <c r="Y28" i="11"/>
  <c r="Y33" i="11"/>
  <c r="Y16" i="11"/>
  <c r="Y6" i="11"/>
  <c r="P25" i="11"/>
  <c r="P26" i="11"/>
  <c r="P28" i="11"/>
  <c r="P33" i="11"/>
  <c r="P16" i="11"/>
  <c r="P6" i="11"/>
  <c r="M25" i="11"/>
  <c r="M26" i="11"/>
  <c r="M28" i="11"/>
  <c r="M33" i="11"/>
  <c r="M16" i="11"/>
  <c r="M6" i="11"/>
  <c r="L25" i="11"/>
  <c r="L26" i="11"/>
  <c r="L28" i="11"/>
  <c r="L33" i="11"/>
  <c r="L16" i="11"/>
  <c r="L6" i="11"/>
  <c r="K25" i="11"/>
  <c r="K26" i="11"/>
  <c r="K28" i="11"/>
  <c r="K33" i="11"/>
  <c r="K16" i="11"/>
  <c r="K6" i="11"/>
  <c r="J25" i="11"/>
  <c r="J26" i="11"/>
  <c r="J28" i="11"/>
  <c r="J33" i="11"/>
  <c r="J16" i="11"/>
  <c r="J6" i="11"/>
  <c r="Q25" i="11"/>
  <c r="Q26" i="11"/>
  <c r="Q28" i="11"/>
  <c r="Q33" i="11"/>
  <c r="Q16" i="11"/>
  <c r="Q6" i="11"/>
  <c r="X20" i="11"/>
  <c r="X32" i="11"/>
  <c r="X11" i="11"/>
  <c r="X21" i="11"/>
  <c r="X17" i="11"/>
  <c r="U20" i="11"/>
  <c r="U32" i="11"/>
  <c r="U11" i="11"/>
  <c r="U21" i="11"/>
  <c r="U17" i="11"/>
  <c r="T20" i="11"/>
  <c r="T32" i="11"/>
  <c r="T11" i="11"/>
  <c r="T21" i="11"/>
  <c r="T17" i="11"/>
  <c r="R20" i="11"/>
  <c r="R32" i="11"/>
  <c r="R11" i="11"/>
  <c r="R21" i="11"/>
  <c r="R17" i="11"/>
  <c r="Y20" i="11"/>
  <c r="Y32" i="11"/>
  <c r="Y11" i="11"/>
  <c r="Y21" i="11"/>
  <c r="Y17" i="11"/>
  <c r="P20" i="11"/>
  <c r="P32" i="11"/>
  <c r="P11" i="11"/>
  <c r="P21" i="11"/>
  <c r="P17" i="11"/>
  <c r="M20" i="11"/>
  <c r="M32" i="11"/>
  <c r="M11" i="11"/>
  <c r="M21" i="11"/>
  <c r="M17" i="11"/>
  <c r="L20" i="11"/>
  <c r="L32" i="11"/>
  <c r="L11" i="11"/>
  <c r="L21" i="11"/>
  <c r="L17" i="11"/>
  <c r="K20" i="11"/>
  <c r="K32" i="11"/>
  <c r="K11" i="11"/>
  <c r="K21" i="11"/>
  <c r="K17" i="11"/>
  <c r="J20" i="11"/>
  <c r="J32" i="11"/>
  <c r="J11" i="11"/>
  <c r="J21" i="11"/>
  <c r="J17" i="11"/>
  <c r="Q20" i="11"/>
  <c r="Q32" i="11"/>
  <c r="Q11" i="11"/>
  <c r="Q21" i="11"/>
  <c r="Q17" i="11"/>
  <c r="X4" i="11"/>
  <c r="X24" i="11"/>
  <c r="X22" i="11"/>
  <c r="U4" i="11"/>
  <c r="U24" i="11"/>
  <c r="U22" i="11"/>
  <c r="T4" i="11"/>
  <c r="T24" i="11"/>
  <c r="T22" i="11"/>
  <c r="R4" i="11"/>
  <c r="R24" i="11"/>
  <c r="R22" i="11"/>
  <c r="Y4" i="11"/>
  <c r="Y24" i="11"/>
  <c r="Y22" i="11"/>
  <c r="P4" i="11"/>
  <c r="P24" i="11"/>
  <c r="P22" i="11"/>
  <c r="M4" i="11"/>
  <c r="M24" i="11"/>
  <c r="M22" i="11"/>
  <c r="L4" i="11"/>
  <c r="L24" i="11"/>
  <c r="L22" i="11"/>
  <c r="K4" i="11"/>
  <c r="K24" i="11"/>
  <c r="K22" i="11"/>
  <c r="J4" i="11"/>
  <c r="J24" i="11"/>
  <c r="J22" i="11"/>
  <c r="Q4" i="11"/>
  <c r="Q24" i="11"/>
  <c r="Q22" i="11"/>
  <c r="X13" i="11"/>
  <c r="U13" i="11"/>
  <c r="T13" i="11"/>
  <c r="R13" i="11"/>
  <c r="Y13" i="11"/>
  <c r="P13" i="11"/>
  <c r="M13" i="11"/>
  <c r="L13" i="11"/>
  <c r="K13" i="11"/>
  <c r="J13" i="11"/>
  <c r="Q13" i="11"/>
  <c r="X10" i="11"/>
  <c r="X14" i="11"/>
  <c r="X23" i="11"/>
  <c r="X9" i="11"/>
  <c r="X12" i="11"/>
  <c r="X18" i="11"/>
  <c r="U10" i="11"/>
  <c r="U14" i="11"/>
  <c r="U23" i="11"/>
  <c r="U9" i="11"/>
  <c r="U12" i="11"/>
  <c r="U18" i="11"/>
  <c r="T10" i="11"/>
  <c r="T14" i="11"/>
  <c r="T23" i="11"/>
  <c r="T9" i="11"/>
  <c r="T12" i="11"/>
  <c r="T18" i="11"/>
  <c r="R10" i="11"/>
  <c r="R14" i="11"/>
  <c r="R23" i="11"/>
  <c r="R9" i="11"/>
  <c r="R12" i="11"/>
  <c r="R18" i="11"/>
  <c r="Y10" i="11"/>
  <c r="Y14" i="11"/>
  <c r="Y23" i="11"/>
  <c r="Y9" i="11"/>
  <c r="Y12" i="11"/>
  <c r="Y18" i="11"/>
  <c r="P10" i="11"/>
  <c r="P14" i="11"/>
  <c r="P23" i="11"/>
  <c r="P9" i="11"/>
  <c r="P12" i="11"/>
  <c r="P18" i="11"/>
  <c r="M10" i="11"/>
  <c r="M14" i="11"/>
  <c r="M23" i="11"/>
  <c r="M9" i="11"/>
  <c r="M12" i="11"/>
  <c r="M18" i="11"/>
  <c r="L10" i="11"/>
  <c r="L14" i="11"/>
  <c r="L23" i="11"/>
  <c r="L9" i="11"/>
  <c r="L12" i="11"/>
  <c r="L18" i="11"/>
  <c r="K10" i="11"/>
  <c r="K14" i="11"/>
  <c r="K23" i="11"/>
  <c r="K9" i="11"/>
  <c r="K12" i="11"/>
  <c r="K18" i="11"/>
  <c r="J10" i="11"/>
  <c r="J14" i="11"/>
  <c r="J23" i="11"/>
  <c r="J9" i="11"/>
  <c r="J12" i="11"/>
  <c r="J18" i="11"/>
  <c r="Q10" i="11"/>
  <c r="Q14" i="11"/>
  <c r="Q23" i="11"/>
  <c r="Q9" i="11"/>
  <c r="Q12" i="11"/>
  <c r="Q18" i="11"/>
  <c r="D191" i="24"/>
  <c r="C11" i="35"/>
  <c r="D190" i="24"/>
  <c r="C10" i="35"/>
  <c r="D189" i="24"/>
  <c r="C9" i="35"/>
  <c r="D188" i="24"/>
  <c r="C8" i="35"/>
  <c r="D372" i="24"/>
  <c r="G343" i="35"/>
  <c r="G342" i="35"/>
  <c r="G341" i="35"/>
  <c r="G340" i="35"/>
  <c r="G339" i="35"/>
  <c r="G338" i="35"/>
  <c r="G337" i="35"/>
  <c r="G336" i="35"/>
  <c r="G335" i="35"/>
  <c r="G333" i="35"/>
  <c r="G332" i="35"/>
  <c r="G334" i="35"/>
  <c r="D371" i="24"/>
  <c r="G331" i="35"/>
  <c r="G330" i="35"/>
  <c r="G329" i="35"/>
  <c r="G328" i="35"/>
  <c r="G327" i="35"/>
  <c r="G326" i="35"/>
  <c r="G325" i="35"/>
  <c r="G324" i="35"/>
  <c r="D370" i="24"/>
  <c r="G323" i="35"/>
  <c r="G322" i="35"/>
  <c r="G321" i="35"/>
  <c r="G320" i="35"/>
  <c r="G319" i="35"/>
  <c r="G318" i="35"/>
  <c r="G317" i="35"/>
  <c r="G316" i="35"/>
  <c r="D369" i="24"/>
  <c r="G315" i="35"/>
  <c r="G314" i="35"/>
  <c r="G313" i="35"/>
  <c r="G312" i="35"/>
  <c r="D368" i="24"/>
  <c r="G311" i="35"/>
  <c r="G310" i="35"/>
  <c r="D367" i="24"/>
  <c r="G309" i="35"/>
  <c r="D366" i="24"/>
  <c r="G308" i="35"/>
  <c r="H5" i="35"/>
  <c r="D187" i="24"/>
  <c r="H4" i="35"/>
  <c r="D7" i="35"/>
  <c r="D186" i="24"/>
  <c r="C7" i="35"/>
  <c r="D108" i="24"/>
  <c r="G151" i="35"/>
  <c r="D200" i="10"/>
  <c r="K200" i="10"/>
  <c r="D197" i="10"/>
  <c r="E197" i="10"/>
  <c r="K197" i="10"/>
  <c r="J197" i="10"/>
  <c r="G294" i="35"/>
  <c r="D195" i="10"/>
  <c r="G293" i="35"/>
  <c r="K195" i="10"/>
  <c r="D196" i="10"/>
  <c r="G292" i="35"/>
  <c r="K196" i="10"/>
  <c r="D194" i="10"/>
  <c r="E194" i="10"/>
  <c r="K194" i="10"/>
  <c r="G291" i="35"/>
  <c r="D191" i="10"/>
  <c r="E191" i="10"/>
  <c r="K191" i="10"/>
  <c r="D189" i="10"/>
  <c r="K189" i="10"/>
  <c r="G281" i="35"/>
  <c r="D187" i="10"/>
  <c r="K187" i="10"/>
  <c r="J187" i="10"/>
  <c r="D185" i="10"/>
  <c r="E185" i="10"/>
  <c r="K185" i="10"/>
  <c r="D190" i="10"/>
  <c r="K190" i="10"/>
  <c r="G278" i="35"/>
  <c r="D188" i="10"/>
  <c r="K188" i="10"/>
  <c r="J188" i="10"/>
  <c r="D186" i="10"/>
  <c r="E186" i="10"/>
  <c r="K186" i="10"/>
  <c r="D184" i="10"/>
  <c r="E184" i="10"/>
  <c r="K184" i="10"/>
  <c r="D181" i="10"/>
  <c r="K181" i="10"/>
  <c r="D179" i="10"/>
  <c r="K179" i="10"/>
  <c r="J179" i="10"/>
  <c r="G261" i="35"/>
  <c r="D177" i="10"/>
  <c r="E177" i="10"/>
  <c r="K177" i="10"/>
  <c r="D175" i="10"/>
  <c r="G259" i="35"/>
  <c r="K175" i="10"/>
  <c r="D173" i="10"/>
  <c r="G258" i="35"/>
  <c r="K173" i="10"/>
  <c r="J173" i="10"/>
  <c r="D171" i="10"/>
  <c r="E171" i="10"/>
  <c r="K171" i="10"/>
  <c r="G257" i="35"/>
  <c r="D169" i="10"/>
  <c r="G256" i="35"/>
  <c r="K169" i="10"/>
  <c r="D167" i="10"/>
  <c r="K167" i="10"/>
  <c r="D180" i="10"/>
  <c r="K180" i="10"/>
  <c r="J180" i="10"/>
  <c r="G254" i="35"/>
  <c r="D178" i="10"/>
  <c r="E178" i="10"/>
  <c r="K178" i="10"/>
  <c r="D176" i="10"/>
  <c r="K176" i="10"/>
  <c r="D174" i="10"/>
  <c r="E174" i="10"/>
  <c r="K174" i="10"/>
  <c r="J174" i="10"/>
  <c r="D172" i="10"/>
  <c r="K172" i="10"/>
  <c r="J172" i="10"/>
  <c r="D170" i="10"/>
  <c r="K170" i="10"/>
  <c r="D168" i="10"/>
  <c r="K168" i="10"/>
  <c r="J168" i="10"/>
  <c r="D166" i="10"/>
  <c r="K166" i="10"/>
  <c r="G247" i="35"/>
  <c r="D155" i="10"/>
  <c r="G230" i="35"/>
  <c r="D163" i="10"/>
  <c r="E163" i="10"/>
  <c r="D161" i="10"/>
  <c r="D159" i="10"/>
  <c r="G232" i="35"/>
  <c r="D157" i="10"/>
  <c r="D153" i="10"/>
  <c r="D151" i="10"/>
  <c r="E151" i="10"/>
  <c r="D149" i="10"/>
  <c r="E149" i="10"/>
  <c r="G227" i="35"/>
  <c r="D162" i="10"/>
  <c r="D160" i="10"/>
  <c r="D158" i="10"/>
  <c r="D156" i="10"/>
  <c r="G223" i="35"/>
  <c r="D154" i="10"/>
  <c r="G222" i="35"/>
  <c r="D152" i="10"/>
  <c r="D150" i="10"/>
  <c r="G220" i="35"/>
  <c r="G199" i="10"/>
  <c r="H199" i="10"/>
  <c r="D199" i="10"/>
  <c r="K199" i="10"/>
  <c r="G193" i="10"/>
  <c r="H193" i="10"/>
  <c r="D193" i="10"/>
  <c r="K193" i="10"/>
  <c r="G149" i="35"/>
  <c r="G148" i="35"/>
  <c r="G147" i="35"/>
  <c r="G146" i="35"/>
  <c r="G145" i="35"/>
  <c r="G144" i="35"/>
  <c r="G143" i="35"/>
  <c r="G142" i="35"/>
  <c r="G141" i="35"/>
  <c r="G140" i="35"/>
  <c r="G139" i="35"/>
  <c r="G138" i="35"/>
  <c r="G137" i="35"/>
  <c r="G136" i="35"/>
  <c r="G135" i="35"/>
  <c r="G134" i="35"/>
  <c r="G133" i="35"/>
  <c r="G132" i="35"/>
  <c r="G131" i="35"/>
  <c r="G130" i="35"/>
  <c r="G129" i="35"/>
  <c r="G128" i="35"/>
  <c r="G127" i="35"/>
  <c r="G126" i="35"/>
  <c r="G125" i="35"/>
  <c r="G124" i="35"/>
  <c r="G123" i="35"/>
  <c r="G122" i="35"/>
  <c r="G121" i="35"/>
  <c r="G120" i="35"/>
  <c r="G119" i="35"/>
  <c r="G118" i="35"/>
  <c r="G117" i="35"/>
  <c r="G116" i="35"/>
  <c r="G115" i="35"/>
  <c r="G114" i="35"/>
  <c r="G113" i="35"/>
  <c r="G112" i="35"/>
  <c r="G111" i="35"/>
  <c r="G110" i="35"/>
  <c r="G109" i="35"/>
  <c r="G108" i="35"/>
  <c r="G107" i="35"/>
  <c r="G106" i="35"/>
  <c r="G105" i="35"/>
  <c r="G104" i="35"/>
  <c r="G103" i="35"/>
  <c r="G102" i="35"/>
  <c r="G101" i="35"/>
  <c r="G100" i="35"/>
  <c r="G99" i="35"/>
  <c r="G98" i="35"/>
  <c r="G97" i="35"/>
  <c r="G96" i="35"/>
  <c r="G95" i="35"/>
  <c r="G94" i="35"/>
  <c r="G93" i="35"/>
  <c r="G92" i="35"/>
  <c r="G91" i="35"/>
  <c r="G90" i="35"/>
  <c r="G89" i="35"/>
  <c r="G88" i="35"/>
  <c r="G87" i="35"/>
  <c r="G86" i="35"/>
  <c r="G85" i="35"/>
  <c r="G84" i="35"/>
  <c r="G83" i="35"/>
  <c r="G82" i="35"/>
  <c r="G81" i="35"/>
  <c r="G80" i="35"/>
  <c r="G79" i="35"/>
  <c r="G78" i="35"/>
  <c r="G77" i="35"/>
  <c r="G76" i="35"/>
  <c r="G75" i="35"/>
  <c r="G74" i="35"/>
  <c r="G73" i="35"/>
  <c r="G72" i="35"/>
  <c r="G71" i="35"/>
  <c r="G70" i="35"/>
  <c r="G69" i="35"/>
  <c r="G68" i="35"/>
  <c r="G67" i="35"/>
  <c r="G66" i="35"/>
  <c r="G65" i="35"/>
  <c r="G64" i="35"/>
  <c r="G63" i="35"/>
  <c r="G62" i="35"/>
  <c r="G61" i="35"/>
  <c r="G60" i="35"/>
  <c r="G59" i="35"/>
  <c r="G58" i="35"/>
  <c r="G57" i="35"/>
  <c r="G56" i="35"/>
  <c r="G55" i="35"/>
  <c r="G54" i="35"/>
  <c r="G53" i="35"/>
  <c r="G52" i="35"/>
  <c r="G51" i="35"/>
  <c r="G50" i="35"/>
  <c r="G49" i="35"/>
  <c r="G48" i="35"/>
  <c r="G47" i="35"/>
  <c r="G46" i="35"/>
  <c r="G45" i="35"/>
  <c r="G44" i="35"/>
  <c r="G43" i="35"/>
  <c r="G42" i="35"/>
  <c r="G41" i="35"/>
  <c r="G40" i="35"/>
  <c r="G39" i="35"/>
  <c r="G38" i="35"/>
  <c r="G37" i="35"/>
  <c r="G36" i="35"/>
  <c r="G35" i="35"/>
  <c r="G34" i="35"/>
  <c r="G33" i="35"/>
  <c r="G32" i="35"/>
  <c r="G31" i="35"/>
  <c r="G30" i="35"/>
  <c r="G29" i="35"/>
  <c r="G28" i="35"/>
  <c r="G27" i="35"/>
  <c r="G26" i="35"/>
  <c r="G25" i="35"/>
  <c r="G24" i="35"/>
  <c r="G23" i="35"/>
  <c r="G22" i="35"/>
  <c r="G21" i="35"/>
  <c r="G20" i="35"/>
  <c r="G19" i="35"/>
  <c r="G18" i="35"/>
  <c r="G17" i="35"/>
  <c r="G16" i="35"/>
  <c r="G15" i="35"/>
  <c r="G14" i="35"/>
  <c r="G13" i="35"/>
  <c r="G12" i="35"/>
  <c r="G11" i="35"/>
  <c r="G10" i="35"/>
  <c r="G9" i="35"/>
  <c r="G8" i="35"/>
  <c r="G7" i="35"/>
  <c r="G6" i="35"/>
  <c r="D106" i="24"/>
  <c r="F132" i="35"/>
  <c r="D104" i="24"/>
  <c r="F96" i="35"/>
  <c r="D105" i="24"/>
  <c r="F114" i="35"/>
  <c r="D103" i="24"/>
  <c r="F78" i="35"/>
  <c r="D102" i="24"/>
  <c r="F60" i="35"/>
  <c r="D101" i="24"/>
  <c r="F42" i="35"/>
  <c r="D100" i="24"/>
  <c r="F24" i="35"/>
  <c r="D99" i="24"/>
  <c r="F6" i="35"/>
  <c r="D97" i="24"/>
  <c r="D96" i="24"/>
  <c r="D95" i="24"/>
  <c r="D94" i="24"/>
  <c r="D93" i="24"/>
  <c r="D77" i="24"/>
  <c r="D74" i="24"/>
  <c r="D90" i="24"/>
  <c r="D89" i="24"/>
  <c r="D88" i="24"/>
  <c r="D87" i="24"/>
  <c r="D86" i="24"/>
  <c r="D85" i="24"/>
  <c r="D84" i="24"/>
  <c r="D83" i="24"/>
  <c r="D82" i="24"/>
  <c r="D80" i="24"/>
  <c r="D70" i="24"/>
  <c r="B15" i="9"/>
  <c r="D69" i="24"/>
  <c r="B14" i="9"/>
  <c r="D68" i="24"/>
  <c r="B3" i="9"/>
  <c r="D71" i="24"/>
  <c r="B2" i="9"/>
  <c r="D380" i="24"/>
  <c r="D379" i="24"/>
  <c r="D378" i="24"/>
  <c r="D377" i="24"/>
  <c r="D376" i="24"/>
  <c r="D27" i="24"/>
  <c r="D202" i="10"/>
  <c r="D375" i="24"/>
  <c r="D374" i="24"/>
  <c r="D52" i="24"/>
  <c r="A200" i="25"/>
  <c r="A197" i="25"/>
  <c r="D120" i="24"/>
  <c r="AA3" i="25"/>
  <c r="D121" i="24"/>
  <c r="AA4" i="25"/>
  <c r="D122" i="24"/>
  <c r="AA5" i="25"/>
  <c r="D123" i="24"/>
  <c r="AA6" i="25"/>
  <c r="D124" i="24"/>
  <c r="AA7" i="25"/>
  <c r="D125" i="24"/>
  <c r="AA8" i="25"/>
  <c r="D126" i="24"/>
  <c r="AA9" i="25"/>
  <c r="D127" i="24"/>
  <c r="AA10" i="25"/>
  <c r="D128" i="24"/>
  <c r="AA11" i="25"/>
  <c r="D129" i="24"/>
  <c r="AA12" i="25"/>
  <c r="D130" i="24"/>
  <c r="AA13" i="25"/>
  <c r="D131" i="24"/>
  <c r="AA14" i="25"/>
  <c r="D132" i="24"/>
  <c r="AA15" i="25"/>
  <c r="D133" i="24"/>
  <c r="AA16" i="25"/>
  <c r="D134" i="24"/>
  <c r="AA17" i="25"/>
  <c r="D135" i="24"/>
  <c r="AA18" i="25"/>
  <c r="D136" i="24"/>
  <c r="AA19" i="25"/>
  <c r="D137" i="24"/>
  <c r="AA20" i="25"/>
  <c r="D138" i="24"/>
  <c r="AA21" i="25"/>
  <c r="D139" i="24"/>
  <c r="AA22" i="25"/>
  <c r="D140" i="24"/>
  <c r="AA23" i="25"/>
  <c r="D141" i="24"/>
  <c r="AA24" i="25"/>
  <c r="D142" i="24"/>
  <c r="AA25" i="25"/>
  <c r="D143" i="24"/>
  <c r="AA26" i="25"/>
  <c r="D144" i="24"/>
  <c r="AA27" i="25"/>
  <c r="D145" i="24"/>
  <c r="AA28" i="25"/>
  <c r="D146" i="24"/>
  <c r="AA29" i="25"/>
  <c r="D147" i="24"/>
  <c r="AA30" i="25"/>
  <c r="D148" i="24"/>
  <c r="AA31" i="25"/>
  <c r="D149" i="24"/>
  <c r="AA32" i="25"/>
  <c r="D150" i="24"/>
  <c r="AA33" i="25"/>
  <c r="D151" i="24"/>
  <c r="AA34" i="25"/>
  <c r="D152" i="24"/>
  <c r="AA35" i="25"/>
  <c r="D153" i="24"/>
  <c r="AA36" i="25"/>
  <c r="D154" i="24"/>
  <c r="AA37" i="25"/>
  <c r="D155" i="24"/>
  <c r="AA38" i="25"/>
  <c r="D156" i="24"/>
  <c r="AA39" i="25"/>
  <c r="D157" i="24"/>
  <c r="AA40" i="25"/>
  <c r="D158" i="24"/>
  <c r="AA41" i="25"/>
  <c r="D159" i="24"/>
  <c r="AA42" i="25"/>
  <c r="D160" i="24"/>
  <c r="AA43" i="25"/>
  <c r="D161" i="24"/>
  <c r="AA44" i="25"/>
  <c r="D162" i="24"/>
  <c r="AA45" i="25"/>
  <c r="D163" i="24"/>
  <c r="AA46" i="25"/>
  <c r="D164" i="24"/>
  <c r="AA47" i="25"/>
  <c r="D165" i="24"/>
  <c r="AA48" i="25"/>
  <c r="D166" i="24"/>
  <c r="AA49" i="25"/>
  <c r="D167" i="24"/>
  <c r="AA50" i="25"/>
  <c r="D168" i="24"/>
  <c r="AA51" i="25"/>
  <c r="D169" i="24"/>
  <c r="AA52" i="25"/>
  <c r="D170" i="24"/>
  <c r="AA53" i="25"/>
  <c r="D171" i="24"/>
  <c r="AA54" i="25"/>
  <c r="D172" i="24"/>
  <c r="AA55" i="25"/>
  <c r="D173" i="24"/>
  <c r="AA56" i="25"/>
  <c r="D174" i="24"/>
  <c r="AA57" i="25"/>
  <c r="AI3" i="25"/>
  <c r="Q3" i="25"/>
  <c r="AI4" i="25"/>
  <c r="AI5" i="25"/>
  <c r="Q4" i="25"/>
  <c r="AI6" i="25"/>
  <c r="Q5" i="25"/>
  <c r="AI7" i="25"/>
  <c r="Q6" i="25"/>
  <c r="AI8" i="25"/>
  <c r="Q7" i="25"/>
  <c r="AI9" i="25"/>
  <c r="AI10" i="25"/>
  <c r="Q8" i="25"/>
  <c r="Q9" i="25"/>
  <c r="AI11" i="25"/>
  <c r="Q10" i="25"/>
  <c r="AI12" i="25"/>
  <c r="Q11" i="25"/>
  <c r="AI13" i="25"/>
  <c r="AI14" i="25"/>
  <c r="Q12" i="25"/>
  <c r="Q13" i="25"/>
  <c r="AI15" i="25"/>
  <c r="AI16" i="25"/>
  <c r="AI17" i="25"/>
  <c r="AI18" i="25"/>
  <c r="AI19" i="25"/>
  <c r="AI20" i="25"/>
  <c r="AI21" i="25"/>
  <c r="AI22" i="25"/>
  <c r="AI23" i="25"/>
  <c r="AI24" i="25"/>
  <c r="AI25" i="25"/>
  <c r="AI26" i="25"/>
  <c r="AI27" i="25"/>
  <c r="AI28" i="25"/>
  <c r="AI29" i="25"/>
  <c r="AI30" i="25"/>
  <c r="AI31" i="25"/>
  <c r="AI32" i="25"/>
  <c r="AI33" i="25"/>
  <c r="AI34" i="25"/>
  <c r="AI35" i="25"/>
  <c r="AI36" i="25"/>
  <c r="AI37" i="25"/>
  <c r="AI38" i="25"/>
  <c r="AI39" i="25"/>
  <c r="AI40" i="25"/>
  <c r="AI41" i="25"/>
  <c r="AI42" i="25"/>
  <c r="AI43" i="25"/>
  <c r="AI44" i="25"/>
  <c r="AI45" i="25"/>
  <c r="AI46" i="25"/>
  <c r="AI47" i="25"/>
  <c r="AI48" i="25"/>
  <c r="AI49" i="25"/>
  <c r="AI50" i="25"/>
  <c r="AI51" i="25"/>
  <c r="AI52" i="25"/>
  <c r="AI53" i="25"/>
  <c r="AI54" i="25"/>
  <c r="AI55" i="25"/>
  <c r="AI56" i="25"/>
  <c r="AI57" i="25"/>
  <c r="Q14" i="25"/>
  <c r="Q15" i="25"/>
  <c r="Q16" i="25"/>
  <c r="Q17" i="25"/>
  <c r="Q18" i="25"/>
  <c r="Q19" i="25"/>
  <c r="Q20" i="25"/>
  <c r="Q21" i="25"/>
  <c r="Q22" i="25"/>
  <c r="Q23" i="25"/>
  <c r="Q24" i="25"/>
  <c r="Q25" i="25"/>
  <c r="Q26" i="25"/>
  <c r="Q27" i="25"/>
  <c r="Q28" i="25"/>
  <c r="Q29" i="25"/>
  <c r="Q30" i="25"/>
  <c r="Q31" i="25"/>
  <c r="Q32" i="25"/>
  <c r="Q33" i="25"/>
  <c r="Q34" i="25"/>
  <c r="Q35" i="25"/>
  <c r="Q36" i="25"/>
  <c r="Q37" i="25"/>
  <c r="Q38" i="25"/>
  <c r="Q39" i="25"/>
  <c r="Q40" i="25"/>
  <c r="Q41" i="25"/>
  <c r="Q42" i="25"/>
  <c r="Q43" i="25"/>
  <c r="Q44" i="25"/>
  <c r="Q45" i="25"/>
  <c r="Q46" i="25"/>
  <c r="Q47" i="25"/>
  <c r="Q48" i="25"/>
  <c r="Q49" i="25"/>
  <c r="Q50" i="25"/>
  <c r="Q51" i="25"/>
  <c r="Q52" i="25"/>
  <c r="Q53" i="25"/>
  <c r="Q54" i="25"/>
  <c r="Q55" i="25"/>
  <c r="Q56" i="25"/>
  <c r="Q57" i="25"/>
  <c r="C1" i="25"/>
  <c r="D180" i="24"/>
  <c r="L2" i="25"/>
  <c r="R4" i="25"/>
  <c r="R22" i="25"/>
  <c r="M2" i="25"/>
  <c r="AE19" i="25"/>
  <c r="AF19" i="25"/>
  <c r="AE21" i="25"/>
  <c r="AF21" i="25"/>
  <c r="V19" i="25"/>
  <c r="AG19" i="25"/>
  <c r="AG21" i="25"/>
  <c r="W19" i="25"/>
  <c r="AE3" i="25"/>
  <c r="AF3" i="25"/>
  <c r="V3" i="25"/>
  <c r="AG3" i="25"/>
  <c r="W3" i="25"/>
  <c r="C197" i="25" a="1"/>
  <c r="C197" i="25"/>
  <c r="A196" i="25"/>
  <c r="C196" i="25" a="1"/>
  <c r="C196" i="25"/>
  <c r="A195" i="25"/>
  <c r="C195" i="25" a="1"/>
  <c r="C195" i="25"/>
  <c r="A194" i="25"/>
  <c r="A191" i="25"/>
  <c r="A190" i="25"/>
  <c r="C190" i="25" a="1"/>
  <c r="C190" i="25"/>
  <c r="A189" i="25"/>
  <c r="C189" i="25" a="1"/>
  <c r="C189" i="25"/>
  <c r="A188" i="25"/>
  <c r="A187" i="25"/>
  <c r="A186" i="25"/>
  <c r="C186" i="25" a="1"/>
  <c r="C186" i="25"/>
  <c r="C186" i="10"/>
  <c r="A185" i="25"/>
  <c r="C185" i="25" a="1"/>
  <c r="C185" i="25"/>
  <c r="A184" i="25"/>
  <c r="C184" i="25" a="1"/>
  <c r="C184" i="25"/>
  <c r="C184" i="10"/>
  <c r="A181" i="25"/>
  <c r="A180" i="25"/>
  <c r="C180" i="25" a="1"/>
  <c r="C180" i="25"/>
  <c r="A179" i="25"/>
  <c r="A178" i="25"/>
  <c r="A177" i="25"/>
  <c r="C177" i="25" a="1"/>
  <c r="C177" i="25"/>
  <c r="A176" i="25"/>
  <c r="C176" i="25" a="1"/>
  <c r="C176" i="25"/>
  <c r="C176" i="10"/>
  <c r="A175" i="25"/>
  <c r="C175" i="25" a="1"/>
  <c r="C175" i="25"/>
  <c r="A174" i="25"/>
  <c r="C174" i="25" a="1"/>
  <c r="C174" i="25"/>
  <c r="A173" i="25"/>
  <c r="A172" i="25"/>
  <c r="C172" i="25" a="1"/>
  <c r="C172" i="25"/>
  <c r="A171" i="25"/>
  <c r="A170" i="25"/>
  <c r="C170" i="25" a="1"/>
  <c r="C170" i="25"/>
  <c r="A169" i="25"/>
  <c r="C169" i="25" a="1"/>
  <c r="C169" i="25"/>
  <c r="C169" i="10"/>
  <c r="A168" i="25"/>
  <c r="C168" i="25" a="1"/>
  <c r="C168" i="25"/>
  <c r="C168" i="10"/>
  <c r="A167" i="25"/>
  <c r="C167" i="25" a="1"/>
  <c r="C167" i="25"/>
  <c r="A166" i="25"/>
  <c r="C166" i="25" a="1"/>
  <c r="C166" i="25"/>
  <c r="A163" i="25"/>
  <c r="A162" i="25"/>
  <c r="C162" i="25" a="1"/>
  <c r="C162" i="25"/>
  <c r="A161" i="25"/>
  <c r="C161" i="25" a="1"/>
  <c r="C161" i="25"/>
  <c r="A160" i="25"/>
  <c r="A159" i="25"/>
  <c r="A158" i="25"/>
  <c r="A157" i="25"/>
  <c r="C157" i="25" a="1"/>
  <c r="C157" i="25"/>
  <c r="A156" i="25"/>
  <c r="C156" i="25" a="1"/>
  <c r="C156" i="25"/>
  <c r="A155" i="25"/>
  <c r="C155" i="25" a="1"/>
  <c r="C155" i="25"/>
  <c r="C155" i="10"/>
  <c r="A154" i="25"/>
  <c r="C154" i="25" a="1"/>
  <c r="C154" i="25"/>
  <c r="A153" i="25"/>
  <c r="A152" i="25"/>
  <c r="A151" i="25"/>
  <c r="A150" i="25"/>
  <c r="C150" i="25" a="1"/>
  <c r="C150" i="25"/>
  <c r="C150" i="10"/>
  <c r="A149" i="25"/>
  <c r="C149" i="25" a="1"/>
  <c r="C149" i="25"/>
  <c r="A148" i="25"/>
  <c r="C148" i="25" a="1"/>
  <c r="C148" i="25"/>
  <c r="C200" i="25" a="1"/>
  <c r="C200" i="25"/>
  <c r="B200" i="10"/>
  <c r="C194" i="25" a="1"/>
  <c r="C194" i="25"/>
  <c r="B194" i="10"/>
  <c r="C191" i="25" a="1"/>
  <c r="C191" i="25"/>
  <c r="C188" i="25" a="1"/>
  <c r="C188" i="25"/>
  <c r="B188" i="10"/>
  <c r="C188" i="10"/>
  <c r="C187" i="25" a="1"/>
  <c r="C187" i="25"/>
  <c r="C187" i="10"/>
  <c r="C181" i="25" a="1"/>
  <c r="C181" i="25"/>
  <c r="C181" i="10"/>
  <c r="C179" i="25" a="1"/>
  <c r="C179" i="25"/>
  <c r="B179" i="10"/>
  <c r="C178" i="25" a="1"/>
  <c r="C178" i="25"/>
  <c r="C173" i="25" a="1"/>
  <c r="C173" i="25"/>
  <c r="C173" i="10"/>
  <c r="C171" i="25" a="1"/>
  <c r="C171" i="25"/>
  <c r="C171" i="10"/>
  <c r="C163" i="25" a="1"/>
  <c r="C163" i="25"/>
  <c r="C163" i="10"/>
  <c r="C160" i="25" a="1"/>
  <c r="C160" i="25"/>
  <c r="B160" i="10"/>
  <c r="C159" i="25" a="1"/>
  <c r="C159" i="25"/>
  <c r="C159" i="10"/>
  <c r="B159" i="10"/>
  <c r="C158" i="25" a="1"/>
  <c r="C158" i="25"/>
  <c r="C158" i="10"/>
  <c r="C153" i="25" a="1"/>
  <c r="C153" i="25"/>
  <c r="C153" i="10"/>
  <c r="C152" i="25" a="1"/>
  <c r="C152" i="25"/>
  <c r="B152" i="10"/>
  <c r="C152" i="10"/>
  <c r="C151" i="25" a="1"/>
  <c r="C151" i="25"/>
  <c r="C151" i="10"/>
  <c r="CM2" i="11"/>
  <c r="K33" i="27"/>
  <c r="K29" i="27"/>
  <c r="K25" i="27"/>
  <c r="K21" i="27"/>
  <c r="K17" i="27"/>
  <c r="K13" i="27"/>
  <c r="K9" i="27"/>
  <c r="K5" i="27"/>
  <c r="E202" i="10"/>
  <c r="J200" i="10"/>
  <c r="E200" i="10"/>
  <c r="E196" i="10"/>
  <c r="J196" i="10"/>
  <c r="J195" i="10"/>
  <c r="J194" i="10"/>
  <c r="J191" i="10"/>
  <c r="J190" i="10"/>
  <c r="J189" i="10"/>
  <c r="J185" i="10"/>
  <c r="J184" i="10"/>
  <c r="E190" i="10"/>
  <c r="E189" i="10"/>
  <c r="E188" i="10"/>
  <c r="AK19" i="27"/>
  <c r="AG19" i="27"/>
  <c r="AG20" i="27"/>
  <c r="AF20" i="27"/>
  <c r="AF19" i="27"/>
  <c r="Z28" i="27"/>
  <c r="Z27" i="27"/>
  <c r="Z12" i="27"/>
  <c r="Z11" i="27"/>
  <c r="Y28" i="27"/>
  <c r="Y27" i="27"/>
  <c r="Y12" i="27"/>
  <c r="Y11" i="27"/>
  <c r="S32" i="27"/>
  <c r="S31" i="27"/>
  <c r="S24" i="27"/>
  <c r="S23" i="27"/>
  <c r="S16" i="27"/>
  <c r="S15" i="27"/>
  <c r="R32" i="27"/>
  <c r="R31" i="27"/>
  <c r="R24" i="27"/>
  <c r="R23" i="27"/>
  <c r="R16" i="27"/>
  <c r="R15" i="27"/>
  <c r="R8" i="27"/>
  <c r="L5" i="27"/>
  <c r="L33" i="27"/>
  <c r="L29" i="27"/>
  <c r="L9" i="27"/>
  <c r="L25" i="27"/>
  <c r="L21" i="27"/>
  <c r="L17" i="27"/>
  <c r="L13" i="27"/>
  <c r="AC27" i="27"/>
  <c r="AC28" i="27"/>
  <c r="AC12" i="27"/>
  <c r="AC11" i="27"/>
  <c r="V23" i="27"/>
  <c r="V24" i="27"/>
  <c r="V31" i="27"/>
  <c r="V32" i="27"/>
  <c r="V15" i="27"/>
  <c r="V16" i="27"/>
  <c r="V8" i="27"/>
  <c r="V7" i="27"/>
  <c r="O9" i="27"/>
  <c r="O10" i="27"/>
  <c r="O13" i="27"/>
  <c r="O14" i="27"/>
  <c r="O17" i="27"/>
  <c r="O18" i="27"/>
  <c r="O21" i="27"/>
  <c r="O22" i="27"/>
  <c r="O25" i="27"/>
  <c r="O26" i="27"/>
  <c r="O29" i="27"/>
  <c r="O30" i="27"/>
  <c r="O33" i="27"/>
  <c r="O34" i="27"/>
  <c r="O5" i="27"/>
  <c r="O6" i="27"/>
  <c r="H5" i="27"/>
  <c r="H8" i="27"/>
  <c r="H9" i="27"/>
  <c r="H12" i="27"/>
  <c r="H13" i="27"/>
  <c r="H16" i="27"/>
  <c r="H17" i="27"/>
  <c r="H20" i="27"/>
  <c r="H21" i="27"/>
  <c r="H24" i="27"/>
  <c r="H25" i="27"/>
  <c r="H28" i="27"/>
  <c r="H29" i="27"/>
  <c r="H32" i="27"/>
  <c r="H33" i="27"/>
  <c r="H4" i="27"/>
  <c r="D49" i="24"/>
  <c r="D31" i="24"/>
  <c r="A147" i="10"/>
  <c r="D32" i="24"/>
  <c r="A165" i="10"/>
  <c r="D35" i="24"/>
  <c r="D64" i="24"/>
  <c r="AS1" i="10"/>
  <c r="D37" i="24"/>
  <c r="J199" i="10"/>
  <c r="I199" i="10"/>
  <c r="F199" i="10"/>
  <c r="E199" i="10"/>
  <c r="J193" i="10"/>
  <c r="I193" i="10"/>
  <c r="F193" i="10"/>
  <c r="E193" i="10"/>
  <c r="J183" i="10"/>
  <c r="I183" i="10"/>
  <c r="F183" i="10"/>
  <c r="E183" i="10"/>
  <c r="J165" i="10"/>
  <c r="I165" i="10"/>
  <c r="F165" i="10"/>
  <c r="E165" i="10"/>
  <c r="E166" i="10"/>
  <c r="E168" i="10"/>
  <c r="E170" i="10"/>
  <c r="E176" i="10"/>
  <c r="E180" i="10"/>
  <c r="E147" i="10"/>
  <c r="F147" i="10"/>
  <c r="I147" i="10"/>
  <c r="J147" i="10"/>
  <c r="AK4" i="25"/>
  <c r="AK5" i="25"/>
  <c r="AK6" i="25"/>
  <c r="AK7" i="25"/>
  <c r="AK8" i="25"/>
  <c r="AK9" i="25"/>
  <c r="AK10" i="25"/>
  <c r="AK11" i="25"/>
  <c r="AK12" i="25"/>
  <c r="AK13" i="25"/>
  <c r="AK14" i="25"/>
  <c r="AK15" i="25"/>
  <c r="AK16" i="25"/>
  <c r="AK17" i="25"/>
  <c r="AK18" i="25"/>
  <c r="AK19" i="25"/>
  <c r="AK20" i="25"/>
  <c r="AK21" i="25"/>
  <c r="AK22" i="25"/>
  <c r="AK23" i="25"/>
  <c r="AK24" i="25"/>
  <c r="AK25" i="25"/>
  <c r="AK26" i="25"/>
  <c r="AK27" i="25"/>
  <c r="AK28" i="25"/>
  <c r="AK29" i="25"/>
  <c r="AK30" i="25"/>
  <c r="AK31" i="25"/>
  <c r="AK32" i="25"/>
  <c r="AK33" i="25"/>
  <c r="AK34" i="25"/>
  <c r="AK35" i="25"/>
  <c r="AK36" i="25"/>
  <c r="AK37" i="25"/>
  <c r="AK38" i="25"/>
  <c r="AK39" i="25"/>
  <c r="AK40" i="25"/>
  <c r="AK41" i="25"/>
  <c r="AK42" i="25"/>
  <c r="AK43" i="25"/>
  <c r="AK44" i="25"/>
  <c r="AK45" i="25"/>
  <c r="AK46" i="25"/>
  <c r="AK47" i="25"/>
  <c r="AK48" i="25"/>
  <c r="AK49" i="25"/>
  <c r="AK50" i="25"/>
  <c r="AK51" i="25"/>
  <c r="AK52" i="25"/>
  <c r="AK53" i="25"/>
  <c r="AK54" i="25"/>
  <c r="AK55" i="25"/>
  <c r="AK56" i="25"/>
  <c r="AK57" i="25"/>
  <c r="AK3" i="25"/>
  <c r="J5" i="10"/>
  <c r="J3" i="10"/>
  <c r="J4" i="10"/>
  <c r="J6" i="10"/>
  <c r="J7" i="10"/>
  <c r="J9" i="10"/>
  <c r="J10" i="10"/>
  <c r="J11" i="10"/>
  <c r="J12" i="10"/>
  <c r="J15" i="10"/>
  <c r="J17" i="10"/>
  <c r="J18" i="10"/>
  <c r="J19" i="10"/>
  <c r="J21" i="10"/>
  <c r="J22" i="10"/>
  <c r="E5" i="10"/>
  <c r="E6" i="10"/>
  <c r="E7" i="10"/>
  <c r="E8" i="10"/>
  <c r="E9" i="10"/>
  <c r="J28" i="10"/>
  <c r="J29" i="10"/>
  <c r="J30" i="10"/>
  <c r="E13" i="10"/>
  <c r="E14" i="10"/>
  <c r="E15" i="10"/>
  <c r="E16" i="10"/>
  <c r="E17" i="10"/>
  <c r="J36" i="10"/>
  <c r="J37" i="10"/>
  <c r="J20" i="10"/>
  <c r="E2" i="10"/>
  <c r="J13" i="10"/>
  <c r="E29" i="10"/>
  <c r="J32" i="10"/>
  <c r="E21" i="10"/>
  <c r="J24" i="10"/>
  <c r="J49" i="10"/>
  <c r="E33" i="10"/>
  <c r="E25" i="10"/>
  <c r="E37" i="10"/>
  <c r="E12" i="10"/>
  <c r="E4" i="10"/>
  <c r="J16" i="10"/>
  <c r="J8" i="10"/>
  <c r="E19" i="10"/>
  <c r="E11" i="10"/>
  <c r="E3" i="10"/>
  <c r="E18" i="10"/>
  <c r="E10" i="10"/>
  <c r="J2" i="10"/>
  <c r="E41" i="10"/>
  <c r="E35" i="10"/>
  <c r="E27" i="10"/>
  <c r="E34" i="10"/>
  <c r="E26" i="10"/>
  <c r="J46" i="10"/>
  <c r="J38" i="10"/>
  <c r="J54" i="10"/>
  <c r="E49" i="10"/>
  <c r="J41" i="10"/>
  <c r="E30" i="10"/>
  <c r="E22" i="10"/>
  <c r="B3" i="24"/>
  <c r="J50" i="10"/>
  <c r="E20" i="10"/>
  <c r="E70" i="10"/>
  <c r="J23" i="10"/>
  <c r="J60" i="10"/>
  <c r="J53" i="10"/>
  <c r="J31" i="10"/>
  <c r="E42" i="10"/>
  <c r="J43" i="10"/>
  <c r="E23" i="10"/>
  <c r="E24" i="10"/>
  <c r="J25" i="10"/>
  <c r="E31" i="10"/>
  <c r="E32" i="10"/>
  <c r="J33" i="10"/>
  <c r="E28" i="10"/>
  <c r="E36" i="10"/>
  <c r="J26" i="10"/>
  <c r="J27" i="10"/>
  <c r="J34" i="10"/>
  <c r="J35" i="10"/>
  <c r="D321" i="24"/>
  <c r="D322" i="24"/>
  <c r="E39" i="10"/>
  <c r="E73" i="10"/>
  <c r="J51" i="10"/>
  <c r="E55" i="10"/>
  <c r="J42" i="10"/>
  <c r="J45" i="10"/>
  <c r="J59" i="10"/>
  <c r="E40" i="10"/>
  <c r="E58" i="10"/>
  <c r="J67" i="10"/>
  <c r="E78" i="10"/>
  <c r="E63" i="10"/>
  <c r="E54" i="10"/>
  <c r="E71" i="10"/>
  <c r="E47" i="10"/>
  <c r="E46" i="10"/>
  <c r="E48" i="10"/>
  <c r="E38" i="10"/>
  <c r="J87" i="10"/>
  <c r="D177" i="24"/>
  <c r="D48" i="24"/>
  <c r="D111" i="24"/>
  <c r="D9" i="24"/>
  <c r="D40" i="24"/>
  <c r="D98" i="24"/>
  <c r="D22" i="24"/>
  <c r="A1" i="10"/>
  <c r="D216" i="24"/>
  <c r="D319" i="24"/>
  <c r="D231" i="24"/>
  <c r="D253" i="24"/>
  <c r="D261" i="24"/>
  <c r="D314" i="24"/>
  <c r="D258" i="24"/>
  <c r="D282" i="24"/>
  <c r="D217" i="24"/>
  <c r="D259" i="24"/>
  <c r="D275" i="24"/>
  <c r="D36" i="24"/>
  <c r="D316" i="24"/>
  <c r="D41" i="24"/>
  <c r="D76" i="24"/>
  <c r="D229" i="24"/>
  <c r="D283" i="24"/>
  <c r="D42" i="24"/>
  <c r="D113" i="24"/>
  <c r="D252" i="24"/>
  <c r="D284" i="24"/>
  <c r="D115" i="24"/>
  <c r="D185" i="24"/>
  <c r="D262" i="24"/>
  <c r="D19" i="24"/>
  <c r="D29" i="24"/>
  <c r="D45" i="24"/>
  <c r="D116" i="24"/>
  <c r="D224" i="24"/>
  <c r="D263" i="24"/>
  <c r="D317" i="24"/>
  <c r="D28" i="24"/>
  <c r="D254" i="24"/>
  <c r="D20" i="24"/>
  <c r="B1" i="10"/>
  <c r="D30" i="24"/>
  <c r="D38" i="24"/>
  <c r="D46" i="24"/>
  <c r="D109" i="24"/>
  <c r="D117" i="24"/>
  <c r="D175" i="24"/>
  <c r="D195" i="24"/>
  <c r="D226" i="24"/>
  <c r="D256" i="24"/>
  <c r="D280" i="24"/>
  <c r="D236" i="24"/>
  <c r="D178" i="24"/>
  <c r="D11" i="24"/>
  <c r="D260" i="24"/>
  <c r="D313" i="24"/>
  <c r="D12" i="24"/>
  <c r="D78" i="24"/>
  <c r="D44" i="24"/>
  <c r="D232" i="24"/>
  <c r="D39" i="24"/>
  <c r="D47" i="24"/>
  <c r="AD19" i="25"/>
  <c r="D176" i="24"/>
  <c r="D215" i="24"/>
  <c r="D227" i="24"/>
  <c r="D235" i="24"/>
  <c r="D257" i="24"/>
  <c r="D281" i="24"/>
  <c r="E66" i="10"/>
  <c r="J55" i="10"/>
  <c r="E60" i="10"/>
  <c r="E50" i="10"/>
  <c r="E53" i="10"/>
  <c r="J47" i="10"/>
  <c r="J52" i="10"/>
  <c r="E52" i="10"/>
  <c r="E43" i="10"/>
  <c r="J44" i="10"/>
  <c r="E51" i="10"/>
  <c r="J40" i="10"/>
  <c r="J48" i="10"/>
  <c r="J39" i="10"/>
  <c r="J58" i="10"/>
  <c r="J64" i="10"/>
  <c r="J72" i="10"/>
  <c r="J75" i="10"/>
  <c r="J90" i="10"/>
  <c r="J65" i="10"/>
  <c r="J80" i="10"/>
  <c r="E59" i="10"/>
  <c r="J73" i="10"/>
  <c r="J96" i="10"/>
  <c r="E62" i="10"/>
  <c r="J66" i="10"/>
  <c r="J88" i="10"/>
  <c r="E77" i="10"/>
  <c r="E68" i="10"/>
  <c r="E67" i="10"/>
  <c r="J83" i="10"/>
  <c r="E85" i="10"/>
  <c r="E72" i="10"/>
  <c r="J57" i="10"/>
  <c r="E104" i="10"/>
  <c r="J56" i="10"/>
  <c r="J68" i="10"/>
  <c r="E56" i="10"/>
  <c r="J70" i="10"/>
  <c r="J69" i="10"/>
  <c r="E65" i="10"/>
  <c r="E69" i="10"/>
  <c r="E61" i="10"/>
  <c r="E64" i="10"/>
  <c r="E57" i="10"/>
  <c r="J61" i="10"/>
  <c r="J71" i="10"/>
  <c r="E97" i="10"/>
  <c r="E92" i="10"/>
  <c r="J77" i="10"/>
  <c r="E90" i="10"/>
  <c r="J76" i="10"/>
  <c r="E82" i="10"/>
  <c r="E91" i="10"/>
  <c r="J103" i="10"/>
  <c r="E105" i="10"/>
  <c r="E84" i="10"/>
  <c r="J95" i="10"/>
  <c r="J79" i="10"/>
  <c r="E100" i="10"/>
  <c r="E75" i="10"/>
  <c r="E83" i="10"/>
  <c r="J89" i="10"/>
  <c r="J84" i="10"/>
  <c r="J85" i="10"/>
  <c r="J132" i="10"/>
  <c r="E114" i="10"/>
  <c r="E107" i="10"/>
  <c r="E76" i="10"/>
  <c r="E74" i="10"/>
  <c r="J121" i="10"/>
  <c r="E138" i="10"/>
  <c r="AD74" i="25"/>
  <c r="AD71" i="25"/>
  <c r="AD61" i="25"/>
  <c r="AD64" i="25"/>
  <c r="AD75" i="25"/>
  <c r="AD77" i="25"/>
  <c r="AD84" i="25"/>
  <c r="AD90" i="25"/>
  <c r="AD93" i="25"/>
  <c r="AD60" i="25"/>
  <c r="AD62" i="25"/>
  <c r="AD66" i="25"/>
  <c r="AD87" i="25"/>
  <c r="AD86" i="25"/>
  <c r="AD89" i="25"/>
  <c r="AD92" i="25"/>
  <c r="AD69" i="25"/>
  <c r="AD85" i="25"/>
  <c r="AD82" i="25"/>
  <c r="AD73" i="25"/>
  <c r="AD67" i="25"/>
  <c r="AD83" i="25"/>
  <c r="AD80" i="25"/>
  <c r="AD88" i="25"/>
  <c r="AD70" i="25"/>
  <c r="AD58" i="25"/>
  <c r="AD81" i="25"/>
  <c r="AD72" i="25"/>
  <c r="AD63" i="25"/>
  <c r="AD65" i="25"/>
  <c r="AD78" i="25"/>
  <c r="AD91" i="25"/>
  <c r="AD76" i="25"/>
  <c r="AD68" i="25"/>
  <c r="AD79" i="25"/>
  <c r="AD22" i="25"/>
  <c r="AD28" i="25"/>
  <c r="AD47" i="25"/>
  <c r="AD25" i="25"/>
  <c r="AD33" i="25"/>
  <c r="AD55" i="25"/>
  <c r="AD11" i="25"/>
  <c r="AD5" i="25"/>
  <c r="AD41" i="25"/>
  <c r="AD48" i="25"/>
  <c r="AD35" i="25"/>
  <c r="AD8" i="25"/>
  <c r="AD17" i="25"/>
  <c r="AD30" i="25"/>
  <c r="AD56" i="25"/>
  <c r="AD18" i="25"/>
  <c r="AD50" i="25"/>
  <c r="AD23" i="25"/>
  <c r="AD49" i="25"/>
  <c r="AD38" i="25"/>
  <c r="AD46" i="25"/>
  <c r="AD26" i="25"/>
  <c r="AD40" i="25"/>
  <c r="AD32" i="25"/>
  <c r="AD10" i="25"/>
  <c r="AD52" i="25"/>
  <c r="AD16" i="25"/>
  <c r="AD7" i="25"/>
  <c r="AD9" i="25"/>
  <c r="AD34" i="25"/>
  <c r="AD24" i="25"/>
  <c r="AD51" i="25"/>
  <c r="AD14" i="25"/>
  <c r="AD27" i="25"/>
  <c r="AD4" i="25"/>
  <c r="AD13" i="25"/>
  <c r="AD45" i="25"/>
  <c r="AD29" i="25"/>
  <c r="AD20" i="25"/>
  <c r="AD36" i="25"/>
  <c r="AD54" i="25"/>
  <c r="AD31" i="25"/>
  <c r="E86" i="10"/>
  <c r="J78" i="10"/>
  <c r="J82" i="10"/>
  <c r="E89" i="10"/>
  <c r="E79" i="10"/>
  <c r="E87" i="10"/>
  <c r="E88" i="10"/>
  <c r="J74" i="10"/>
  <c r="J81" i="10"/>
  <c r="J86" i="10"/>
  <c r="J91" i="10"/>
  <c r="J93" i="10"/>
  <c r="J102" i="10"/>
  <c r="J109" i="10"/>
  <c r="E141" i="10"/>
  <c r="J124" i="10"/>
  <c r="E102" i="10"/>
  <c r="E101" i="10"/>
  <c r="J108" i="10"/>
  <c r="E134" i="10"/>
  <c r="J117" i="10"/>
  <c r="J127" i="10"/>
  <c r="E144" i="10"/>
  <c r="E106" i="10"/>
  <c r="E96" i="10"/>
  <c r="J122" i="10"/>
  <c r="E139" i="10"/>
  <c r="J100" i="10"/>
  <c r="E94" i="10"/>
  <c r="J114" i="10"/>
  <c r="E131" i="10"/>
  <c r="J94" i="10"/>
  <c r="J101" i="10"/>
  <c r="E121" i="10"/>
  <c r="J139" i="10"/>
  <c r="E93" i="10"/>
  <c r="E113" i="10"/>
  <c r="J131" i="10"/>
  <c r="J92" i="10"/>
  <c r="J104" i="10"/>
  <c r="E109" i="10"/>
  <c r="E108" i="10"/>
  <c r="E103" i="10"/>
  <c r="J106" i="10"/>
  <c r="J107" i="10"/>
  <c r="E98" i="10"/>
  <c r="J105" i="10"/>
  <c r="E99" i="10"/>
  <c r="J97" i="10"/>
  <c r="E95" i="10"/>
  <c r="E119" i="10"/>
  <c r="J137" i="10"/>
  <c r="J136" i="10"/>
  <c r="E118" i="10"/>
  <c r="J118" i="10"/>
  <c r="E135" i="10"/>
  <c r="E112" i="10"/>
  <c r="J130" i="10"/>
  <c r="E136" i="10"/>
  <c r="J119" i="10"/>
  <c r="E127" i="10"/>
  <c r="J145" i="10"/>
  <c r="J110" i="10"/>
  <c r="E145" i="10"/>
  <c r="J113" i="10"/>
  <c r="E130" i="10"/>
  <c r="J144" i="10"/>
  <c r="E126" i="10"/>
  <c r="E120" i="10"/>
  <c r="J138" i="10"/>
  <c r="E128" i="10"/>
  <c r="J111" i="10"/>
  <c r="E111" i="10"/>
  <c r="J129" i="10"/>
  <c r="J123" i="10"/>
  <c r="E140" i="10"/>
  <c r="J128" i="10"/>
  <c r="E110" i="10"/>
  <c r="J140" i="10"/>
  <c r="E122" i="10"/>
  <c r="E123" i="10"/>
  <c r="J141" i="10"/>
  <c r="J120" i="10"/>
  <c r="E137" i="10"/>
  <c r="J125" i="10"/>
  <c r="E142" i="10"/>
  <c r="J112" i="10"/>
  <c r="E129" i="10"/>
  <c r="E132" i="10"/>
  <c r="J115" i="10"/>
  <c r="E115" i="10"/>
  <c r="J133" i="10"/>
  <c r="E125" i="10"/>
  <c r="J143" i="10"/>
  <c r="J116" i="10"/>
  <c r="E133" i="10"/>
  <c r="J142" i="10"/>
  <c r="E124" i="10"/>
  <c r="E143" i="10"/>
  <c r="J126" i="10"/>
  <c r="E161" i="10"/>
  <c r="E153" i="10"/>
  <c r="E148" i="10"/>
  <c r="E154" i="10"/>
  <c r="E160" i="10"/>
  <c r="E158" i="10"/>
  <c r="R7" i="27"/>
  <c r="D183" i="10"/>
  <c r="D147" i="10"/>
  <c r="AD43" i="25"/>
  <c r="AD59" i="25"/>
  <c r="A199" i="10"/>
  <c r="A1" i="11"/>
  <c r="P1" i="10"/>
  <c r="AZ1" i="10"/>
  <c r="D21" i="24"/>
  <c r="C1" i="10"/>
  <c r="D92" i="24"/>
  <c r="D318" i="24"/>
  <c r="D234" i="24"/>
  <c r="D81" i="24"/>
  <c r="D255" i="24"/>
  <c r="D79" i="24"/>
  <c r="D218" i="24"/>
  <c r="D219" i="24"/>
  <c r="D75" i="24"/>
  <c r="D34" i="24"/>
  <c r="D51" i="24"/>
  <c r="N1" i="10"/>
  <c r="D63" i="24"/>
  <c r="BA1" i="10"/>
  <c r="D33" i="24"/>
  <c r="D50" i="24"/>
  <c r="D373" i="24"/>
  <c r="E45" i="10"/>
  <c r="K183" i="10"/>
  <c r="K147" i="10"/>
  <c r="AD15" i="25"/>
  <c r="AD42" i="25"/>
  <c r="T84" i="25"/>
  <c r="T66" i="25"/>
  <c r="T82" i="25"/>
  <c r="T79" i="25"/>
  <c r="S79" i="25"/>
  <c r="T67" i="25"/>
  <c r="S67" i="25"/>
  <c r="T61" i="25"/>
  <c r="T70" i="25"/>
  <c r="R85" i="25"/>
  <c r="R73" i="25"/>
  <c r="R67" i="25"/>
  <c r="R60" i="25"/>
  <c r="T64" i="25"/>
  <c r="T89" i="25"/>
  <c r="S69" i="25"/>
  <c r="S93" i="25"/>
  <c r="S58" i="25"/>
  <c r="R82" i="25"/>
  <c r="T59" i="25"/>
  <c r="S85" i="25"/>
  <c r="S87" i="25"/>
  <c r="S71" i="25"/>
  <c r="S78" i="25"/>
  <c r="T92" i="25"/>
  <c r="T69" i="25"/>
  <c r="T81" i="25"/>
  <c r="T76" i="25"/>
  <c r="R69" i="25"/>
  <c r="S60" i="25"/>
  <c r="R88" i="25"/>
  <c r="S65" i="25"/>
  <c r="S63" i="25"/>
  <c r="T80" i="25"/>
  <c r="T72" i="25"/>
  <c r="T68" i="25"/>
  <c r="S64" i="25"/>
  <c r="S73" i="25"/>
  <c r="S77" i="25"/>
  <c r="AD3" i="25"/>
  <c r="R90" i="25"/>
  <c r="S91" i="25"/>
  <c r="S72" i="25"/>
  <c r="R78" i="25"/>
  <c r="S88" i="25"/>
  <c r="R70" i="25"/>
  <c r="T71" i="25"/>
  <c r="T90" i="25"/>
  <c r="T73" i="25"/>
  <c r="R58" i="25"/>
  <c r="S62" i="25"/>
  <c r="S80" i="25"/>
  <c r="R71" i="25"/>
  <c r="S68" i="25"/>
  <c r="R84" i="25"/>
  <c r="T86" i="25"/>
  <c r="T91" i="25"/>
  <c r="R66" i="25"/>
  <c r="S82" i="25"/>
  <c r="R89" i="25"/>
  <c r="R80" i="25"/>
  <c r="T74" i="25"/>
  <c r="R61" i="25"/>
  <c r="T58" i="25"/>
  <c r="T78" i="25"/>
  <c r="R63" i="25"/>
  <c r="S89" i="25"/>
  <c r="R79" i="25"/>
  <c r="S92" i="25"/>
  <c r="S66" i="25"/>
  <c r="R62" i="25"/>
  <c r="T65" i="25"/>
  <c r="T93" i="25"/>
  <c r="S83" i="25"/>
  <c r="R93" i="25"/>
  <c r="R91" i="25"/>
  <c r="S59" i="25"/>
  <c r="S70" i="25"/>
  <c r="S74" i="25"/>
  <c r="T83" i="25"/>
  <c r="R74" i="25"/>
  <c r="S75" i="25"/>
  <c r="S90" i="25"/>
  <c r="R77" i="25"/>
  <c r="R72" i="25"/>
  <c r="T87" i="25"/>
  <c r="T88" i="25"/>
  <c r="R76" i="25"/>
  <c r="R65" i="25"/>
  <c r="R81" i="25"/>
  <c r="R87" i="25"/>
  <c r="R92" i="25"/>
  <c r="S76" i="25"/>
  <c r="T85" i="25"/>
  <c r="T62" i="25"/>
  <c r="R64" i="25"/>
  <c r="S61" i="25"/>
  <c r="R86" i="25"/>
  <c r="S81" i="25"/>
  <c r="R75" i="25"/>
  <c r="T63" i="25"/>
  <c r="T77" i="25"/>
  <c r="S84" i="25"/>
  <c r="T75" i="25"/>
  <c r="T60" i="25"/>
  <c r="R59" i="25"/>
  <c r="S86" i="25"/>
  <c r="R68" i="25"/>
  <c r="R83" i="25"/>
  <c r="E179" i="10"/>
  <c r="AD21" i="25"/>
  <c r="E175" i="10"/>
  <c r="A193" i="10"/>
  <c r="AD53" i="25"/>
  <c r="AD57" i="25"/>
  <c r="AD6" i="25"/>
  <c r="G147" i="10"/>
  <c r="G183" i="10"/>
  <c r="E167" i="10"/>
  <c r="J171" i="10"/>
  <c r="J177" i="10"/>
  <c r="J169" i="10"/>
  <c r="J175" i="10"/>
  <c r="H147" i="10"/>
  <c r="H183" i="10"/>
  <c r="A183" i="10"/>
  <c r="AD12" i="25"/>
  <c r="AD44" i="25"/>
  <c r="AD37" i="25"/>
  <c r="AD39" i="25"/>
  <c r="E181" i="10"/>
  <c r="J63" i="10"/>
  <c r="E44" i="10"/>
  <c r="E81" i="10"/>
  <c r="J62" i="10"/>
  <c r="S51" i="25"/>
  <c r="T51" i="25"/>
  <c r="R51" i="25"/>
  <c r="S33" i="25"/>
  <c r="R33" i="25"/>
  <c r="T33" i="25"/>
  <c r="R47" i="25"/>
  <c r="S47" i="25"/>
  <c r="T47" i="25"/>
  <c r="T15" i="25"/>
  <c r="S15" i="25"/>
  <c r="R15" i="25"/>
  <c r="T38" i="25"/>
  <c r="S38" i="25"/>
  <c r="R38" i="25"/>
  <c r="S6" i="25"/>
  <c r="R6" i="25"/>
  <c r="T6" i="25"/>
  <c r="T29" i="25"/>
  <c r="S29" i="25"/>
  <c r="R29" i="25"/>
  <c r="T52" i="25"/>
  <c r="S52" i="25"/>
  <c r="R52" i="25"/>
  <c r="R20" i="25"/>
  <c r="T20" i="25"/>
  <c r="S20" i="25"/>
  <c r="R42" i="25"/>
  <c r="T42" i="25"/>
  <c r="S42" i="25"/>
  <c r="T24" i="25"/>
  <c r="S24" i="25"/>
  <c r="R24" i="25"/>
  <c r="T43" i="25"/>
  <c r="S43" i="25"/>
  <c r="R43" i="25"/>
  <c r="S11" i="25"/>
  <c r="T11" i="25"/>
  <c r="R11" i="25"/>
  <c r="T34" i="25"/>
  <c r="S34" i="25"/>
  <c r="R34" i="25"/>
  <c r="S57" i="25"/>
  <c r="R57" i="25"/>
  <c r="T57" i="25"/>
  <c r="S25" i="25"/>
  <c r="R25" i="25"/>
  <c r="T25" i="25"/>
  <c r="T48" i="25"/>
  <c r="R48" i="25"/>
  <c r="S48" i="25"/>
  <c r="R16" i="25"/>
  <c r="S16" i="25"/>
  <c r="T16" i="25"/>
  <c r="S56" i="25"/>
  <c r="R56" i="25"/>
  <c r="T56" i="25"/>
  <c r="S39" i="25"/>
  <c r="R39" i="25"/>
  <c r="T39" i="25"/>
  <c r="S7" i="25"/>
  <c r="R7" i="25"/>
  <c r="T7" i="25"/>
  <c r="S30" i="25"/>
  <c r="T30" i="25"/>
  <c r="R30" i="25"/>
  <c r="T53" i="25"/>
  <c r="S53" i="25"/>
  <c r="R53" i="25"/>
  <c r="T21" i="25"/>
  <c r="S21" i="25"/>
  <c r="R21" i="25"/>
  <c r="S44" i="25"/>
  <c r="R44" i="25"/>
  <c r="T44" i="25"/>
  <c r="R12" i="25"/>
  <c r="T12" i="25"/>
  <c r="S12" i="25"/>
  <c r="T10" i="25"/>
  <c r="S10" i="25"/>
  <c r="R10" i="25"/>
  <c r="T35" i="25"/>
  <c r="R35" i="25"/>
  <c r="S35" i="25"/>
  <c r="T3" i="25"/>
  <c r="S3" i="25"/>
  <c r="R3" i="25"/>
  <c r="T26" i="25"/>
  <c r="S26" i="25"/>
  <c r="R26" i="25"/>
  <c r="T49" i="25"/>
  <c r="S49" i="25"/>
  <c r="R49" i="25"/>
  <c r="T17" i="25"/>
  <c r="S17" i="25"/>
  <c r="R17" i="25"/>
  <c r="S40" i="25"/>
  <c r="R40" i="25"/>
  <c r="T40" i="25"/>
  <c r="S8" i="25"/>
  <c r="T8" i="25"/>
  <c r="R8" i="25"/>
  <c r="T31" i="25"/>
  <c r="S31" i="25"/>
  <c r="R31" i="25"/>
  <c r="T54" i="25"/>
  <c r="R54" i="25"/>
  <c r="S54" i="25"/>
  <c r="T22" i="25"/>
  <c r="S22" i="25"/>
  <c r="S4" i="25"/>
  <c r="N2" i="25"/>
  <c r="R45" i="25"/>
  <c r="T45" i="25"/>
  <c r="S45" i="25"/>
  <c r="R13" i="25"/>
  <c r="S13" i="25"/>
  <c r="T13" i="25"/>
  <c r="T36" i="25"/>
  <c r="S36" i="25"/>
  <c r="R36" i="25"/>
  <c r="T4" i="25"/>
  <c r="R19" i="25"/>
  <c r="T19" i="25"/>
  <c r="S19" i="25"/>
  <c r="R27" i="25"/>
  <c r="T27" i="25"/>
  <c r="S27" i="25"/>
  <c r="T50" i="25"/>
  <c r="S50" i="25"/>
  <c r="R50" i="25"/>
  <c r="T18" i="25"/>
  <c r="R18" i="25"/>
  <c r="S18" i="25"/>
  <c r="S41" i="25"/>
  <c r="T41" i="25"/>
  <c r="R41" i="25"/>
  <c r="S9" i="25"/>
  <c r="R9" i="25"/>
  <c r="T9" i="25"/>
  <c r="R32" i="25"/>
  <c r="T32" i="25"/>
  <c r="S32" i="25"/>
  <c r="S55" i="25"/>
  <c r="T55" i="25"/>
  <c r="R55" i="25"/>
  <c r="R23" i="25"/>
  <c r="T23" i="25"/>
  <c r="S23" i="25"/>
  <c r="R46" i="25"/>
  <c r="T46" i="25"/>
  <c r="S46" i="25"/>
  <c r="T14" i="25"/>
  <c r="S14" i="25"/>
  <c r="R14" i="25"/>
  <c r="S37" i="25"/>
  <c r="R37" i="25"/>
  <c r="T37" i="25"/>
  <c r="T5" i="25"/>
  <c r="S5" i="25"/>
  <c r="R5" i="25"/>
  <c r="S28" i="25"/>
  <c r="R28" i="25"/>
  <c r="T28" i="25"/>
  <c r="J99" i="10"/>
  <c r="E80" i="10"/>
  <c r="AG89" i="25"/>
  <c r="W89" i="25"/>
  <c r="AE55" i="25"/>
  <c r="AG83" i="25"/>
  <c r="W83" i="25"/>
  <c r="AE54" i="25"/>
  <c r="AE80" i="25"/>
  <c r="AE51" i="25"/>
  <c r="AG84" i="25"/>
  <c r="W84" i="25"/>
  <c r="AE91" i="25"/>
  <c r="AG12" i="25"/>
  <c r="AG11" i="25"/>
  <c r="W11" i="25"/>
  <c r="AE8" i="25"/>
  <c r="AG59" i="25"/>
  <c r="W59" i="25"/>
  <c r="AE31" i="25"/>
  <c r="AE57" i="25"/>
  <c r="AG14" i="25"/>
  <c r="W12" i="25"/>
  <c r="AE32" i="25"/>
  <c r="AE22" i="25"/>
  <c r="AG69" i="25"/>
  <c r="W69" i="25"/>
  <c r="AE40" i="25"/>
  <c r="AE71" i="25"/>
  <c r="AG70" i="25"/>
  <c r="W70" i="25"/>
  <c r="AG51" i="25"/>
  <c r="AG46" i="25"/>
  <c r="W46" i="25"/>
  <c r="AG93" i="25"/>
  <c r="W93" i="25"/>
  <c r="AG32" i="25"/>
  <c r="AG18" i="25"/>
  <c r="W18" i="25"/>
  <c r="AE47" i="25"/>
  <c r="AG86" i="25"/>
  <c r="W86" i="25"/>
  <c r="AG78" i="25"/>
  <c r="W78" i="25"/>
  <c r="AE34" i="25"/>
  <c r="AG62" i="25"/>
  <c r="W62" i="25"/>
  <c r="W51" i="25"/>
  <c r="AE46" i="25"/>
  <c r="AG63" i="25"/>
  <c r="W63" i="25"/>
  <c r="AG91" i="25"/>
  <c r="W91" i="25"/>
  <c r="AE59" i="25"/>
  <c r="AG85" i="25"/>
  <c r="W85" i="25"/>
  <c r="AE18" i="25"/>
  <c r="AE35" i="25"/>
  <c r="AE89" i="25"/>
  <c r="AE29" i="25"/>
  <c r="AE49" i="25"/>
  <c r="AG88" i="25"/>
  <c r="W88" i="25"/>
  <c r="AG26" i="25"/>
  <c r="AG24" i="25"/>
  <c r="W24" i="25"/>
  <c r="AE63" i="25"/>
  <c r="AG54" i="25"/>
  <c r="AG53" i="25"/>
  <c r="W53" i="25"/>
  <c r="AE76" i="25"/>
  <c r="AE84" i="25"/>
  <c r="AG64" i="25"/>
  <c r="W64" i="25"/>
  <c r="AE53" i="25"/>
  <c r="AE6" i="25"/>
  <c r="AE48" i="25"/>
  <c r="AE13" i="25"/>
  <c r="AE77" i="25"/>
  <c r="AG81" i="25"/>
  <c r="W81" i="25"/>
  <c r="AE45" i="25"/>
  <c r="AG75" i="25"/>
  <c r="W75" i="25"/>
  <c r="AG31" i="25"/>
  <c r="W26" i="25"/>
  <c r="AG56" i="25"/>
  <c r="AG55" i="25"/>
  <c r="W55" i="25"/>
  <c r="AE72" i="25"/>
  <c r="AG73" i="25"/>
  <c r="W73" i="25"/>
  <c r="AG44" i="25"/>
  <c r="AG38" i="25"/>
  <c r="W38" i="25"/>
  <c r="AG52" i="25"/>
  <c r="AG47" i="25"/>
  <c r="W47" i="25"/>
  <c r="AG15" i="25"/>
  <c r="W15" i="25"/>
  <c r="AE15" i="25"/>
  <c r="AG35" i="25"/>
  <c r="AG30" i="25"/>
  <c r="W30" i="25"/>
  <c r="AG39" i="25"/>
  <c r="AG34" i="25"/>
  <c r="W34" i="25"/>
  <c r="AE67" i="25"/>
  <c r="AG49" i="25"/>
  <c r="W49" i="25"/>
  <c r="AE75" i="25"/>
  <c r="AG36" i="25"/>
  <c r="W31" i="25"/>
  <c r="AG67" i="25"/>
  <c r="W67" i="25"/>
  <c r="AG76" i="25"/>
  <c r="W76" i="25"/>
  <c r="W54" i="25"/>
  <c r="AE52" i="25"/>
  <c r="AE27" i="25"/>
  <c r="AE70" i="25"/>
  <c r="AE30" i="25"/>
  <c r="AG37" i="25"/>
  <c r="W32" i="25"/>
  <c r="AG87" i="25"/>
  <c r="W87" i="25"/>
  <c r="AG8" i="25"/>
  <c r="AG7" i="25"/>
  <c r="W7" i="25"/>
  <c r="AE14" i="25"/>
  <c r="AG72" i="25"/>
  <c r="W72" i="25"/>
  <c r="AG82" i="25"/>
  <c r="W82" i="25"/>
  <c r="AE7" i="25"/>
  <c r="AE64" i="25"/>
  <c r="AG6" i="25"/>
  <c r="AG5" i="25"/>
  <c r="W5" i="25"/>
  <c r="AE28" i="25"/>
  <c r="AE17" i="25"/>
  <c r="AE69" i="25"/>
  <c r="AE44" i="25"/>
  <c r="AG29" i="25"/>
  <c r="W29" i="25"/>
  <c r="AG10" i="25"/>
  <c r="W10" i="25"/>
  <c r="AG61" i="25"/>
  <c r="W61" i="25"/>
  <c r="AG50" i="25"/>
  <c r="AG45" i="25"/>
  <c r="W45" i="25"/>
  <c r="AG79" i="25"/>
  <c r="W79" i="25"/>
  <c r="AE26" i="25"/>
  <c r="AE58" i="25"/>
  <c r="AE92" i="25"/>
  <c r="AE68" i="25"/>
  <c r="AE38" i="25"/>
  <c r="AE11" i="25"/>
  <c r="AE9" i="25"/>
  <c r="AE66" i="25"/>
  <c r="AG9" i="25"/>
  <c r="W9" i="25"/>
  <c r="AE56" i="25"/>
  <c r="AE79" i="25"/>
  <c r="AE10" i="25"/>
  <c r="AE50" i="25"/>
  <c r="AE93" i="25"/>
  <c r="AE39" i="25"/>
  <c r="AE85" i="25"/>
  <c r="AG80" i="25"/>
  <c r="W80" i="25"/>
  <c r="AG74" i="25"/>
  <c r="W74" i="25"/>
  <c r="AG22" i="25"/>
  <c r="AG20" i="25"/>
  <c r="W20" i="25"/>
  <c r="AG58" i="25"/>
  <c r="W58" i="25"/>
  <c r="AG41" i="25"/>
  <c r="AG40" i="25"/>
  <c r="W40" i="25"/>
  <c r="W35" i="25"/>
  <c r="AE16" i="25"/>
  <c r="AE74" i="25"/>
  <c r="W52" i="25"/>
  <c r="AE23" i="25"/>
  <c r="AE4" i="25"/>
  <c r="W8" i="25"/>
  <c r="AG77" i="25"/>
  <c r="W77" i="25"/>
  <c r="W14" i="25"/>
  <c r="AE25" i="25"/>
  <c r="AG43" i="25"/>
  <c r="W43" i="25"/>
  <c r="AE78" i="25"/>
  <c r="AE20" i="25"/>
  <c r="AG4" i="25"/>
  <c r="W22" i="25"/>
  <c r="AE12" i="25"/>
  <c r="AG17" i="25"/>
  <c r="W50" i="25"/>
  <c r="AE90" i="25"/>
  <c r="AE43" i="25"/>
  <c r="AG27" i="25"/>
  <c r="W27" i="25"/>
  <c r="W41" i="25"/>
  <c r="AE73" i="25"/>
  <c r="AE61" i="25"/>
  <c r="AG60" i="25"/>
  <c r="W60" i="25"/>
  <c r="AG71" i="25"/>
  <c r="W71" i="25"/>
  <c r="AE33" i="25"/>
  <c r="W17" i="25"/>
  <c r="AE83" i="25"/>
  <c r="AG23" i="25"/>
  <c r="AG57" i="25"/>
  <c r="W57" i="25"/>
  <c r="AE41" i="25"/>
  <c r="AG66" i="25"/>
  <c r="W66" i="25"/>
  <c r="AG68" i="25"/>
  <c r="W68" i="25"/>
  <c r="W6" i="25"/>
  <c r="AG92" i="25"/>
  <c r="W92" i="25"/>
  <c r="AG48" i="25"/>
  <c r="W44" i="25"/>
  <c r="AG16" i="25"/>
  <c r="W48" i="25"/>
  <c r="AE87" i="25"/>
  <c r="AE82" i="25"/>
  <c r="AE81" i="25"/>
  <c r="AE88" i="25"/>
  <c r="AG25" i="25"/>
  <c r="W25" i="25"/>
  <c r="W56" i="25"/>
  <c r="AE36" i="25"/>
  <c r="AG65" i="25"/>
  <c r="W65" i="25"/>
  <c r="W4" i="25"/>
  <c r="W37" i="25"/>
  <c r="AG13" i="25"/>
  <c r="W13" i="25"/>
  <c r="W21" i="25"/>
  <c r="AE37" i="25"/>
  <c r="AG42" i="25"/>
  <c r="W42" i="25"/>
  <c r="W36" i="25"/>
  <c r="AE86" i="25"/>
  <c r="AE60" i="25"/>
  <c r="AG33" i="25"/>
  <c r="AG28" i="25"/>
  <c r="W28" i="25"/>
  <c r="AE24" i="25"/>
  <c r="AE65" i="25"/>
  <c r="AE62" i="25"/>
  <c r="AG90" i="25"/>
  <c r="W90" i="25"/>
  <c r="W33" i="25"/>
  <c r="W39" i="25"/>
  <c r="W23" i="25"/>
  <c r="W16" i="25"/>
  <c r="AE5" i="25"/>
  <c r="AE42" i="25"/>
  <c r="E117" i="10"/>
  <c r="J98" i="10"/>
  <c r="AF15" i="25"/>
  <c r="V15" i="25"/>
  <c r="U15" i="25"/>
  <c r="AF33" i="25"/>
  <c r="AF28" i="25"/>
  <c r="V28" i="25"/>
  <c r="U28" i="25"/>
  <c r="AF90" i="25"/>
  <c r="V90" i="25"/>
  <c r="U90" i="25"/>
  <c r="AF57" i="25"/>
  <c r="AF56" i="25"/>
  <c r="V56" i="25"/>
  <c r="U56" i="25"/>
  <c r="AF80" i="25"/>
  <c r="V80" i="25"/>
  <c r="U80" i="25"/>
  <c r="AF36" i="25"/>
  <c r="AF31" i="25"/>
  <c r="V31" i="25"/>
  <c r="U31" i="25"/>
  <c r="AF25" i="25"/>
  <c r="AF23" i="25"/>
  <c r="V23" i="25"/>
  <c r="U23" i="25"/>
  <c r="AF39" i="25"/>
  <c r="AF34" i="25"/>
  <c r="V34" i="25"/>
  <c r="U34" i="25"/>
  <c r="AF9" i="25"/>
  <c r="V9" i="25"/>
  <c r="U9" i="25"/>
  <c r="AF16" i="25"/>
  <c r="V16" i="25"/>
  <c r="U16" i="25"/>
  <c r="AF50" i="25"/>
  <c r="AF45" i="25"/>
  <c r="V45" i="25"/>
  <c r="U45" i="25"/>
  <c r="AF38" i="25"/>
  <c r="V33" i="25"/>
  <c r="U33" i="25"/>
  <c r="AF64" i="25"/>
  <c r="V64" i="25"/>
  <c r="U64" i="25"/>
  <c r="AF30" i="25"/>
  <c r="AF41" i="25"/>
  <c r="V41" i="25"/>
  <c r="U41" i="25"/>
  <c r="AF76" i="25"/>
  <c r="V76" i="25"/>
  <c r="U76" i="25"/>
  <c r="AF35" i="25"/>
  <c r="V30" i="25"/>
  <c r="U30" i="25"/>
  <c r="AF26" i="25"/>
  <c r="V26" i="25"/>
  <c r="U26" i="25"/>
  <c r="AF54" i="25"/>
  <c r="AF53" i="25"/>
  <c r="V53" i="25"/>
  <c r="U53" i="25"/>
  <c r="AF89" i="25"/>
  <c r="V89" i="25"/>
  <c r="U89" i="25"/>
  <c r="AF42" i="25"/>
  <c r="V36" i="25"/>
  <c r="U36" i="25"/>
  <c r="AF65" i="25"/>
  <c r="V65" i="25"/>
  <c r="U65" i="25"/>
  <c r="AF5" i="25"/>
  <c r="AF4" i="25"/>
  <c r="V4" i="25"/>
  <c r="U4" i="25"/>
  <c r="AF24" i="25"/>
  <c r="V21" i="25"/>
  <c r="U21" i="25"/>
  <c r="AF88" i="25"/>
  <c r="V88" i="25"/>
  <c r="U88" i="25"/>
  <c r="AF12" i="25"/>
  <c r="AF11" i="25"/>
  <c r="V11" i="25"/>
  <c r="U11" i="25"/>
  <c r="AF10" i="25"/>
  <c r="AF8" i="25"/>
  <c r="V8" i="25"/>
  <c r="U8" i="25"/>
  <c r="AF68" i="25"/>
  <c r="V68" i="25"/>
  <c r="U68" i="25"/>
  <c r="AF7" i="25"/>
  <c r="AF6" i="25"/>
  <c r="V6" i="25"/>
  <c r="U6" i="25"/>
  <c r="U19" i="25"/>
  <c r="AF75" i="25"/>
  <c r="V75" i="25"/>
  <c r="U75" i="25"/>
  <c r="AF77" i="25"/>
  <c r="V77" i="25"/>
  <c r="U77" i="25"/>
  <c r="AF18" i="25"/>
  <c r="AF51" i="25"/>
  <c r="V51" i="25"/>
  <c r="U51" i="25"/>
  <c r="AF29" i="25"/>
  <c r="V29" i="25"/>
  <c r="U29" i="25"/>
  <c r="AF71" i="25"/>
  <c r="V71" i="25"/>
  <c r="U71" i="25"/>
  <c r="AF27" i="25"/>
  <c r="V27" i="25"/>
  <c r="U27" i="25"/>
  <c r="AF46" i="25"/>
  <c r="V39" i="25"/>
  <c r="U39" i="25"/>
  <c r="V46" i="25"/>
  <c r="U46" i="25"/>
  <c r="AF93" i="25"/>
  <c r="V93" i="25"/>
  <c r="U93" i="25"/>
  <c r="V42" i="25"/>
  <c r="U42" i="25"/>
  <c r="AF81" i="25"/>
  <c r="V81" i="25"/>
  <c r="U81" i="25"/>
  <c r="AF61" i="25"/>
  <c r="V61" i="25"/>
  <c r="U61" i="25"/>
  <c r="AF22" i="25"/>
  <c r="V22" i="25"/>
  <c r="U22" i="25"/>
  <c r="AF79" i="25"/>
  <c r="V79" i="25"/>
  <c r="U79" i="25"/>
  <c r="AF92" i="25"/>
  <c r="V92" i="25"/>
  <c r="U92" i="25"/>
  <c r="AF70" i="25"/>
  <c r="V70" i="25"/>
  <c r="U70" i="25"/>
  <c r="AF13" i="25"/>
  <c r="V13" i="25"/>
  <c r="U13" i="25"/>
  <c r="AF63" i="25"/>
  <c r="V63" i="25"/>
  <c r="U63" i="25"/>
  <c r="AF40" i="25"/>
  <c r="V35" i="25"/>
  <c r="U35" i="25"/>
  <c r="V7" i="25"/>
  <c r="U7" i="25"/>
  <c r="AF55" i="25"/>
  <c r="V54" i="25"/>
  <c r="U54" i="25"/>
  <c r="AF62" i="25"/>
  <c r="V62" i="25"/>
  <c r="U62" i="25"/>
  <c r="AF37" i="25"/>
  <c r="AF32" i="25"/>
  <c r="V32" i="25"/>
  <c r="U32" i="25"/>
  <c r="V10" i="25"/>
  <c r="U10" i="25"/>
  <c r="AF60" i="25"/>
  <c r="V60" i="25"/>
  <c r="U60" i="25"/>
  <c r="AF82" i="25"/>
  <c r="V82" i="25"/>
  <c r="U82" i="25"/>
  <c r="V40" i="25"/>
  <c r="U40" i="25"/>
  <c r="AF73" i="25"/>
  <c r="V73" i="25"/>
  <c r="U73" i="25"/>
  <c r="AF20" i="25"/>
  <c r="AF17" i="25"/>
  <c r="V17" i="25"/>
  <c r="U17" i="25"/>
  <c r="V57" i="25"/>
  <c r="U57" i="25"/>
  <c r="V55" i="25"/>
  <c r="U55" i="25"/>
  <c r="AF58" i="25"/>
  <c r="V58" i="25"/>
  <c r="U58" i="25"/>
  <c r="AF44" i="25"/>
  <c r="V38" i="25"/>
  <c r="U38" i="25"/>
  <c r="V25" i="25"/>
  <c r="U25" i="25"/>
  <c r="AF67" i="25"/>
  <c r="V67" i="25"/>
  <c r="U67" i="25"/>
  <c r="AF72" i="25"/>
  <c r="V72" i="25"/>
  <c r="U72" i="25"/>
  <c r="AF48" i="25"/>
  <c r="V44" i="25"/>
  <c r="U44" i="25"/>
  <c r="AF59" i="25"/>
  <c r="V59" i="25"/>
  <c r="U59" i="25"/>
  <c r="AF43" i="25"/>
  <c r="V37" i="25"/>
  <c r="U37" i="25"/>
  <c r="V48" i="25"/>
  <c r="U48" i="25"/>
  <c r="AF52" i="25"/>
  <c r="V52" i="25"/>
  <c r="U52" i="25"/>
  <c r="AF84" i="25"/>
  <c r="V84" i="25"/>
  <c r="U84" i="25"/>
  <c r="AF86" i="25"/>
  <c r="V86" i="25"/>
  <c r="U86" i="25"/>
  <c r="AF87" i="25"/>
  <c r="V87" i="25"/>
  <c r="U87" i="25"/>
  <c r="AF78" i="25"/>
  <c r="V78" i="25"/>
  <c r="U78" i="25"/>
  <c r="V24" i="25"/>
  <c r="U24" i="25"/>
  <c r="AF69" i="25"/>
  <c r="V69" i="25"/>
  <c r="U69" i="25"/>
  <c r="AF14" i="25"/>
  <c r="V12" i="25"/>
  <c r="U12" i="25"/>
  <c r="AF47" i="25"/>
  <c r="V47" i="25"/>
  <c r="U47" i="25"/>
  <c r="V5" i="25"/>
  <c r="U5" i="25"/>
  <c r="V43" i="25"/>
  <c r="U43" i="25"/>
  <c r="V20" i="25"/>
  <c r="U20" i="25"/>
  <c r="AF91" i="25"/>
  <c r="V91" i="25"/>
  <c r="U91" i="25"/>
  <c r="U3" i="25"/>
  <c r="AF83" i="25"/>
  <c r="V83" i="25"/>
  <c r="U83" i="25"/>
  <c r="AF74" i="25"/>
  <c r="V74" i="25"/>
  <c r="U74" i="25"/>
  <c r="AF85" i="25"/>
  <c r="V85" i="25"/>
  <c r="U85" i="25"/>
  <c r="AF66" i="25"/>
  <c r="V66" i="25"/>
  <c r="U66" i="25"/>
  <c r="V50" i="25"/>
  <c r="U50" i="25"/>
  <c r="AF49" i="25"/>
  <c r="V49" i="25"/>
  <c r="U49" i="25"/>
  <c r="V14" i="25"/>
  <c r="U14" i="25"/>
  <c r="V18" i="25"/>
  <c r="U18" i="25"/>
  <c r="J135" i="10"/>
  <c r="E116" i="10"/>
  <c r="BG6" i="10" a="1"/>
  <c r="BG6" i="10"/>
  <c r="C31" i="25" a="1"/>
  <c r="C31" i="25"/>
  <c r="C61" i="25" a="1"/>
  <c r="C61" i="25"/>
  <c r="C88" i="25" a="1"/>
  <c r="C88" i="25"/>
  <c r="C105" i="25" a="1"/>
  <c r="C105" i="25"/>
  <c r="C37" i="25" a="1"/>
  <c r="C37" i="25"/>
  <c r="C38" i="25" a="1"/>
  <c r="C38" i="25"/>
  <c r="C70" i="25" a="1"/>
  <c r="C70" i="25"/>
  <c r="C10" i="25" a="1"/>
  <c r="C10" i="25"/>
  <c r="C91" i="25" a="1"/>
  <c r="C91" i="25"/>
  <c r="C47" i="25" a="1"/>
  <c r="C47" i="25"/>
  <c r="C15" i="25" a="1"/>
  <c r="C15" i="25"/>
  <c r="C28" i="25" a="1"/>
  <c r="C28" i="25"/>
  <c r="C62" i="25" a="1"/>
  <c r="C62" i="25"/>
  <c r="C131" i="25" a="1"/>
  <c r="C131" i="25"/>
  <c r="C14" i="25" a="1"/>
  <c r="C14" i="25"/>
  <c r="C49" i="25" a="1"/>
  <c r="C49" i="25"/>
  <c r="C54" i="25" a="1"/>
  <c r="C54" i="25"/>
  <c r="C2" i="25" a="1"/>
  <c r="C2" i="25"/>
  <c r="C59" i="25" a="1"/>
  <c r="C59" i="25"/>
  <c r="C76" i="25" a="1"/>
  <c r="C76" i="25"/>
  <c r="C20" i="25" a="1"/>
  <c r="C20" i="25"/>
  <c r="C116" i="25" a="1"/>
  <c r="C116" i="25"/>
  <c r="C75" i="25" a="1"/>
  <c r="C75" i="25"/>
  <c r="C64" i="25" a="1"/>
  <c r="C64" i="25"/>
  <c r="C63" i="25" a="1"/>
  <c r="C63" i="25"/>
  <c r="C115" i="25" a="1"/>
  <c r="C115" i="25"/>
  <c r="C134" i="25" a="1"/>
  <c r="C134" i="25"/>
  <c r="C100" i="25" a="1"/>
  <c r="C100" i="25"/>
  <c r="C141" i="25" a="1"/>
  <c r="C141" i="25"/>
  <c r="C128" i="25" a="1"/>
  <c r="C128" i="25"/>
  <c r="C119" i="25" a="1"/>
  <c r="C119" i="25"/>
  <c r="C98" i="25" a="1"/>
  <c r="C98" i="25"/>
  <c r="C25" i="25" a="1"/>
  <c r="C25" i="25"/>
  <c r="C132" i="25" a="1"/>
  <c r="C132" i="25"/>
  <c r="C95" i="25" a="1"/>
  <c r="C95" i="25"/>
  <c r="C77" i="25" a="1"/>
  <c r="C77" i="25"/>
  <c r="C82" i="25" a="1"/>
  <c r="C82" i="25"/>
  <c r="C41" i="25" a="1"/>
  <c r="C41" i="25"/>
  <c r="C21" i="25" a="1"/>
  <c r="C21" i="25"/>
  <c r="C107" i="25" a="1"/>
  <c r="C107" i="25"/>
  <c r="C36" i="25" a="1"/>
  <c r="C36" i="25"/>
  <c r="C67" i="25" a="1"/>
  <c r="C67" i="25"/>
  <c r="C4" i="25" a="1"/>
  <c r="C4" i="25"/>
  <c r="C139" i="25" a="1"/>
  <c r="C139" i="25"/>
  <c r="C125" i="25" a="1"/>
  <c r="C125" i="25"/>
  <c r="C145" i="25" a="1"/>
  <c r="C145" i="25"/>
  <c r="C113" i="25" a="1"/>
  <c r="C113" i="25"/>
  <c r="C52" i="25" a="1"/>
  <c r="C52" i="25"/>
  <c r="C73" i="25" a="1"/>
  <c r="C73" i="25"/>
  <c r="C85" i="25" a="1"/>
  <c r="C85" i="25"/>
  <c r="C104" i="25" a="1"/>
  <c r="C104" i="25"/>
  <c r="C53" i="25" a="1"/>
  <c r="C53" i="25"/>
  <c r="C99" i="25" a="1"/>
  <c r="C99" i="25"/>
  <c r="C87" i="25" a="1"/>
  <c r="C87" i="25"/>
  <c r="C9" i="25" a="1"/>
  <c r="C9" i="25"/>
  <c r="C11" i="25" a="1"/>
  <c r="C11" i="25"/>
  <c r="C32" i="25" a="1"/>
  <c r="C32" i="25"/>
  <c r="C108" i="25" a="1"/>
  <c r="C108" i="25"/>
  <c r="C65" i="25" a="1"/>
  <c r="C65" i="25"/>
  <c r="C110" i="25" a="1"/>
  <c r="C110" i="25"/>
  <c r="C58" i="25" a="1"/>
  <c r="C58" i="25"/>
  <c r="C69" i="25" a="1"/>
  <c r="C69" i="25"/>
  <c r="C6" i="25" a="1"/>
  <c r="C6" i="25"/>
  <c r="C29" i="25" a="1"/>
  <c r="C29" i="25"/>
  <c r="C142" i="25" a="1"/>
  <c r="C142" i="25"/>
  <c r="C118" i="25" a="1"/>
  <c r="C118" i="25"/>
  <c r="C34" i="25" a="1"/>
  <c r="C34" i="25"/>
  <c r="C137" i="25" a="1"/>
  <c r="C137" i="25"/>
  <c r="C60" i="25" a="1"/>
  <c r="C60" i="25"/>
  <c r="C140" i="25" a="1"/>
  <c r="C140" i="25"/>
  <c r="C57" i="25" a="1"/>
  <c r="C57" i="25"/>
  <c r="C7" i="25" a="1"/>
  <c r="C7" i="25"/>
  <c r="C123" i="25" a="1"/>
  <c r="C123" i="25"/>
  <c r="C96" i="25" a="1"/>
  <c r="C96" i="25"/>
  <c r="C97" i="25" a="1"/>
  <c r="C97" i="25"/>
  <c r="C90" i="25" a="1"/>
  <c r="C90" i="25"/>
  <c r="C144" i="25" a="1"/>
  <c r="C144" i="25"/>
  <c r="C103" i="25" a="1"/>
  <c r="C103" i="25"/>
  <c r="C129" i="25" a="1"/>
  <c r="C129" i="25"/>
  <c r="C17" i="25" a="1"/>
  <c r="C17" i="25"/>
  <c r="C112" i="25" a="1"/>
  <c r="C112" i="25"/>
  <c r="C27" i="25" a="1"/>
  <c r="C27" i="25"/>
  <c r="C84" i="25" a="1"/>
  <c r="C84" i="25"/>
  <c r="C72" i="25" a="1"/>
  <c r="C72" i="25"/>
  <c r="C35" i="25" a="1"/>
  <c r="C35" i="25"/>
  <c r="C51" i="25" a="1"/>
  <c r="C51" i="25"/>
  <c r="C121" i="25" a="1"/>
  <c r="C121" i="25"/>
  <c r="C22" i="25" a="1"/>
  <c r="C22" i="25"/>
  <c r="C120" i="25" a="1"/>
  <c r="C120" i="25"/>
  <c r="C3" i="25" a="1"/>
  <c r="C3" i="25"/>
  <c r="C124" i="25" a="1"/>
  <c r="C124" i="25"/>
  <c r="C122" i="25" a="1"/>
  <c r="C122" i="25"/>
  <c r="C13" i="25" a="1"/>
  <c r="C13" i="25"/>
  <c r="C43" i="25" a="1"/>
  <c r="C43" i="25"/>
  <c r="C114" i="25" a="1"/>
  <c r="C114" i="25"/>
  <c r="C18" i="25" a="1"/>
  <c r="C18" i="25"/>
  <c r="C83" i="25" a="1"/>
  <c r="C83" i="25"/>
  <c r="C39" i="25" a="1"/>
  <c r="C39" i="25"/>
  <c r="C86" i="25" a="1"/>
  <c r="C86" i="25"/>
  <c r="C138" i="25" a="1"/>
  <c r="C138" i="25"/>
  <c r="C79" i="25" a="1"/>
  <c r="C79" i="25"/>
  <c r="C46" i="25" a="1"/>
  <c r="C46" i="25"/>
  <c r="C24" i="25" a="1"/>
  <c r="C24" i="25"/>
  <c r="C55" i="25" a="1"/>
  <c r="C55" i="25"/>
  <c r="C117" i="25" a="1"/>
  <c r="C117" i="25"/>
  <c r="C23" i="25" a="1"/>
  <c r="C23" i="25"/>
  <c r="C74" i="25" a="1"/>
  <c r="C74" i="25"/>
  <c r="C92" i="25" a="1"/>
  <c r="C92" i="25"/>
  <c r="C44" i="25" a="1"/>
  <c r="C44" i="25"/>
  <c r="C109" i="25" a="1"/>
  <c r="C109" i="25"/>
  <c r="C93" i="25" a="1"/>
  <c r="C93" i="25"/>
  <c r="C101" i="25" a="1"/>
  <c r="C101" i="25"/>
  <c r="C127" i="25" a="1"/>
  <c r="C127" i="25"/>
  <c r="C42" i="25" a="1"/>
  <c r="C42" i="25"/>
  <c r="C8" i="25" a="1"/>
  <c r="C8" i="25"/>
  <c r="C111" i="25" a="1"/>
  <c r="C111" i="25"/>
  <c r="C136" i="25" a="1"/>
  <c r="C136" i="25"/>
  <c r="C26" i="25" a="1"/>
  <c r="C26" i="25"/>
  <c r="C80" i="25" a="1"/>
  <c r="C80" i="25"/>
  <c r="C81" i="25" a="1"/>
  <c r="C81" i="25"/>
  <c r="C66" i="25" a="1"/>
  <c r="C66" i="25"/>
  <c r="C78" i="25" a="1"/>
  <c r="C78" i="25"/>
  <c r="C143" i="25" a="1"/>
  <c r="C143" i="25"/>
  <c r="C133" i="25" a="1"/>
  <c r="C133" i="25"/>
  <c r="C89" i="25" a="1"/>
  <c r="C89" i="25"/>
  <c r="C30" i="25" a="1"/>
  <c r="C30" i="25"/>
  <c r="C130" i="25" a="1"/>
  <c r="C130" i="25"/>
  <c r="C48" i="25" a="1"/>
  <c r="C48" i="25"/>
  <c r="C16" i="25" a="1"/>
  <c r="C16" i="25"/>
  <c r="C94" i="25" a="1"/>
  <c r="C94" i="25"/>
  <c r="C12" i="25" a="1"/>
  <c r="C12" i="25"/>
  <c r="C106" i="25" a="1"/>
  <c r="C106" i="25"/>
  <c r="C50" i="25" a="1"/>
  <c r="C50" i="25"/>
  <c r="C68" i="25" a="1"/>
  <c r="C68" i="25"/>
  <c r="C40" i="25" a="1"/>
  <c r="C40" i="25"/>
  <c r="C102" i="25" a="1"/>
  <c r="C102" i="25"/>
  <c r="C19" i="25" a="1"/>
  <c r="C19" i="25"/>
  <c r="C56" i="25" a="1"/>
  <c r="C56" i="25"/>
  <c r="C135" i="25" a="1"/>
  <c r="C135" i="25"/>
  <c r="C45" i="25" a="1"/>
  <c r="C45" i="25"/>
  <c r="C71" i="25" a="1"/>
  <c r="C71" i="25"/>
  <c r="C33" i="25" a="1"/>
  <c r="C33" i="25"/>
  <c r="C5" i="25" a="1"/>
  <c r="C5" i="25"/>
  <c r="C126" i="25" a="1"/>
  <c r="C126" i="25"/>
  <c r="J134" i="10"/>
  <c r="BG2" i="10" a="1"/>
  <c r="BG2" i="10"/>
  <c r="B50" i="10"/>
  <c r="C50" i="10"/>
  <c r="B111" i="10"/>
  <c r="C111" i="10"/>
  <c r="C97" i="10"/>
  <c r="B97" i="10"/>
  <c r="B145" i="10"/>
  <c r="C145" i="10"/>
  <c r="B106" i="10"/>
  <c r="C106" i="10"/>
  <c r="C8" i="10"/>
  <c r="B8" i="10"/>
  <c r="C74" i="10"/>
  <c r="B74" i="10"/>
  <c r="B83" i="10"/>
  <c r="C83" i="10"/>
  <c r="B122" i="10"/>
  <c r="C122" i="10"/>
  <c r="B112" i="10"/>
  <c r="C112" i="10"/>
  <c r="B96" i="10"/>
  <c r="C96" i="10"/>
  <c r="C65" i="10"/>
  <c r="B65" i="10"/>
  <c r="C99" i="10"/>
  <c r="B99" i="10"/>
  <c r="B41" i="10"/>
  <c r="C41" i="10"/>
  <c r="B134" i="10"/>
  <c r="C134" i="10"/>
  <c r="B59" i="10"/>
  <c r="C59" i="10"/>
  <c r="B38" i="10"/>
  <c r="C38" i="10"/>
  <c r="C45" i="10"/>
  <c r="B45" i="10"/>
  <c r="C92" i="10"/>
  <c r="B92" i="10"/>
  <c r="C60" i="10"/>
  <c r="B60" i="10"/>
  <c r="C62" i="10"/>
  <c r="B62" i="10"/>
  <c r="C135" i="10"/>
  <c r="B135" i="10"/>
  <c r="B12" i="10"/>
  <c r="C12" i="10"/>
  <c r="C42" i="10"/>
  <c r="B42" i="10"/>
  <c r="B23" i="10"/>
  <c r="C23" i="10"/>
  <c r="C18" i="10"/>
  <c r="B18" i="10"/>
  <c r="B124" i="10"/>
  <c r="C124" i="10"/>
  <c r="C51" i="10"/>
  <c r="B51" i="10"/>
  <c r="B17" i="10"/>
  <c r="C17" i="10"/>
  <c r="B137" i="10"/>
  <c r="C137" i="10"/>
  <c r="C142" i="10"/>
  <c r="B142" i="10"/>
  <c r="B108" i="10"/>
  <c r="C108" i="10"/>
  <c r="C53" i="10"/>
  <c r="B53" i="10"/>
  <c r="C125" i="10"/>
  <c r="B125" i="10"/>
  <c r="C115" i="10"/>
  <c r="B115" i="10"/>
  <c r="C28" i="10"/>
  <c r="B28" i="10"/>
  <c r="B37" i="10"/>
  <c r="C37" i="10"/>
  <c r="C30" i="10"/>
  <c r="B30" i="10"/>
  <c r="C87" i="10"/>
  <c r="B87" i="10"/>
  <c r="C76" i="10"/>
  <c r="B76" i="10"/>
  <c r="C126" i="10"/>
  <c r="B126" i="10"/>
  <c r="C56" i="10"/>
  <c r="B56" i="10"/>
  <c r="B94" i="10"/>
  <c r="C94" i="10"/>
  <c r="B89" i="10"/>
  <c r="C89" i="10"/>
  <c r="B127" i="10"/>
  <c r="C127" i="10"/>
  <c r="C117" i="10"/>
  <c r="B117" i="10"/>
  <c r="B79" i="10"/>
  <c r="C79" i="10"/>
  <c r="B35" i="10"/>
  <c r="C35" i="10"/>
  <c r="C129" i="10"/>
  <c r="B129" i="10"/>
  <c r="B123" i="10"/>
  <c r="C123" i="10"/>
  <c r="C29" i="10"/>
  <c r="B29" i="10"/>
  <c r="B32" i="10"/>
  <c r="C32" i="10"/>
  <c r="B104" i="10"/>
  <c r="C104" i="10"/>
  <c r="B139" i="10"/>
  <c r="C139" i="10"/>
  <c r="B82" i="10"/>
  <c r="C82" i="10"/>
  <c r="B63" i="10"/>
  <c r="C63" i="10"/>
  <c r="C2" i="10"/>
  <c r="B2" i="10"/>
  <c r="B15" i="10"/>
  <c r="C15" i="10"/>
  <c r="B105" i="10"/>
  <c r="C105" i="10"/>
  <c r="B81" i="10"/>
  <c r="C81" i="10"/>
  <c r="C121" i="10"/>
  <c r="B121" i="10"/>
  <c r="C110" i="10"/>
  <c r="B110" i="10"/>
  <c r="B21" i="10"/>
  <c r="C21" i="10"/>
  <c r="B98" i="10"/>
  <c r="C98" i="10"/>
  <c r="B100" i="10"/>
  <c r="C100" i="10"/>
  <c r="B5" i="10"/>
  <c r="C5" i="10"/>
  <c r="B19" i="10"/>
  <c r="C19" i="10"/>
  <c r="C133" i="10"/>
  <c r="B133" i="10"/>
  <c r="B80" i="10"/>
  <c r="C80" i="10"/>
  <c r="B101" i="10"/>
  <c r="C101" i="10"/>
  <c r="B138" i="10"/>
  <c r="C138" i="10"/>
  <c r="B114" i="10"/>
  <c r="C114" i="10"/>
  <c r="C3" i="10"/>
  <c r="B3" i="10"/>
  <c r="C72" i="10"/>
  <c r="B72" i="10"/>
  <c r="B103" i="10"/>
  <c r="C103" i="10"/>
  <c r="B7" i="10"/>
  <c r="C7" i="10"/>
  <c r="C34" i="10"/>
  <c r="B34" i="10"/>
  <c r="B11" i="10"/>
  <c r="C11" i="10"/>
  <c r="C85" i="10"/>
  <c r="B85" i="10"/>
  <c r="B4" i="10"/>
  <c r="C4" i="10"/>
  <c r="B77" i="10"/>
  <c r="C77" i="10"/>
  <c r="B119" i="10"/>
  <c r="C119" i="10"/>
  <c r="C64" i="10"/>
  <c r="B64" i="10"/>
  <c r="B54" i="10"/>
  <c r="C54" i="10"/>
  <c r="B47" i="10"/>
  <c r="C47" i="10"/>
  <c r="B33" i="10"/>
  <c r="C33" i="10"/>
  <c r="C143" i="10"/>
  <c r="B143" i="10"/>
  <c r="B26" i="10"/>
  <c r="C26" i="10"/>
  <c r="B86" i="10"/>
  <c r="C86" i="10"/>
  <c r="B43" i="10"/>
  <c r="C43" i="10"/>
  <c r="B120" i="10"/>
  <c r="C120" i="10"/>
  <c r="B144" i="10"/>
  <c r="C144" i="10"/>
  <c r="B57" i="10"/>
  <c r="C57" i="10"/>
  <c r="C6" i="10"/>
  <c r="B6" i="10"/>
  <c r="C73" i="10"/>
  <c r="B73" i="10"/>
  <c r="C67" i="10"/>
  <c r="B67" i="10"/>
  <c r="B95" i="10"/>
  <c r="C95" i="10"/>
  <c r="B128" i="10"/>
  <c r="C128" i="10"/>
  <c r="B75" i="10"/>
  <c r="C75" i="10"/>
  <c r="C49" i="10"/>
  <c r="B49" i="10"/>
  <c r="C91" i="10"/>
  <c r="B91" i="10"/>
  <c r="B88" i="10"/>
  <c r="C88" i="10"/>
  <c r="B102" i="10"/>
  <c r="C102" i="10"/>
  <c r="C93" i="10"/>
  <c r="B93" i="10"/>
  <c r="B71" i="10"/>
  <c r="C71" i="10"/>
  <c r="B40" i="10"/>
  <c r="C40" i="10"/>
  <c r="B48" i="10"/>
  <c r="C48" i="10"/>
  <c r="B78" i="10"/>
  <c r="C78" i="10"/>
  <c r="C109" i="10"/>
  <c r="B109" i="10"/>
  <c r="C24" i="10"/>
  <c r="B24" i="10"/>
  <c r="C39" i="10"/>
  <c r="B39" i="10"/>
  <c r="B13" i="10"/>
  <c r="C13" i="10"/>
  <c r="B84" i="10"/>
  <c r="C84" i="10"/>
  <c r="B90" i="10"/>
  <c r="C90" i="10"/>
  <c r="C69" i="10"/>
  <c r="B69" i="10"/>
  <c r="C52" i="10"/>
  <c r="B52" i="10"/>
  <c r="B36" i="10"/>
  <c r="C36" i="10"/>
  <c r="B132" i="10"/>
  <c r="C132" i="10"/>
  <c r="C141" i="10"/>
  <c r="B141" i="10"/>
  <c r="C116" i="10"/>
  <c r="B116" i="10"/>
  <c r="B14" i="10"/>
  <c r="C14" i="10"/>
  <c r="C10" i="10"/>
  <c r="B10" i="10"/>
  <c r="B61" i="10"/>
  <c r="C61" i="10"/>
  <c r="B16" i="10"/>
  <c r="C16" i="10"/>
  <c r="B55" i="10"/>
  <c r="C55" i="10"/>
  <c r="C68" i="10"/>
  <c r="B68" i="10"/>
  <c r="B130" i="10"/>
  <c r="C130" i="10"/>
  <c r="C66" i="10"/>
  <c r="B66" i="10"/>
  <c r="B136" i="10"/>
  <c r="C136" i="10"/>
  <c r="C44" i="10"/>
  <c r="B44" i="10"/>
  <c r="B46" i="10"/>
  <c r="C46" i="10"/>
  <c r="B22" i="10"/>
  <c r="C22" i="10"/>
  <c r="C27" i="10"/>
  <c r="B27" i="10"/>
  <c r="C140" i="10"/>
  <c r="B140" i="10"/>
  <c r="B118" i="10"/>
  <c r="C118" i="10"/>
  <c r="B58" i="10"/>
  <c r="C58" i="10"/>
  <c r="B9" i="10"/>
  <c r="C9" i="10"/>
  <c r="C113" i="10"/>
  <c r="B113" i="10"/>
  <c r="B107" i="10"/>
  <c r="C107" i="10"/>
  <c r="B25" i="10"/>
  <c r="C25" i="10"/>
  <c r="B20" i="10"/>
  <c r="C20" i="10"/>
  <c r="C131" i="10"/>
  <c r="B131" i="10"/>
  <c r="C70" i="10"/>
  <c r="B70" i="10"/>
  <c r="B31" i="10"/>
  <c r="C31" i="10"/>
  <c r="BV285" i="35"/>
  <c r="CB287" i="35"/>
  <c r="BV286" i="35"/>
  <c r="CB288" i="35"/>
  <c r="CE285" i="35"/>
  <c r="CE286" i="35"/>
  <c r="CE287" i="35"/>
  <c r="CE288" i="35"/>
  <c r="CE289" i="35"/>
  <c r="BM286" i="35"/>
  <c r="BV287" i="35"/>
  <c r="CB286" i="35"/>
  <c r="BP285" i="35"/>
  <c r="BV288" i="35"/>
  <c r="BY285" i="35"/>
  <c r="BY286" i="35"/>
  <c r="BY287" i="35"/>
  <c r="BY288" i="35"/>
  <c r="BY289" i="35"/>
  <c r="BS288" i="35"/>
  <c r="BJ285" i="35"/>
  <c r="BP288" i="35"/>
  <c r="BS285" i="35"/>
  <c r="BS286" i="35"/>
  <c r="BS287" i="35"/>
  <c r="CB285" i="35"/>
  <c r="C149" i="10"/>
  <c r="B149" i="10"/>
  <c r="C157" i="10"/>
  <c r="B157" i="10"/>
  <c r="C167" i="10"/>
  <c r="B167" i="10"/>
  <c r="C175" i="10"/>
  <c r="B175" i="10"/>
  <c r="C185" i="10"/>
  <c r="B185" i="10"/>
  <c r="C195" i="10"/>
  <c r="B195" i="10"/>
  <c r="C177" i="10"/>
  <c r="B177" i="10"/>
  <c r="C197" i="10"/>
  <c r="B197" i="10"/>
  <c r="B170" i="10"/>
  <c r="C170" i="10"/>
  <c r="C161" i="10"/>
  <c r="B161" i="10"/>
  <c r="C189" i="10"/>
  <c r="B189" i="10"/>
  <c r="G250" i="35"/>
  <c r="C194" i="10"/>
  <c r="G219" i="35"/>
  <c r="G279" i="35"/>
  <c r="G282" i="35"/>
  <c r="E169" i="10"/>
  <c r="E155" i="10"/>
  <c r="E173" i="10"/>
  <c r="B153" i="10"/>
  <c r="C160" i="10"/>
  <c r="G229" i="35"/>
  <c r="G248" i="35"/>
  <c r="G255" i="35"/>
  <c r="G277" i="35"/>
  <c r="BP270" i="35"/>
  <c r="BS269" i="35"/>
  <c r="BV265" i="35"/>
  <c r="BY267" i="35"/>
  <c r="CB272" i="35"/>
  <c r="CE268" i="35"/>
  <c r="BJ266" i="35"/>
  <c r="BP271" i="35"/>
  <c r="BS270" i="35"/>
  <c r="BV266" i="35"/>
  <c r="BY268" i="35"/>
  <c r="CB265" i="35"/>
  <c r="CE269" i="35"/>
  <c r="BP272" i="35"/>
  <c r="BS271" i="35"/>
  <c r="BV267" i="35"/>
  <c r="BY269" i="35"/>
  <c r="CB266" i="35"/>
  <c r="CE270" i="35"/>
  <c r="BM267" i="35"/>
  <c r="BS272" i="35"/>
  <c r="BV268" i="35"/>
  <c r="BY270" i="35"/>
  <c r="CB267" i="35"/>
  <c r="CE271" i="35"/>
  <c r="BM271" i="35"/>
  <c r="BS265" i="35"/>
  <c r="BV269" i="35"/>
  <c r="BY271" i="35"/>
  <c r="CB268" i="35"/>
  <c r="CE272" i="35"/>
  <c r="BM272" i="35"/>
  <c r="BP265" i="35"/>
  <c r="BS266" i="35"/>
  <c r="BV270" i="35"/>
  <c r="BY272" i="35"/>
  <c r="CB269" i="35"/>
  <c r="CE265" i="35"/>
  <c r="BP266" i="35"/>
  <c r="BS267" i="35"/>
  <c r="BV271" i="35"/>
  <c r="BY265" i="35"/>
  <c r="CB270" i="35"/>
  <c r="CE266" i="35"/>
  <c r="BP269" i="35"/>
  <c r="BS268" i="35"/>
  <c r="BV272" i="35"/>
  <c r="BY266" i="35"/>
  <c r="BY273" i="35"/>
  <c r="CB271" i="35"/>
  <c r="CE267" i="35"/>
  <c r="E150" i="10"/>
  <c r="G224" i="35"/>
  <c r="G301" i="35"/>
  <c r="BM237" i="35"/>
  <c r="BP238" i="35"/>
  <c r="BS241" i="35"/>
  <c r="BV237" i="35"/>
  <c r="BY239" i="35"/>
  <c r="CB244" i="35"/>
  <c r="CE240" i="35"/>
  <c r="BM240" i="35"/>
  <c r="BP239" i="35"/>
  <c r="BS242" i="35"/>
  <c r="BV238" i="35"/>
  <c r="BY240" i="35"/>
  <c r="CB237" i="35"/>
  <c r="CE241" i="35"/>
  <c r="BM244" i="35"/>
  <c r="BP242" i="35"/>
  <c r="BS243" i="35"/>
  <c r="BV239" i="35"/>
  <c r="BY241" i="35"/>
  <c r="CB238" i="35"/>
  <c r="CE242" i="35"/>
  <c r="BP243" i="35"/>
  <c r="BS244" i="35"/>
  <c r="BV240" i="35"/>
  <c r="BY242" i="35"/>
  <c r="CB239" i="35"/>
  <c r="CE243" i="35"/>
  <c r="BP244" i="35"/>
  <c r="BS237" i="35"/>
  <c r="BV241" i="35"/>
  <c r="BV242" i="35"/>
  <c r="BV243" i="35"/>
  <c r="BV244" i="35"/>
  <c r="BV245" i="35"/>
  <c r="BY243" i="35"/>
  <c r="CB240" i="35"/>
  <c r="CE244" i="35"/>
  <c r="BS238" i="35"/>
  <c r="BY244" i="35"/>
  <c r="CB241" i="35"/>
  <c r="CE237" i="35"/>
  <c r="BS239" i="35"/>
  <c r="BY237" i="35"/>
  <c r="CB242" i="35"/>
  <c r="CE238" i="35"/>
  <c r="BP237" i="35"/>
  <c r="BS240" i="35"/>
  <c r="BY238" i="35"/>
  <c r="CB243" i="35"/>
  <c r="CE239" i="35"/>
  <c r="J167" i="10"/>
  <c r="E156" i="10"/>
  <c r="E172" i="10"/>
  <c r="E195" i="10"/>
  <c r="B171" i="10"/>
  <c r="B187" i="10"/>
  <c r="C200" i="10"/>
  <c r="G225" i="35"/>
  <c r="G233" i="35"/>
  <c r="G249" i="35"/>
  <c r="G275" i="35"/>
  <c r="BJ239" i="35"/>
  <c r="BJ287" i="35"/>
  <c r="BM266" i="35"/>
  <c r="G276" i="35"/>
  <c r="CE299" i="35"/>
  <c r="BV289" i="35"/>
  <c r="C180" i="10"/>
  <c r="B180" i="10"/>
  <c r="C154" i="10"/>
  <c r="B154" i="10"/>
  <c r="C162" i="10"/>
  <c r="B162" i="10"/>
  <c r="C172" i="10"/>
  <c r="B172" i="10"/>
  <c r="C190" i="10"/>
  <c r="B190" i="10"/>
  <c r="B178" i="10"/>
  <c r="C178" i="10"/>
  <c r="B148" i="10"/>
  <c r="C148" i="10"/>
  <c r="B156" i="10"/>
  <c r="C156" i="10"/>
  <c r="B166" i="10"/>
  <c r="C166" i="10"/>
  <c r="B174" i="10"/>
  <c r="C174" i="10"/>
  <c r="C196" i="10"/>
  <c r="B196" i="10"/>
  <c r="G252" i="35"/>
  <c r="J176" i="10"/>
  <c r="E159" i="10"/>
  <c r="G221" i="35"/>
  <c r="E152" i="10"/>
  <c r="B158" i="10"/>
  <c r="B176" i="10"/>
  <c r="B155" i="10"/>
  <c r="B173" i="10"/>
  <c r="C179" i="10"/>
  <c r="C191" i="10"/>
  <c r="B191" i="10"/>
  <c r="G231" i="35"/>
  <c r="E157" i="10"/>
  <c r="G262" i="35"/>
  <c r="J181" i="10"/>
  <c r="B150" i="10"/>
  <c r="B168" i="10"/>
  <c r="B186" i="10"/>
  <c r="E162" i="10"/>
  <c r="G226" i="35"/>
  <c r="G253" i="35"/>
  <c r="J178" i="10"/>
  <c r="J170" i="10"/>
  <c r="B163" i="10"/>
  <c r="B181" i="10"/>
  <c r="J166" i="10"/>
  <c r="B151" i="10"/>
  <c r="B169" i="10"/>
  <c r="B184" i="10"/>
  <c r="G280" i="35"/>
  <c r="J186" i="10"/>
  <c r="G234" i="35"/>
  <c r="G251" i="35"/>
  <c r="G260" i="35"/>
  <c r="E187" i="10"/>
  <c r="G228" i="35"/>
  <c r="BM285" i="35"/>
  <c r="BM239" i="35"/>
  <c r="K270" i="35"/>
  <c r="N270" i="35"/>
  <c r="Q268" i="35"/>
  <c r="T266" i="35"/>
  <c r="W272" i="35"/>
  <c r="Z270" i="35"/>
  <c r="AC268" i="35"/>
  <c r="AF266" i="35"/>
  <c r="AI272" i="35"/>
  <c r="AL270" i="35"/>
  <c r="AO268" i="35"/>
  <c r="AR266" i="35"/>
  <c r="AU272" i="35"/>
  <c r="AX270" i="35"/>
  <c r="BA268" i="35"/>
  <c r="BD266" i="35"/>
  <c r="BG272" i="35"/>
  <c r="BJ270" i="35"/>
  <c r="BM268" i="35"/>
  <c r="K271" i="35"/>
  <c r="N271" i="35"/>
  <c r="Q269" i="35"/>
  <c r="T267" i="35"/>
  <c r="W265" i="35"/>
  <c r="Z271" i="35"/>
  <c r="AC269" i="35"/>
  <c r="AF267" i="35"/>
  <c r="AI265" i="35"/>
  <c r="AL271" i="35"/>
  <c r="AO269" i="35"/>
  <c r="AR267" i="35"/>
  <c r="AU265" i="35"/>
  <c r="AX271" i="35"/>
  <c r="BA269" i="35"/>
  <c r="BD267" i="35"/>
  <c r="BG265" i="35"/>
  <c r="BJ271" i="35"/>
  <c r="BM269" i="35"/>
  <c r="BP267" i="35"/>
  <c r="K272" i="35"/>
  <c r="N272" i="35"/>
  <c r="Q270" i="35"/>
  <c r="T268" i="35"/>
  <c r="W266" i="35"/>
  <c r="Z272" i="35"/>
  <c r="AC270" i="35"/>
  <c r="AF268" i="35"/>
  <c r="AI266" i="35"/>
  <c r="AL272" i="35"/>
  <c r="AO270" i="35"/>
  <c r="AR268" i="35"/>
  <c r="AU266" i="35"/>
  <c r="AX272" i="35"/>
  <c r="BA270" i="35"/>
  <c r="BD268" i="35"/>
  <c r="BG266" i="35"/>
  <c r="BJ272" i="35"/>
  <c r="BM270" i="35"/>
  <c r="BP268" i="35"/>
  <c r="K265" i="35"/>
  <c r="N265" i="35"/>
  <c r="Q271" i="35"/>
  <c r="T269" i="35"/>
  <c r="W267" i="35"/>
  <c r="Z265" i="35"/>
  <c r="AC271" i="35"/>
  <c r="AF269" i="35"/>
  <c r="AI267" i="35"/>
  <c r="AL265" i="35"/>
  <c r="AO271" i="35"/>
  <c r="AR269" i="35"/>
  <c r="AU267" i="35"/>
  <c r="AX265" i="35"/>
  <c r="BA271" i="35"/>
  <c r="BD269" i="35"/>
  <c r="BG267" i="35"/>
  <c r="BJ265" i="35"/>
  <c r="K266" i="35"/>
  <c r="N266" i="35"/>
  <c r="Q272" i="35"/>
  <c r="T270" i="35"/>
  <c r="W268" i="35"/>
  <c r="Z266" i="35"/>
  <c r="AC272" i="35"/>
  <c r="AF270" i="35"/>
  <c r="AI268" i="35"/>
  <c r="AL266" i="35"/>
  <c r="AO272" i="35"/>
  <c r="AR270" i="35"/>
  <c r="AU268" i="35"/>
  <c r="AX266" i="35"/>
  <c r="BA272" i="35"/>
  <c r="BD270" i="35"/>
  <c r="BG268" i="35"/>
  <c r="K267" i="35"/>
  <c r="N267" i="35"/>
  <c r="Q265" i="35"/>
  <c r="T271" i="35"/>
  <c r="W269" i="35"/>
  <c r="Z267" i="35"/>
  <c r="AC265" i="35"/>
  <c r="AF271" i="35"/>
  <c r="AI269" i="35"/>
  <c r="AL267" i="35"/>
  <c r="AO265" i="35"/>
  <c r="AR271" i="35"/>
  <c r="AU269" i="35"/>
  <c r="AX267" i="35"/>
  <c r="BA265" i="35"/>
  <c r="BD271" i="35"/>
  <c r="BG269" i="35"/>
  <c r="BJ267" i="35"/>
  <c r="BM265" i="35"/>
  <c r="K268" i="35"/>
  <c r="N268" i="35"/>
  <c r="Q266" i="35"/>
  <c r="T272" i="35"/>
  <c r="W270" i="35"/>
  <c r="Z268" i="35"/>
  <c r="AC266" i="35"/>
  <c r="AF272" i="35"/>
  <c r="AI270" i="35"/>
  <c r="AL268" i="35"/>
  <c r="AO266" i="35"/>
  <c r="AR272" i="35"/>
  <c r="AU270" i="35"/>
  <c r="AX268" i="35"/>
  <c r="BA266" i="35"/>
  <c r="BD272" i="35"/>
  <c r="BG270" i="35"/>
  <c r="K269" i="35"/>
  <c r="N269" i="35"/>
  <c r="Q267" i="35"/>
  <c r="T265" i="35"/>
  <c r="W271" i="35"/>
  <c r="Z269" i="35"/>
  <c r="AC267" i="35"/>
  <c r="AF265" i="35"/>
  <c r="AI271" i="35"/>
  <c r="AL269" i="35"/>
  <c r="AO267" i="35"/>
  <c r="AR265" i="35"/>
  <c r="AU271" i="35"/>
  <c r="AX269" i="35"/>
  <c r="BA267" i="35"/>
  <c r="BD265" i="35"/>
  <c r="BG271" i="35"/>
  <c r="BJ269" i="35"/>
  <c r="N243" i="35"/>
  <c r="Q241" i="35"/>
  <c r="T239" i="35"/>
  <c r="W237" i="35"/>
  <c r="Z243" i="35"/>
  <c r="AC241" i="35"/>
  <c r="AF239" i="35"/>
  <c r="AI237" i="35"/>
  <c r="AL243" i="35"/>
  <c r="AO241" i="35"/>
  <c r="AR239" i="35"/>
  <c r="AU237" i="35"/>
  <c r="AX243" i="35"/>
  <c r="BA241" i="35"/>
  <c r="BD239" i="35"/>
  <c r="BG237" i="35"/>
  <c r="BJ243" i="35"/>
  <c r="BM241" i="35"/>
  <c r="Q242" i="35"/>
  <c r="T240" i="35"/>
  <c r="W238" i="35"/>
  <c r="Z244" i="35"/>
  <c r="AC242" i="35"/>
  <c r="AF240" i="35"/>
  <c r="AI238" i="35"/>
  <c r="AL244" i="35"/>
  <c r="AO242" i="35"/>
  <c r="AR240" i="35"/>
  <c r="AU238" i="35"/>
  <c r="AX244" i="35"/>
  <c r="BA242" i="35"/>
  <c r="BD240" i="35"/>
  <c r="BG238" i="35"/>
  <c r="BJ244" i="35"/>
  <c r="BM242" i="35"/>
  <c r="BP240" i="35"/>
  <c r="BP241" i="35"/>
  <c r="BP245" i="35"/>
  <c r="N237" i="35"/>
  <c r="Q243" i="35"/>
  <c r="T241" i="35"/>
  <c r="W239" i="35"/>
  <c r="Z237" i="35"/>
  <c r="AC243" i="35"/>
  <c r="AF241" i="35"/>
  <c r="AI239" i="35"/>
  <c r="AL237" i="35"/>
  <c r="AO243" i="35"/>
  <c r="AR241" i="35"/>
  <c r="AU239" i="35"/>
  <c r="AX237" i="35"/>
  <c r="BA243" i="35"/>
  <c r="BD241" i="35"/>
  <c r="BG239" i="35"/>
  <c r="BJ237" i="35"/>
  <c r="BM243" i="35"/>
  <c r="K238" i="35"/>
  <c r="N238" i="35"/>
  <c r="Q244" i="35"/>
  <c r="T242" i="35"/>
  <c r="W240" i="35"/>
  <c r="Z238" i="35"/>
  <c r="AC244" i="35"/>
  <c r="AF242" i="35"/>
  <c r="AI240" i="35"/>
  <c r="AL238" i="35"/>
  <c r="AO244" i="35"/>
  <c r="AR242" i="35"/>
  <c r="AU240" i="35"/>
  <c r="AX238" i="35"/>
  <c r="BA244" i="35"/>
  <c r="BD242" i="35"/>
  <c r="BG240" i="35"/>
  <c r="BJ238" i="35"/>
  <c r="N239" i="35"/>
  <c r="Q237" i="35"/>
  <c r="T243" i="35"/>
  <c r="W241" i="35"/>
  <c r="Z239" i="35"/>
  <c r="AC237" i="35"/>
  <c r="AF243" i="35"/>
  <c r="AI241" i="35"/>
  <c r="AL239" i="35"/>
  <c r="AO237" i="35"/>
  <c r="AR243" i="35"/>
  <c r="AU241" i="35"/>
  <c r="AX239" i="35"/>
  <c r="BA237" i="35"/>
  <c r="BD243" i="35"/>
  <c r="BG241" i="35"/>
  <c r="Q238" i="35"/>
  <c r="T244" i="35"/>
  <c r="W242" i="35"/>
  <c r="Z240" i="35"/>
  <c r="AC238" i="35"/>
  <c r="AF244" i="35"/>
  <c r="AI242" i="35"/>
  <c r="AL240" i="35"/>
  <c r="AO238" i="35"/>
  <c r="AR244" i="35"/>
  <c r="AU242" i="35"/>
  <c r="AX240" i="35"/>
  <c r="BA238" i="35"/>
  <c r="BD244" i="35"/>
  <c r="BG242" i="35"/>
  <c r="BJ240" i="35"/>
  <c r="BM238" i="35"/>
  <c r="K241" i="35"/>
  <c r="N241" i="35"/>
  <c r="Q239" i="35"/>
  <c r="T237" i="35"/>
  <c r="W243" i="35"/>
  <c r="Z241" i="35"/>
  <c r="AC239" i="35"/>
  <c r="AF237" i="35"/>
  <c r="AI243" i="35"/>
  <c r="AL241" i="35"/>
  <c r="AO239" i="35"/>
  <c r="AR237" i="35"/>
  <c r="AU243" i="35"/>
  <c r="AX241" i="35"/>
  <c r="BA239" i="35"/>
  <c r="BD237" i="35"/>
  <c r="BG243" i="35"/>
  <c r="K242" i="35"/>
  <c r="N242" i="35"/>
  <c r="Q240" i="35"/>
  <c r="T238" i="35"/>
  <c r="W244" i="35"/>
  <c r="Z242" i="35"/>
  <c r="AC240" i="35"/>
  <c r="AF238" i="35"/>
  <c r="AI244" i="35"/>
  <c r="AL242" i="35"/>
  <c r="AO240" i="35"/>
  <c r="AR238" i="35"/>
  <c r="AU244" i="35"/>
  <c r="AX242" i="35"/>
  <c r="BA240" i="35"/>
  <c r="BD238" i="35"/>
  <c r="BG244" i="35"/>
  <c r="BJ242" i="35"/>
  <c r="BJ268" i="35"/>
  <c r="K243" i="35"/>
  <c r="BJ241" i="35"/>
  <c r="T304" i="35"/>
  <c r="T305" i="35"/>
  <c r="AF304" i="35"/>
  <c r="AF305" i="35"/>
  <c r="AR304" i="35"/>
  <c r="AR305" i="35"/>
  <c r="BD304" i="35"/>
  <c r="BD305" i="35"/>
  <c r="K304" i="35"/>
  <c r="K305" i="35"/>
  <c r="W304" i="35"/>
  <c r="W305" i="35"/>
  <c r="AI304" i="35"/>
  <c r="AI305" i="35"/>
  <c r="AU304" i="35"/>
  <c r="AU305" i="35"/>
  <c r="BG304" i="35"/>
  <c r="BG305" i="35"/>
  <c r="N304" i="35"/>
  <c r="N305" i="35"/>
  <c r="Z304" i="35"/>
  <c r="Z305" i="35"/>
  <c r="AL304" i="35"/>
  <c r="AL305" i="35"/>
  <c r="AX304" i="35"/>
  <c r="AX305" i="35"/>
  <c r="Q304" i="35"/>
  <c r="Q305" i="35"/>
  <c r="AC304" i="35"/>
  <c r="AC305" i="35"/>
  <c r="AO304" i="35"/>
  <c r="AO305" i="35"/>
  <c r="BA304" i="35"/>
  <c r="BA305" i="35"/>
  <c r="Q287" i="35"/>
  <c r="T285" i="35"/>
  <c r="AC287" i="35"/>
  <c r="AF285" i="35"/>
  <c r="AO287" i="35"/>
  <c r="AR285" i="35"/>
  <c r="BA287" i="35"/>
  <c r="BD285" i="35"/>
  <c r="BM287" i="35"/>
  <c r="Q288" i="35"/>
  <c r="T286" i="35"/>
  <c r="AC288" i="35"/>
  <c r="AF286" i="35"/>
  <c r="AO288" i="35"/>
  <c r="AR286" i="35"/>
  <c r="BA288" i="35"/>
  <c r="BD286" i="35"/>
  <c r="BM288" i="35"/>
  <c r="BP286" i="35"/>
  <c r="T287" i="35"/>
  <c r="W285" i="35"/>
  <c r="W286" i="35"/>
  <c r="W287" i="35"/>
  <c r="W288" i="35"/>
  <c r="W289" i="35"/>
  <c r="AF287" i="35"/>
  <c r="AI285" i="35"/>
  <c r="AR287" i="35"/>
  <c r="AU285" i="35"/>
  <c r="AU286" i="35"/>
  <c r="AU287" i="35"/>
  <c r="AU288" i="35"/>
  <c r="AU289" i="35"/>
  <c r="BD287" i="35"/>
  <c r="BG285" i="35"/>
  <c r="BP287" i="35"/>
  <c r="T288" i="35"/>
  <c r="AF288" i="35"/>
  <c r="AI286" i="35"/>
  <c r="AR288" i="35"/>
  <c r="BD288" i="35"/>
  <c r="BG286" i="35"/>
  <c r="K285" i="35"/>
  <c r="N285" i="35"/>
  <c r="Z285" i="35"/>
  <c r="AI287" i="35"/>
  <c r="AL285" i="35"/>
  <c r="AX285" i="35"/>
  <c r="BG287" i="35"/>
  <c r="K286" i="35"/>
  <c r="N286" i="35"/>
  <c r="Z286" i="35"/>
  <c r="AI288" i="35"/>
  <c r="AL286" i="35"/>
  <c r="AX286" i="35"/>
  <c r="BG288" i="35"/>
  <c r="BJ286" i="35"/>
  <c r="BJ288" i="35"/>
  <c r="BJ289" i="35"/>
  <c r="K287" i="35"/>
  <c r="N287" i="35"/>
  <c r="Q285" i="35"/>
  <c r="Z287" i="35"/>
  <c r="AC285" i="35"/>
  <c r="AL287" i="35"/>
  <c r="AO285" i="35"/>
  <c r="AX287" i="35"/>
  <c r="BA285" i="35"/>
  <c r="K288" i="35"/>
  <c r="N288" i="35"/>
  <c r="Q286" i="35"/>
  <c r="Z288" i="35"/>
  <c r="AC286" i="35"/>
  <c r="AL288" i="35"/>
  <c r="AO286" i="35"/>
  <c r="AX288" i="35"/>
  <c r="BA286" i="35"/>
  <c r="W298" i="35"/>
  <c r="AI298" i="35"/>
  <c r="AU298" i="35"/>
  <c r="BG298" i="35"/>
  <c r="N297" i="35"/>
  <c r="Z297" i="35"/>
  <c r="AL297" i="35"/>
  <c r="AX297" i="35"/>
  <c r="BJ297" i="35"/>
  <c r="N298" i="35"/>
  <c r="Z298" i="35"/>
  <c r="AL298" i="35"/>
  <c r="AX298" i="35"/>
  <c r="BJ298" i="35"/>
  <c r="Q297" i="35"/>
  <c r="Q298" i="35"/>
  <c r="Q299" i="35"/>
  <c r="AC297" i="35"/>
  <c r="AO297" i="35"/>
  <c r="BA297" i="35"/>
  <c r="AC298" i="35"/>
  <c r="AO298" i="35"/>
  <c r="BA298" i="35"/>
  <c r="T297" i="35"/>
  <c r="AF297" i="35"/>
  <c r="AR297" i="35"/>
  <c r="BD297" i="35"/>
  <c r="K298" i="35"/>
  <c r="K299" i="35"/>
  <c r="T298" i="35"/>
  <c r="AF298" i="35"/>
  <c r="AR298" i="35"/>
  <c r="BD298" i="35"/>
  <c r="W297" i="35"/>
  <c r="W299" i="35"/>
  <c r="AI297" i="35"/>
  <c r="AU297" i="35"/>
  <c r="BG297" i="35"/>
  <c r="N240" i="35"/>
  <c r="K240" i="35"/>
  <c r="K239" i="35"/>
  <c r="K237" i="35"/>
  <c r="N244" i="35"/>
  <c r="K244" i="35"/>
  <c r="CB289" i="35"/>
  <c r="BS289" i="35"/>
  <c r="K289" i="35"/>
  <c r="BS245" i="35"/>
  <c r="BS273" i="35"/>
  <c r="CB273" i="35"/>
  <c r="BD299" i="35"/>
  <c r="CE245" i="35"/>
  <c r="CE273" i="35"/>
  <c r="BV273" i="35"/>
  <c r="BP289" i="35"/>
  <c r="BP273" i="35"/>
  <c r="CB245" i="35"/>
  <c r="AU299" i="35"/>
  <c r="AC299" i="35"/>
  <c r="Z299" i="35"/>
  <c r="BY245" i="35"/>
  <c r="BD273" i="35"/>
  <c r="AF273" i="35"/>
  <c r="BD245" i="35"/>
  <c r="AR245" i="35"/>
  <c r="AR273" i="35"/>
  <c r="AR289" i="35"/>
  <c r="AR299" i="35"/>
  <c r="K245" i="35"/>
  <c r="BA299" i="35"/>
  <c r="T245" i="35"/>
  <c r="AF245" i="35"/>
  <c r="BM245" i="35"/>
  <c r="T273" i="35"/>
  <c r="AF299" i="35"/>
  <c r="AX299" i="35"/>
  <c r="BG289" i="35"/>
  <c r="AU245" i="35"/>
  <c r="W245" i="35"/>
  <c r="AU273" i="35"/>
  <c r="W273" i="35"/>
  <c r="T299" i="35"/>
  <c r="AL299" i="35"/>
  <c r="Q289" i="35"/>
  <c r="AL289" i="35"/>
  <c r="T289" i="35"/>
  <c r="AO245" i="35"/>
  <c r="Q245" i="35"/>
  <c r="AC273" i="35"/>
  <c r="BJ273" i="35"/>
  <c r="BJ245" i="35"/>
  <c r="BJ299" i="35"/>
  <c r="AI289" i="35"/>
  <c r="BG245" i="35"/>
  <c r="BG273" i="35"/>
  <c r="BG299" i="35"/>
  <c r="AI245" i="35"/>
  <c r="K273" i="35"/>
  <c r="AI273" i="35"/>
  <c r="N299" i="35"/>
  <c r="BA289" i="35"/>
  <c r="Z289" i="35"/>
  <c r="BD289" i="35"/>
  <c r="AX245" i="35"/>
  <c r="Z245" i="35"/>
  <c r="BA273" i="35"/>
  <c r="AL273" i="35"/>
  <c r="N273" i="35"/>
  <c r="BM289" i="35"/>
  <c r="BM273" i="35"/>
  <c r="AO289" i="35"/>
  <c r="N289" i="35"/>
  <c r="BA245" i="35"/>
  <c r="AC245" i="35"/>
  <c r="AI299" i="35"/>
  <c r="AO299" i="35"/>
  <c r="AC289" i="35"/>
  <c r="AX289" i="35"/>
  <c r="AF289" i="35"/>
  <c r="AL245" i="35"/>
  <c r="N245" i="35"/>
  <c r="AO273" i="35"/>
  <c r="Q273" i="35"/>
  <c r="AX273" i="35"/>
  <c r="Z273" i="35"/>
  <c r="C19" i="11" l="1"/>
  <c r="D19" i="11"/>
  <c r="E19" i="11"/>
  <c r="C5" i="11"/>
  <c r="D5" i="11"/>
  <c r="E5" i="11"/>
  <c r="C12" i="11"/>
  <c r="D12" i="11"/>
  <c r="E12" i="11"/>
  <c r="C30" i="11"/>
  <c r="D30" i="11"/>
  <c r="E30" i="11"/>
  <c r="C3" i="11"/>
  <c r="D3" i="11"/>
  <c r="E3" i="11"/>
  <c r="C36" i="11"/>
  <c r="D36" i="11"/>
  <c r="E36" i="11"/>
  <c r="C20" i="11"/>
  <c r="D20" i="11"/>
  <c r="E20" i="11"/>
  <c r="C34" i="11"/>
  <c r="D34" i="11"/>
  <c r="E34" i="11"/>
  <c r="C22" i="11"/>
  <c r="D22" i="11"/>
  <c r="E22" i="11"/>
  <c r="C25" i="11"/>
  <c r="D25" i="11"/>
  <c r="E25" i="11"/>
  <c r="C16" i="11"/>
  <c r="D16" i="11"/>
  <c r="E16" i="11"/>
  <c r="C17" i="11"/>
  <c r="D17" i="11"/>
  <c r="E17" i="11"/>
  <c r="C8" i="11"/>
  <c r="D8" i="11"/>
  <c r="E8" i="11"/>
  <c r="C15" i="11"/>
  <c r="D15" i="11"/>
  <c r="E15" i="11"/>
  <c r="C13" i="11"/>
  <c r="D13" i="11"/>
  <c r="E13" i="11"/>
  <c r="C24" i="11"/>
  <c r="D24" i="11"/>
  <c r="E24" i="11"/>
  <c r="C7" i="11"/>
  <c r="D7" i="11"/>
  <c r="E7" i="11"/>
  <c r="C26" i="11"/>
  <c r="D26" i="11"/>
  <c r="E26" i="11"/>
  <c r="C4" i="11"/>
  <c r="D4" i="11"/>
  <c r="E4" i="11"/>
  <c r="C29" i="11"/>
  <c r="D29" i="11"/>
  <c r="E29" i="11"/>
  <c r="C6" i="11"/>
  <c r="D6" i="11"/>
  <c r="E6" i="11"/>
  <c r="C21" i="11"/>
  <c r="D21" i="11"/>
  <c r="E21" i="11"/>
  <c r="C9" i="11"/>
  <c r="D9" i="11"/>
  <c r="E9" i="11"/>
  <c r="C14" i="11"/>
  <c r="D14" i="11"/>
  <c r="E14" i="11"/>
  <c r="C2" i="11"/>
  <c r="D2" i="11"/>
  <c r="E2" i="11"/>
  <c r="C18" i="11"/>
  <c r="D18" i="11"/>
  <c r="E18" i="11"/>
  <c r="C11" i="11"/>
  <c r="D11" i="11"/>
  <c r="E11" i="11"/>
  <c r="C33" i="11"/>
  <c r="D33" i="11"/>
  <c r="E33" i="11"/>
  <c r="C27" i="11"/>
  <c r="D27" i="11"/>
  <c r="E27" i="11"/>
  <c r="C28" i="11"/>
  <c r="D28" i="11"/>
  <c r="E28" i="11"/>
  <c r="C35" i="11"/>
  <c r="D35" i="11"/>
  <c r="E35" i="11"/>
  <c r="C37" i="11"/>
  <c r="D37" i="11"/>
  <c r="E37" i="11"/>
  <c r="C10" i="11"/>
  <c r="D10" i="11"/>
  <c r="E10" i="11"/>
  <c r="C31" i="11"/>
  <c r="D31" i="11"/>
  <c r="E31" i="11"/>
  <c r="C23" i="11"/>
  <c r="D23" i="11"/>
  <c r="E23" i="11"/>
  <c r="C32" i="11"/>
  <c r="D32" i="11"/>
  <c r="E32" i="11"/>
  <c r="B19" i="11" l="1"/>
  <c r="I19" i="11"/>
  <c r="B12" i="11"/>
  <c r="I12" i="11"/>
  <c r="B5" i="11"/>
  <c r="I5" i="11"/>
  <c r="B30" i="11"/>
  <c r="I30" i="11"/>
  <c r="B3" i="11"/>
  <c r="I3" i="11"/>
  <c r="B36" i="11"/>
  <c r="I36" i="11"/>
  <c r="B34" i="11"/>
  <c r="I34" i="11"/>
  <c r="B20" i="11"/>
  <c r="I20" i="11"/>
  <c r="B25" i="11"/>
  <c r="I25" i="11"/>
  <c r="B22" i="11"/>
  <c r="I22" i="11"/>
  <c r="B17" i="11"/>
  <c r="I17" i="11"/>
  <c r="B16" i="11"/>
  <c r="I16" i="11"/>
  <c r="B15" i="11"/>
  <c r="I15" i="11"/>
  <c r="B8" i="11"/>
  <c r="I8" i="11"/>
  <c r="B24" i="11"/>
  <c r="I24" i="11"/>
  <c r="B13" i="11"/>
  <c r="I13" i="11"/>
  <c r="B26" i="11"/>
  <c r="I26" i="11"/>
  <c r="B7" i="11"/>
  <c r="I7" i="11"/>
  <c r="B29" i="11"/>
  <c r="I29" i="11"/>
  <c r="B4" i="11"/>
  <c r="I4" i="11"/>
  <c r="B21" i="11"/>
  <c r="I21" i="11"/>
  <c r="B6" i="11"/>
  <c r="I6" i="11"/>
  <c r="B14" i="11"/>
  <c r="I14" i="11"/>
  <c r="B9" i="11"/>
  <c r="I9" i="11"/>
  <c r="B18" i="11"/>
  <c r="I18" i="11"/>
  <c r="B2" i="11"/>
  <c r="I2" i="11"/>
  <c r="B33" i="11"/>
  <c r="I33" i="11"/>
  <c r="B11" i="11"/>
  <c r="I11" i="11"/>
  <c r="B28" i="11"/>
  <c r="I28" i="11"/>
  <c r="B27" i="11"/>
  <c r="I27" i="11"/>
  <c r="B37" i="11"/>
  <c r="I37" i="11"/>
  <c r="B35" i="11"/>
  <c r="I35" i="11"/>
  <c r="B31" i="11"/>
  <c r="I31" i="11"/>
  <c r="B10" i="11"/>
  <c r="I10" i="11"/>
  <c r="B32" i="11"/>
  <c r="I32" i="11"/>
  <c r="B23" i="11"/>
  <c r="I23" i="11"/>
  <c r="BQ16" i="10" l="1"/>
  <c r="BR14" i="10"/>
  <c r="BS10" i="10"/>
  <c r="CE17" i="10"/>
  <c r="CI15" i="10"/>
  <c r="CM12" i="10"/>
  <c r="CO13" i="10"/>
  <c r="CR11" i="10"/>
  <c r="BJ10" i="10"/>
  <c r="BK16" i="10"/>
  <c r="BS11" i="10"/>
  <c r="CG13" i="10"/>
  <c r="CJ15" i="10"/>
  <c r="CL12" i="10"/>
  <c r="CN14" i="10"/>
  <c r="CO17" i="10"/>
  <c r="BL11" i="10"/>
  <c r="BR15" i="10"/>
  <c r="BV12" i="10"/>
  <c r="BY17" i="10"/>
  <c r="BZ10" i="10"/>
  <c r="CC13" i="10"/>
  <c r="CP16" i="10"/>
  <c r="CR14" i="10"/>
  <c r="BM15" i="10"/>
  <c r="BO11" i="10"/>
  <c r="BP17" i="10"/>
  <c r="CB14" i="10"/>
  <c r="CF12" i="10"/>
  <c r="CG16" i="10"/>
  <c r="CH13" i="10"/>
  <c r="CQ10" i="10"/>
  <c r="BL10" i="10"/>
  <c r="BM12" i="10"/>
  <c r="BP14" i="10"/>
  <c r="BT15" i="10"/>
  <c r="BY16" i="10"/>
  <c r="CA17" i="10"/>
  <c r="CH11" i="10"/>
  <c r="CN13" i="10"/>
  <c r="BK17" i="10"/>
  <c r="BM13" i="10"/>
  <c r="BP16" i="10"/>
  <c r="BX14" i="10"/>
  <c r="BY12" i="10"/>
  <c r="CD15" i="10"/>
  <c r="CG11" i="10"/>
  <c r="CK10" i="10"/>
  <c r="BJ17" i="10"/>
  <c r="BT16" i="10"/>
  <c r="BV14" i="10"/>
  <c r="BY13" i="10"/>
  <c r="CH15" i="10"/>
  <c r="CI12" i="10"/>
  <c r="CM11" i="10"/>
  <c r="CO10" i="10"/>
  <c r="BL17" i="10"/>
  <c r="BP15" i="10"/>
  <c r="BT14" i="10"/>
  <c r="BZ13" i="10"/>
  <c r="CA10" i="10"/>
  <c r="CD12" i="10"/>
  <c r="CF11" i="10"/>
  <c r="CJ16" i="10"/>
  <c r="BO14" i="10"/>
  <c r="BR16" i="10"/>
  <c r="BS13" i="10"/>
  <c r="BX17" i="10"/>
  <c r="CE11" i="10"/>
  <c r="CF10" i="10"/>
  <c r="CM15" i="10"/>
  <c r="CR12" i="10"/>
  <c r="BQ15" i="10"/>
  <c r="BU17" i="10"/>
  <c r="BV16" i="10"/>
  <c r="BW13" i="10"/>
  <c r="CC10" i="10"/>
  <c r="CK12" i="10"/>
  <c r="CL14" i="10"/>
  <c r="CO11" i="10"/>
  <c r="BK14" i="10"/>
  <c r="BM11" i="10"/>
  <c r="BN15" i="10"/>
  <c r="BX10" i="10"/>
  <c r="CB12" i="10"/>
  <c r="CF13" i="10"/>
  <c r="CL16" i="10"/>
  <c r="CP17" i="10"/>
  <c r="BI13" i="10"/>
  <c r="BM16" i="10"/>
  <c r="BR12" i="10"/>
  <c r="BW10" i="10"/>
  <c r="CB11" i="10"/>
  <c r="CC17" i="10"/>
  <c r="CE15" i="10"/>
  <c r="CQ14" i="10"/>
  <c r="BQ13" i="10"/>
  <c r="BV10" i="10"/>
  <c r="CC14" i="10"/>
  <c r="CG15" i="10"/>
  <c r="CH16" i="10"/>
  <c r="CJ12" i="10"/>
  <c r="CK11" i="10"/>
  <c r="CR17" i="10"/>
  <c r="BN17" i="10"/>
  <c r="BO10" i="10"/>
  <c r="BS12" i="10"/>
  <c r="CA14" i="10"/>
  <c r="CF16" i="10"/>
  <c r="CL11" i="10"/>
  <c r="CP13" i="10"/>
  <c r="CR15" i="10"/>
  <c r="BJ15" i="10"/>
  <c r="BK11" i="10"/>
  <c r="BN13" i="10"/>
  <c r="BP12" i="10"/>
  <c r="CA16" i="10"/>
  <c r="CD17" i="10"/>
  <c r="CE10" i="10"/>
  <c r="CO14" i="10"/>
  <c r="BR13" i="10"/>
  <c r="BT10" i="10"/>
  <c r="BX15" i="10"/>
  <c r="BZ17" i="10"/>
  <c r="CC11" i="10"/>
  <c r="CI14" i="10"/>
  <c r="CM16" i="10"/>
  <c r="CP12" i="10"/>
  <c r="BT13" i="10"/>
  <c r="BU14" i="10"/>
  <c r="BV17" i="10"/>
  <c r="BW15" i="10"/>
  <c r="CG10" i="10"/>
  <c r="CH12" i="10"/>
  <c r="CJ11" i="10"/>
  <c r="CN16" i="10"/>
  <c r="BL13" i="10"/>
  <c r="BN10" i="10"/>
  <c r="BO15" i="10"/>
  <c r="BQ12" i="10"/>
  <c r="CD14" i="10"/>
  <c r="CJ17" i="10"/>
  <c r="CK16" i="10"/>
  <c r="CQ11" i="10"/>
  <c r="BL16" i="10"/>
  <c r="BT11" i="10"/>
  <c r="BU15" i="10"/>
  <c r="BW14" i="10"/>
  <c r="CD13" i="10"/>
  <c r="CJ10" i="10"/>
  <c r="CN12" i="10"/>
  <c r="CQ17" i="10"/>
  <c r="BK10" i="10"/>
  <c r="BL15" i="10"/>
  <c r="BN11" i="10"/>
  <c r="BO12" i="10"/>
  <c r="BP13" i="10"/>
  <c r="CG17" i="10"/>
  <c r="CO16" i="10"/>
  <c r="CP14" i="10"/>
  <c r="BJ12" i="10"/>
  <c r="BR17" i="10"/>
  <c r="BW11" i="10"/>
  <c r="BX16" i="10"/>
  <c r="BY14" i="10"/>
  <c r="CB10" i="10"/>
  <c r="CK15" i="10"/>
  <c r="CQ13" i="10"/>
  <c r="BM10" i="10"/>
  <c r="BW12" i="10"/>
  <c r="BX11" i="10"/>
  <c r="BY15" i="10"/>
  <c r="CD16" i="10"/>
  <c r="CK14" i="10"/>
  <c r="CL17" i="10"/>
  <c r="CM13" i="10"/>
  <c r="BJ14" i="10"/>
  <c r="BT12" i="10"/>
  <c r="BU10" i="10"/>
  <c r="CI11" i="10"/>
  <c r="CJ13" i="10"/>
  <c r="CK17" i="10"/>
  <c r="CO15" i="10"/>
  <c r="CQ16" i="10"/>
  <c r="BI12" i="10"/>
  <c r="BK15" i="10"/>
  <c r="BN14" i="10"/>
  <c r="BP10" i="10"/>
  <c r="BQ11" i="10"/>
  <c r="CF17" i="10"/>
  <c r="CI16" i="10"/>
  <c r="CL13" i="10"/>
  <c r="BQ14" i="10"/>
  <c r="BU12" i="10"/>
  <c r="BX13" i="10"/>
  <c r="BY10" i="10"/>
  <c r="CD11" i="10"/>
  <c r="CH17" i="10"/>
  <c r="CL15" i="10"/>
  <c r="CR16" i="10"/>
  <c r="BI10" i="10"/>
  <c r="BJ16" i="10"/>
  <c r="BM14" i="10"/>
  <c r="BS17" i="10"/>
  <c r="CA13" i="10"/>
  <c r="CB15" i="10"/>
  <c r="CN11" i="10"/>
  <c r="CQ12" i="10"/>
  <c r="BM17" i="10"/>
  <c r="BM18" i="10" s="1"/>
  <c r="Z6" i="11" s="1" a="1"/>
  <c r="Z6" i="11" s="1"/>
  <c r="BS15" i="10"/>
  <c r="BX12" i="10"/>
  <c r="BX18" i="10" s="1"/>
  <c r="Z17" i="11" s="1" a="1"/>
  <c r="Z17" i="11" s="1"/>
  <c r="BZ14" i="10"/>
  <c r="CC16" i="10"/>
  <c r="CE13" i="10"/>
  <c r="CN10" i="10"/>
  <c r="CP11" i="10"/>
  <c r="BJ13" i="10"/>
  <c r="BK12" i="10"/>
  <c r="BL14" i="10"/>
  <c r="BN16" i="10"/>
  <c r="BR10" i="10"/>
  <c r="BY11" i="10"/>
  <c r="BY18" i="10" s="1"/>
  <c r="Z18" i="11" s="1" a="1"/>
  <c r="Z18" i="11" s="1"/>
  <c r="CI17" i="10"/>
  <c r="CP15" i="10"/>
  <c r="BI17" i="10"/>
  <c r="BJ11" i="10"/>
  <c r="BJ18" i="10" s="1"/>
  <c r="Z3" i="11" s="1" a="1"/>
  <c r="Z3" i="11" s="1"/>
  <c r="BN12" i="10"/>
  <c r="BN18" i="10" s="1"/>
  <c r="Z7" i="11" s="1" a="1"/>
  <c r="Z7" i="11" s="1"/>
  <c r="BO16" i="10"/>
  <c r="CA15" i="10"/>
  <c r="CI10" i="10"/>
  <c r="CK13" i="10"/>
  <c r="CK18" i="10" s="1"/>
  <c r="Z30" i="11" s="1" a="1"/>
  <c r="Z30" i="11" s="1"/>
  <c r="CM14" i="10"/>
  <c r="BP11" i="10"/>
  <c r="BP18" i="10" s="1"/>
  <c r="Z9" i="11" s="1" a="1"/>
  <c r="Z9" i="11" s="1"/>
  <c r="BU16" i="10"/>
  <c r="BZ15" i="10"/>
  <c r="CA12" i="10"/>
  <c r="CE14" i="10"/>
  <c r="CH10" i="10"/>
  <c r="CN17" i="10"/>
  <c r="CR13" i="10"/>
  <c r="BR11" i="10"/>
  <c r="BR18" i="10" s="1"/>
  <c r="Z11" i="11" s="1" a="1"/>
  <c r="Z11" i="11" s="1"/>
  <c r="BS16" i="10"/>
  <c r="BV13" i="10"/>
  <c r="BW17" i="10"/>
  <c r="CE12" i="10"/>
  <c r="CJ14" i="10"/>
  <c r="CJ18" i="10" s="1"/>
  <c r="Z29" i="11" s="1" a="1"/>
  <c r="Z29" i="11" s="1"/>
  <c r="CN15" i="10"/>
  <c r="CN18" i="10" s="1"/>
  <c r="Z33" i="11" s="1" a="1"/>
  <c r="Z33" i="11" s="1"/>
  <c r="CR10" i="10"/>
  <c r="CR18" i="10" s="1"/>
  <c r="Z37" i="11" s="1" a="1"/>
  <c r="Z37" i="11" s="1"/>
  <c r="BI16" i="10"/>
  <c r="BO17" i="10"/>
  <c r="BS14" i="10"/>
  <c r="BS18" i="10" s="1"/>
  <c r="Z12" i="11" s="1" a="1"/>
  <c r="Z12" i="11" s="1"/>
  <c r="BV15" i="10"/>
  <c r="BZ11" i="10"/>
  <c r="CC12" i="10"/>
  <c r="CI13" i="10"/>
  <c r="CI18" i="10" s="1"/>
  <c r="Z28" i="11" s="1" a="1"/>
  <c r="Z28" i="11" s="1"/>
  <c r="CP10" i="10"/>
  <c r="CP18" i="10" s="1"/>
  <c r="Z35" i="11" s="1" a="1"/>
  <c r="Z35" i="11" s="1"/>
  <c r="BI14" i="10"/>
  <c r="BO13" i="10"/>
  <c r="BO18" i="10" s="1"/>
  <c r="Z8" i="11" s="1" a="1"/>
  <c r="Z8" i="11" s="1"/>
  <c r="BU11" i="10"/>
  <c r="BZ16" i="10"/>
  <c r="CF15" i="10"/>
  <c r="CG12" i="10"/>
  <c r="CL10" i="10"/>
  <c r="CL18" i="10" s="1"/>
  <c r="Z31" i="11" s="1" a="1"/>
  <c r="Z31" i="11" s="1"/>
  <c r="CM17" i="10"/>
  <c r="BI15" i="10"/>
  <c r="BL12" i="10"/>
  <c r="BL18" i="10" s="1"/>
  <c r="Z5" i="11" s="1" a="1"/>
  <c r="Z5" i="11" s="1"/>
  <c r="BQ10" i="10"/>
  <c r="BU13" i="10"/>
  <c r="BV11" i="10"/>
  <c r="BV18" i="10" s="1"/>
  <c r="Z15" i="11" s="1" a="1"/>
  <c r="Z15" i="11" s="1"/>
  <c r="BW16" i="10"/>
  <c r="BW18" i="10" s="1"/>
  <c r="Z16" i="11" s="1" a="1"/>
  <c r="Z16" i="11" s="1"/>
  <c r="CB17" i="10"/>
  <c r="CF14" i="10"/>
  <c r="CF18" i="10" s="1"/>
  <c r="Z25" i="11" s="1" a="1"/>
  <c r="Z25" i="11" s="1"/>
  <c r="AD2" i="11"/>
  <c r="AD3" i="11"/>
  <c r="AD4" i="11"/>
  <c r="AD5" i="11"/>
  <c r="AD6" i="11"/>
  <c r="AD7" i="11"/>
  <c r="AD8" i="11"/>
  <c r="AD9" i="11"/>
  <c r="AD10" i="11"/>
  <c r="AD11" i="11"/>
  <c r="AD12" i="11"/>
  <c r="AD13" i="11"/>
  <c r="AD14" i="11"/>
  <c r="AD15" i="11"/>
  <c r="AD16" i="11"/>
  <c r="AD17" i="11"/>
  <c r="AD18" i="11"/>
  <c r="AD19" i="11"/>
  <c r="AD20" i="11"/>
  <c r="AD21" i="11"/>
  <c r="AD22" i="11"/>
  <c r="AD23" i="11"/>
  <c r="AD24" i="11"/>
  <c r="AD25" i="11"/>
  <c r="AD26" i="11"/>
  <c r="AD27" i="11"/>
  <c r="AD28" i="11"/>
  <c r="AD29" i="11"/>
  <c r="AD30" i="11"/>
  <c r="AD31" i="11"/>
  <c r="AD33" i="11"/>
  <c r="AD34" i="11"/>
  <c r="AD35" i="11"/>
  <c r="AD36" i="11"/>
  <c r="AD37" i="11"/>
  <c r="BI11" i="10"/>
  <c r="BI18" i="10" s="1"/>
  <c r="Z2" i="11" s="1" a="1"/>
  <c r="Z2" i="11" s="1"/>
  <c r="BK13" i="10"/>
  <c r="BK18" i="10" s="1"/>
  <c r="Z4" i="11" s="1" a="1"/>
  <c r="Z4" i="11" s="1"/>
  <c r="BT17" i="10"/>
  <c r="BT18" i="10" s="1"/>
  <c r="Z13" i="11" s="1" a="1"/>
  <c r="Z13" i="11" s="1"/>
  <c r="CB16" i="10"/>
  <c r="CG14" i="10"/>
  <c r="CG18" i="10" s="1"/>
  <c r="Z26" i="11" s="1" a="1"/>
  <c r="Z26" i="11" s="1"/>
  <c r="CM10" i="10"/>
  <c r="CM18" i="10" s="1"/>
  <c r="Z32" i="11" s="1" a="1"/>
  <c r="Z32" i="11" s="1"/>
  <c r="CO12" i="10"/>
  <c r="CO18" i="10" s="1"/>
  <c r="Z34" i="11" s="1" a="1"/>
  <c r="Z34" i="11" s="1"/>
  <c r="CQ15" i="10"/>
  <c r="CQ18" i="10" s="1"/>
  <c r="Z36" i="11" s="1" a="1"/>
  <c r="Z36" i="11" s="1"/>
  <c r="H152" i="35"/>
  <c r="H153" i="35"/>
  <c r="H154" i="35"/>
  <c r="H155" i="35"/>
  <c r="H156" i="35"/>
  <c r="H157" i="35"/>
  <c r="H158" i="35"/>
  <c r="H159" i="35"/>
  <c r="H160" i="35"/>
  <c r="H161" i="35"/>
  <c r="H162" i="35"/>
  <c r="H163" i="35"/>
  <c r="H164" i="35"/>
  <c r="H165" i="35"/>
  <c r="H166" i="35"/>
  <c r="H167" i="35"/>
  <c r="H168" i="35"/>
  <c r="H169" i="35"/>
  <c r="H170" i="35"/>
  <c r="H171" i="35"/>
  <c r="H172" i="35"/>
  <c r="H173" i="35"/>
  <c r="H174" i="35"/>
  <c r="H175" i="35"/>
  <c r="H176" i="35"/>
  <c r="H177" i="35"/>
  <c r="H178" i="35"/>
  <c r="H179" i="35"/>
  <c r="H180" i="35"/>
  <c r="H181" i="35"/>
  <c r="H182" i="35"/>
  <c r="H183" i="35"/>
  <c r="H184" i="35"/>
  <c r="H185" i="35"/>
  <c r="H186" i="35"/>
  <c r="H187" i="35"/>
  <c r="H190" i="35"/>
  <c r="H191" i="35"/>
  <c r="H192" i="35"/>
  <c r="H193" i="35"/>
  <c r="H194" i="35"/>
  <c r="H195" i="35"/>
  <c r="H196" i="35"/>
  <c r="H197" i="35"/>
  <c r="H200" i="35"/>
  <c r="H201" i="35"/>
  <c r="H202" i="35"/>
  <c r="H203" i="35"/>
  <c r="H204" i="35"/>
  <c r="H205" i="35"/>
  <c r="H206" i="35"/>
  <c r="H207" i="35"/>
  <c r="H208" i="35"/>
  <c r="H209" i="35"/>
  <c r="H210" i="35"/>
  <c r="H211" i="35"/>
  <c r="H212" i="35"/>
  <c r="H213" i="35"/>
  <c r="H214" i="35"/>
  <c r="H215" i="35"/>
  <c r="H332" i="35"/>
  <c r="H333" i="35"/>
  <c r="H334" i="35"/>
  <c r="H335" i="35"/>
  <c r="H336" i="35"/>
  <c r="H337" i="35"/>
  <c r="H338" i="35"/>
  <c r="H339" i="35"/>
  <c r="H340" i="35"/>
  <c r="H341" i="35"/>
  <c r="H342" i="35"/>
  <c r="H343" i="35"/>
  <c r="B12" i="27"/>
  <c r="B9" i="27"/>
  <c r="B31" i="27"/>
  <c r="B13" i="27"/>
  <c r="B14" i="27"/>
  <c r="B16" i="27"/>
  <c r="B11" i="27"/>
  <c r="B15" i="27"/>
  <c r="B8" i="27"/>
  <c r="B17" i="27"/>
  <c r="B10" i="27"/>
  <c r="B29" i="27"/>
  <c r="B27" i="27"/>
  <c r="B28" i="27"/>
  <c r="B26" i="27"/>
  <c r="B25" i="27"/>
  <c r="B24" i="27"/>
  <c r="B30" i="27"/>
  <c r="B19" i="27"/>
  <c r="B21" i="27"/>
  <c r="B22" i="27"/>
  <c r="B20" i="27"/>
  <c r="B23" i="27"/>
  <c r="B18" i="27"/>
  <c r="AD32" i="11"/>
  <c r="BQ17" i="10"/>
  <c r="BQ18" i="10" s="1"/>
  <c r="Z10" i="11" s="1" a="1"/>
  <c r="Z10" i="11" s="1"/>
  <c r="BZ12" i="10"/>
  <c r="BZ18" i="10" s="1"/>
  <c r="Z19" i="11" s="1" a="1"/>
  <c r="Z19" i="11" s="1"/>
  <c r="CA11" i="10"/>
  <c r="CA18" i="10" s="1"/>
  <c r="Z20" i="11" s="1" a="1"/>
  <c r="Z20" i="11" s="1"/>
  <c r="CB13" i="10"/>
  <c r="CB18" i="10" s="1"/>
  <c r="Z21" i="11" s="1" a="1"/>
  <c r="Z21" i="11" s="1"/>
  <c r="CC15" i="10"/>
  <c r="CC18" i="10" s="1"/>
  <c r="Z22" i="11" s="1" a="1"/>
  <c r="Z22" i="11" s="1"/>
  <c r="CD10" i="10"/>
  <c r="CD18" i="10" s="1"/>
  <c r="Z23" i="11" s="1" a="1"/>
  <c r="Z23" i="11" s="1"/>
  <c r="CE16" i="10"/>
  <c r="CE18" i="10" s="1"/>
  <c r="Z24" i="11" s="1" a="1"/>
  <c r="Z24" i="11" s="1"/>
  <c r="CH14" i="10"/>
  <c r="CH18" i="10" s="1"/>
  <c r="Z27" i="11" s="1" a="1"/>
  <c r="Z27" i="11" s="1"/>
  <c r="BU18" i="10" l="1"/>
  <c r="Z14" i="11" s="1" a="1"/>
  <c r="Z14" i="11" s="1"/>
  <c r="AF32" i="11"/>
  <c r="AH32" i="11" s="1"/>
  <c r="K316" i="35"/>
  <c r="N316" i="35"/>
  <c r="K313" i="35"/>
  <c r="K332" i="35"/>
  <c r="K333" i="35"/>
  <c r="N309" i="35"/>
  <c r="N312" i="35"/>
  <c r="N313" i="35"/>
  <c r="N314" i="35"/>
  <c r="N317" i="35"/>
  <c r="N318" i="35"/>
  <c r="N320" i="35"/>
  <c r="N321" i="35"/>
  <c r="N322" i="35"/>
  <c r="N324" i="35"/>
  <c r="N325" i="35"/>
  <c r="N326" i="35"/>
  <c r="N328" i="35"/>
  <c r="N329" i="35"/>
  <c r="N330" i="35"/>
  <c r="N331" i="35"/>
  <c r="N332" i="35"/>
  <c r="N333" i="35"/>
  <c r="N334" i="35"/>
  <c r="N335" i="35"/>
  <c r="N336" i="35"/>
  <c r="N337" i="35"/>
  <c r="N338" i="35"/>
  <c r="N339" i="35"/>
  <c r="N340" i="35"/>
  <c r="N341" i="35"/>
  <c r="N342" i="35"/>
  <c r="N343" i="35"/>
  <c r="Q308" i="35"/>
  <c r="Q309" i="35"/>
  <c r="Q310" i="35"/>
  <c r="Q311" i="35"/>
  <c r="Q312" i="35"/>
  <c r="Q313" i="35"/>
  <c r="Q314" i="35"/>
  <c r="Q315" i="35"/>
  <c r="Q316" i="35"/>
  <c r="Q317" i="35"/>
  <c r="Q318" i="35"/>
  <c r="Q319" i="35"/>
  <c r="Q320" i="35"/>
  <c r="Q321" i="35"/>
  <c r="Q322" i="35"/>
  <c r="Q323" i="35"/>
  <c r="Q324" i="35"/>
  <c r="Q325" i="35"/>
  <c r="Q326" i="35"/>
  <c r="Q327" i="35"/>
  <c r="Q328" i="35"/>
  <c r="Q329" i="35"/>
  <c r="Q330" i="35"/>
  <c r="Q331" i="35"/>
  <c r="Q332" i="35"/>
  <c r="Q333" i="35"/>
  <c r="Q334" i="35"/>
  <c r="Q335" i="35"/>
  <c r="Q336" i="35"/>
  <c r="Q337" i="35"/>
  <c r="Q338" i="35"/>
  <c r="Q339" i="35"/>
  <c r="Q340" i="35"/>
  <c r="Q341" i="35"/>
  <c r="Q342" i="35"/>
  <c r="Q343" i="35"/>
  <c r="T308" i="35"/>
  <c r="T309" i="35"/>
  <c r="T310" i="35"/>
  <c r="T311" i="35"/>
  <c r="T312" i="35"/>
  <c r="T313" i="35"/>
  <c r="T314" i="35"/>
  <c r="T315" i="35"/>
  <c r="T316" i="35"/>
  <c r="T317" i="35"/>
  <c r="T318" i="35"/>
  <c r="T319" i="35"/>
  <c r="T320" i="35"/>
  <c r="T321" i="35"/>
  <c r="T322" i="35"/>
  <c r="T323" i="35"/>
  <c r="T324" i="35"/>
  <c r="T325" i="35"/>
  <c r="T326" i="35"/>
  <c r="T327" i="35"/>
  <c r="T328" i="35"/>
  <c r="T329" i="35"/>
  <c r="T330" i="35"/>
  <c r="T331" i="35"/>
  <c r="T332" i="35"/>
  <c r="T333" i="35"/>
  <c r="T334" i="35"/>
  <c r="T335" i="35"/>
  <c r="T336" i="35"/>
  <c r="T337" i="35"/>
  <c r="T338" i="35"/>
  <c r="T339" i="35"/>
  <c r="T340" i="35"/>
  <c r="T341" i="35"/>
  <c r="T342" i="35"/>
  <c r="T343" i="35"/>
  <c r="W308" i="35"/>
  <c r="W309" i="35"/>
  <c r="W310" i="35"/>
  <c r="W311" i="35"/>
  <c r="W312" i="35"/>
  <c r="W313" i="35"/>
  <c r="W314" i="35"/>
  <c r="W315" i="35"/>
  <c r="W316" i="35"/>
  <c r="W317" i="35"/>
  <c r="W318" i="35"/>
  <c r="W319" i="35"/>
  <c r="W320" i="35"/>
  <c r="W321" i="35"/>
  <c r="W322" i="35"/>
  <c r="W323" i="35"/>
  <c r="W324" i="35"/>
  <c r="W325" i="35"/>
  <c r="W326" i="35"/>
  <c r="W327" i="35"/>
  <c r="W328" i="35"/>
  <c r="W329" i="35"/>
  <c r="W330" i="35"/>
  <c r="W331" i="35"/>
  <c r="W332" i="35"/>
  <c r="W333" i="35"/>
  <c r="W334" i="35"/>
  <c r="W335" i="35"/>
  <c r="W336" i="35"/>
  <c r="W337" i="35"/>
  <c r="W338" i="35"/>
  <c r="W339" i="35"/>
  <c r="W340" i="35"/>
  <c r="W341" i="35"/>
  <c r="W342" i="35"/>
  <c r="W343" i="35"/>
  <c r="Z308" i="35"/>
  <c r="Z309" i="35"/>
  <c r="Z310" i="35"/>
  <c r="Z311" i="35"/>
  <c r="Z312" i="35"/>
  <c r="Z313" i="35"/>
  <c r="Z314" i="35"/>
  <c r="Z315" i="35"/>
  <c r="Z316" i="35"/>
  <c r="Z317" i="35"/>
  <c r="Z318" i="35"/>
  <c r="Z319" i="35"/>
  <c r="Z320" i="35"/>
  <c r="Z321" i="35"/>
  <c r="Z322" i="35"/>
  <c r="Z323" i="35"/>
  <c r="Z324" i="35"/>
  <c r="Z325" i="35"/>
  <c r="Z326" i="35"/>
  <c r="Z327" i="35"/>
  <c r="Z328" i="35"/>
  <c r="Z329" i="35"/>
  <c r="Z330" i="35"/>
  <c r="Z331" i="35"/>
  <c r="Z332" i="35"/>
  <c r="Z333" i="35"/>
  <c r="Z334" i="35"/>
  <c r="Z335" i="35"/>
  <c r="Z336" i="35"/>
  <c r="Z337" i="35"/>
  <c r="Z338" i="35"/>
  <c r="Z339" i="35"/>
  <c r="Z340" i="35"/>
  <c r="Z341" i="35"/>
  <c r="Z342" i="35"/>
  <c r="Z343" i="35"/>
  <c r="AC308" i="35"/>
  <c r="AC309" i="35"/>
  <c r="AC310" i="35"/>
  <c r="AC311" i="35"/>
  <c r="AC312" i="35"/>
  <c r="AC313" i="35"/>
  <c r="AC314" i="35"/>
  <c r="AC315" i="35"/>
  <c r="AC316" i="35"/>
  <c r="AC317" i="35"/>
  <c r="AC318" i="35"/>
  <c r="AC319" i="35"/>
  <c r="AC320" i="35"/>
  <c r="AC321" i="35"/>
  <c r="AC322" i="35"/>
  <c r="AC323" i="35"/>
  <c r="AC324" i="35"/>
  <c r="AC325" i="35"/>
  <c r="AC326" i="35"/>
  <c r="AC327" i="35"/>
  <c r="AC328" i="35"/>
  <c r="AC329" i="35"/>
  <c r="AC330" i="35"/>
  <c r="AC331" i="35"/>
  <c r="AC332" i="35"/>
  <c r="AC333" i="35"/>
  <c r="AC334" i="35"/>
  <c r="AC335" i="35"/>
  <c r="AC336" i="35"/>
  <c r="AC337" i="35"/>
  <c r="AC338" i="35"/>
  <c r="AC339" i="35"/>
  <c r="AC340" i="35"/>
  <c r="AC341" i="35"/>
  <c r="AC342" i="35"/>
  <c r="AC343" i="35"/>
  <c r="AF308" i="35"/>
  <c r="AF309" i="35"/>
  <c r="AF310" i="35"/>
  <c r="AF311" i="35"/>
  <c r="AF312" i="35"/>
  <c r="AF313" i="35"/>
  <c r="AF314" i="35"/>
  <c r="AF315" i="35"/>
  <c r="AF316" i="35"/>
  <c r="AF317" i="35"/>
  <c r="AF318" i="35"/>
  <c r="AF319" i="35"/>
  <c r="AF320" i="35"/>
  <c r="AF321" i="35"/>
  <c r="AF322" i="35"/>
  <c r="AF323" i="35"/>
  <c r="AF324" i="35"/>
  <c r="AF325" i="35"/>
  <c r="AF326" i="35"/>
  <c r="AF327" i="35"/>
  <c r="AF328" i="35"/>
  <c r="AF329" i="35"/>
  <c r="AF330" i="35"/>
  <c r="AF331" i="35"/>
  <c r="AF332" i="35"/>
  <c r="AF333" i="35"/>
  <c r="AF334" i="35"/>
  <c r="AF335" i="35"/>
  <c r="AF336" i="35"/>
  <c r="AF337" i="35"/>
  <c r="AF338" i="35"/>
  <c r="AF339" i="35"/>
  <c r="AF340" i="35"/>
  <c r="AF341" i="35"/>
  <c r="AF342" i="35"/>
  <c r="AF343" i="35"/>
  <c r="AI308" i="35"/>
  <c r="AI309" i="35"/>
  <c r="AI310" i="35"/>
  <c r="AI311" i="35"/>
  <c r="AI312" i="35"/>
  <c r="AI313" i="35"/>
  <c r="AI314" i="35"/>
  <c r="AI315" i="35"/>
  <c r="AI316" i="35"/>
  <c r="AI317" i="35"/>
  <c r="AI318" i="35"/>
  <c r="AI319" i="35"/>
  <c r="AI320" i="35"/>
  <c r="AI321" i="35"/>
  <c r="AI322" i="35"/>
  <c r="AI323" i="35"/>
  <c r="AI324" i="35"/>
  <c r="AI325" i="35"/>
  <c r="AI326" i="35"/>
  <c r="AI327" i="35"/>
  <c r="AI328" i="35"/>
  <c r="AI329" i="35"/>
  <c r="AI330" i="35"/>
  <c r="AI331" i="35"/>
  <c r="AI332" i="35"/>
  <c r="AI333" i="35"/>
  <c r="AI334" i="35"/>
  <c r="AI335" i="35"/>
  <c r="AI336" i="35"/>
  <c r="AI337" i="35"/>
  <c r="AI338" i="35"/>
  <c r="AI339" i="35"/>
  <c r="AI340" i="35"/>
  <c r="AI341" i="35"/>
  <c r="AI342" i="35"/>
  <c r="AI343" i="35"/>
  <c r="AL308" i="35"/>
  <c r="AL309" i="35"/>
  <c r="AL310" i="35"/>
  <c r="AL311" i="35"/>
  <c r="AL312" i="35"/>
  <c r="AL313" i="35"/>
  <c r="AL314" i="35"/>
  <c r="AL315" i="35"/>
  <c r="AL316" i="35"/>
  <c r="AL317" i="35"/>
  <c r="AL318" i="35"/>
  <c r="AL319" i="35"/>
  <c r="AL320" i="35"/>
  <c r="AL321" i="35"/>
  <c r="AL322" i="35"/>
  <c r="AL323" i="35"/>
  <c r="AL324" i="35"/>
  <c r="AL325" i="35"/>
  <c r="AL326" i="35"/>
  <c r="AL327" i="35"/>
  <c r="AL328" i="35"/>
  <c r="AL329" i="35"/>
  <c r="AL330" i="35"/>
  <c r="AL331" i="35"/>
  <c r="AL332" i="35"/>
  <c r="AL333" i="35"/>
  <c r="AL334" i="35"/>
  <c r="AL335" i="35"/>
  <c r="AL336" i="35"/>
  <c r="AL337" i="35"/>
  <c r="AL338" i="35"/>
  <c r="AL339" i="35"/>
  <c r="AL340" i="35"/>
  <c r="AL341" i="35"/>
  <c r="AL342" i="35"/>
  <c r="AL343" i="35"/>
  <c r="AO308" i="35"/>
  <c r="AO309" i="35"/>
  <c r="AO310" i="35"/>
  <c r="AO311" i="35"/>
  <c r="AO312" i="35"/>
  <c r="AO313" i="35"/>
  <c r="AO314" i="35"/>
  <c r="AO315" i="35"/>
  <c r="AO316" i="35"/>
  <c r="AO317" i="35"/>
  <c r="AO318" i="35"/>
  <c r="AO319" i="35"/>
  <c r="AO320" i="35"/>
  <c r="AO321" i="35"/>
  <c r="AO322" i="35"/>
  <c r="AO323" i="35"/>
  <c r="AO324" i="35"/>
  <c r="AO325" i="35"/>
  <c r="AO326" i="35"/>
  <c r="AO327" i="35"/>
  <c r="AO328" i="35"/>
  <c r="AO329" i="35"/>
  <c r="AO330" i="35"/>
  <c r="AO331" i="35"/>
  <c r="AO332" i="35"/>
  <c r="AO333" i="35"/>
  <c r="AO334" i="35"/>
  <c r="AO335" i="35"/>
  <c r="AO336" i="35"/>
  <c r="AO337" i="35"/>
  <c r="AO338" i="35"/>
  <c r="AO339" i="35"/>
  <c r="AO340" i="35"/>
  <c r="AO341" i="35"/>
  <c r="AO342" i="35"/>
  <c r="AO343" i="35"/>
  <c r="AR308" i="35"/>
  <c r="AR309" i="35"/>
  <c r="AR310" i="35"/>
  <c r="AR311" i="35"/>
  <c r="AR312" i="35"/>
  <c r="AR313" i="35"/>
  <c r="AR314" i="35"/>
  <c r="AR315" i="35"/>
  <c r="AR316" i="35"/>
  <c r="AR317" i="35"/>
  <c r="AR318" i="35"/>
  <c r="AR319" i="35"/>
  <c r="AR320" i="35"/>
  <c r="AR321" i="35"/>
  <c r="AR322" i="35"/>
  <c r="AR323" i="35"/>
  <c r="AR324" i="35"/>
  <c r="AR325" i="35"/>
  <c r="AR326" i="35"/>
  <c r="AR327" i="35"/>
  <c r="AR328" i="35"/>
  <c r="AR329" i="35"/>
  <c r="AR330" i="35"/>
  <c r="AR331" i="35"/>
  <c r="AR332" i="35"/>
  <c r="AR333" i="35"/>
  <c r="AR334" i="35"/>
  <c r="AR335" i="35"/>
  <c r="AR336" i="35"/>
  <c r="AR337" i="35"/>
  <c r="AR338" i="35"/>
  <c r="AR339" i="35"/>
  <c r="AR340" i="35"/>
  <c r="AR341" i="35"/>
  <c r="AR342" i="35"/>
  <c r="AR343" i="35"/>
  <c r="AU308" i="35"/>
  <c r="AU309" i="35"/>
  <c r="AU310" i="35"/>
  <c r="AU311" i="35"/>
  <c r="AU312" i="35"/>
  <c r="AU313" i="35"/>
  <c r="AU314" i="35"/>
  <c r="AU315" i="35"/>
  <c r="AU316" i="35"/>
  <c r="AU317" i="35"/>
  <c r="AU318" i="35"/>
  <c r="AU319" i="35"/>
  <c r="AU320" i="35"/>
  <c r="AU321" i="35"/>
  <c r="AU322" i="35"/>
  <c r="AU323" i="35"/>
  <c r="AU324" i="35"/>
  <c r="AU325" i="35"/>
  <c r="AU326" i="35"/>
  <c r="AU327" i="35"/>
  <c r="AU328" i="35"/>
  <c r="AU329" i="35"/>
  <c r="AU330" i="35"/>
  <c r="AU331" i="35"/>
  <c r="AU332" i="35"/>
  <c r="AU333" i="35"/>
  <c r="AU334" i="35"/>
  <c r="AU335" i="35"/>
  <c r="AU336" i="35"/>
  <c r="AU337" i="35"/>
  <c r="AU338" i="35"/>
  <c r="AU339" i="35"/>
  <c r="AU340" i="35"/>
  <c r="AU341" i="35"/>
  <c r="AU342" i="35"/>
  <c r="AU343" i="35"/>
  <c r="AX308" i="35"/>
  <c r="AX309" i="35"/>
  <c r="AX310" i="35"/>
  <c r="AX311" i="35"/>
  <c r="AX312" i="35"/>
  <c r="AX313" i="35"/>
  <c r="AX314" i="35"/>
  <c r="AX315" i="35"/>
  <c r="AX316" i="35"/>
  <c r="AX317" i="35"/>
  <c r="AX318" i="35"/>
  <c r="AX319" i="35"/>
  <c r="AX320" i="35"/>
  <c r="AX321" i="35"/>
  <c r="AX322" i="35"/>
  <c r="AX323" i="35"/>
  <c r="AX324" i="35"/>
  <c r="AX325" i="35"/>
  <c r="AX326" i="35"/>
  <c r="AX327" i="35"/>
  <c r="AX328" i="35"/>
  <c r="AX329" i="35"/>
  <c r="AX330" i="35"/>
  <c r="AX331" i="35"/>
  <c r="AX332" i="35"/>
  <c r="AX333" i="35"/>
  <c r="AX334" i="35"/>
  <c r="AX335" i="35"/>
  <c r="AX336" i="35"/>
  <c r="AX337" i="35"/>
  <c r="AX338" i="35"/>
  <c r="AX339" i="35"/>
  <c r="AX340" i="35"/>
  <c r="AX341" i="35"/>
  <c r="AX342" i="35"/>
  <c r="AX343" i="35"/>
  <c r="BA308" i="35"/>
  <c r="BA309" i="35"/>
  <c r="BA310" i="35"/>
  <c r="BA311" i="35"/>
  <c r="BA312" i="35"/>
  <c r="BA313" i="35"/>
  <c r="BA314" i="35"/>
  <c r="BA315" i="35"/>
  <c r="BA316" i="35"/>
  <c r="BA317" i="35"/>
  <c r="BA318" i="35"/>
  <c r="BA319" i="35"/>
  <c r="BA320" i="35"/>
  <c r="BA321" i="35"/>
  <c r="BA322" i="35"/>
  <c r="BA323" i="35"/>
  <c r="BA324" i="35"/>
  <c r="BA325" i="35"/>
  <c r="BA326" i="35"/>
  <c r="BA327" i="35"/>
  <c r="BA328" i="35"/>
  <c r="BA329" i="35"/>
  <c r="BA330" i="35"/>
  <c r="BA331" i="35"/>
  <c r="BA332" i="35"/>
  <c r="BA333" i="35"/>
  <c r="BA334" i="35"/>
  <c r="BA335" i="35"/>
  <c r="BA336" i="35"/>
  <c r="BA337" i="35"/>
  <c r="BA338" i="35"/>
  <c r="BA339" i="35"/>
  <c r="BA340" i="35"/>
  <c r="BA341" i="35"/>
  <c r="BA342" i="35"/>
  <c r="BA343" i="35"/>
  <c r="BD308" i="35"/>
  <c r="BD309" i="35"/>
  <c r="BD310" i="35"/>
  <c r="BD311" i="35"/>
  <c r="BD312" i="35"/>
  <c r="BD313" i="35"/>
  <c r="BD314" i="35"/>
  <c r="BD315" i="35"/>
  <c r="BD316" i="35"/>
  <c r="BD317" i="35"/>
  <c r="BD318" i="35"/>
  <c r="BD319" i="35"/>
  <c r="BD320" i="35"/>
  <c r="BD321" i="35"/>
  <c r="BD322" i="35"/>
  <c r="BD323" i="35"/>
  <c r="BD324" i="35"/>
  <c r="BD325" i="35"/>
  <c r="BD326" i="35"/>
  <c r="BD327" i="35"/>
  <c r="BD328" i="35"/>
  <c r="BD329" i="35"/>
  <c r="BD330" i="35"/>
  <c r="BD331" i="35"/>
  <c r="BD332" i="35"/>
  <c r="BD333" i="35"/>
  <c r="BD334" i="35"/>
  <c r="BD335" i="35"/>
  <c r="BD336" i="35"/>
  <c r="BD337" i="35"/>
  <c r="BD338" i="35"/>
  <c r="BD339" i="35"/>
  <c r="BD340" i="35"/>
  <c r="BD341" i="35"/>
  <c r="BD342" i="35"/>
  <c r="BD343" i="35"/>
  <c r="BG308" i="35"/>
  <c r="BG309" i="35"/>
  <c r="BG310" i="35"/>
  <c r="BG311" i="35"/>
  <c r="BG312" i="35"/>
  <c r="BG313" i="35"/>
  <c r="BG314" i="35"/>
  <c r="BG315" i="35"/>
  <c r="BG316" i="35"/>
  <c r="BG317" i="35"/>
  <c r="BG318" i="35"/>
  <c r="BG319" i="35"/>
  <c r="BG320" i="35"/>
  <c r="BG321" i="35"/>
  <c r="BG322" i="35"/>
  <c r="BG323" i="35"/>
  <c r="BG324" i="35"/>
  <c r="BG325" i="35"/>
  <c r="BG326" i="35"/>
  <c r="BG327" i="35"/>
  <c r="BG328" i="35"/>
  <c r="BG329" i="35"/>
  <c r="BG330" i="35"/>
  <c r="BG331" i="35"/>
  <c r="BG332" i="35"/>
  <c r="BG333" i="35"/>
  <c r="BG334" i="35"/>
  <c r="BG335" i="35"/>
  <c r="BG336" i="35"/>
  <c r="BG337" i="35"/>
  <c r="BG338" i="35"/>
  <c r="BG339" i="35"/>
  <c r="BG340" i="35"/>
  <c r="BG341" i="35"/>
  <c r="BG342" i="35"/>
  <c r="BG343" i="35"/>
  <c r="BJ308" i="35"/>
  <c r="BJ309" i="35"/>
  <c r="BJ310" i="35"/>
  <c r="BJ311" i="35"/>
  <c r="BJ312" i="35"/>
  <c r="BJ313" i="35"/>
  <c r="BJ314" i="35"/>
  <c r="BJ315" i="35"/>
  <c r="BJ316" i="35"/>
  <c r="BJ317" i="35"/>
  <c r="BJ318" i="35"/>
  <c r="BJ319" i="35"/>
  <c r="BJ320" i="35"/>
  <c r="BJ321" i="35"/>
  <c r="BJ322" i="35"/>
  <c r="BJ323" i="35"/>
  <c r="BJ324" i="35"/>
  <c r="BJ325" i="35"/>
  <c r="BJ326" i="35"/>
  <c r="BJ327" i="35"/>
  <c r="BJ328" i="35"/>
  <c r="BJ329" i="35"/>
  <c r="BJ330" i="35"/>
  <c r="BJ331" i="35"/>
  <c r="BJ332" i="35"/>
  <c r="BJ333" i="35"/>
  <c r="BJ334" i="35"/>
  <c r="BJ335" i="35"/>
  <c r="BJ336" i="35"/>
  <c r="BJ337" i="35"/>
  <c r="BJ338" i="35"/>
  <c r="BJ339" i="35"/>
  <c r="BJ340" i="35"/>
  <c r="BJ341" i="35"/>
  <c r="BJ342" i="35"/>
  <c r="BJ343" i="35"/>
  <c r="BM308" i="35"/>
  <c r="BM309" i="35"/>
  <c r="BM310" i="35"/>
  <c r="BM311" i="35"/>
  <c r="BM312" i="35"/>
  <c r="BM313" i="35"/>
  <c r="BM314" i="35"/>
  <c r="BM315" i="35"/>
  <c r="BM316" i="35"/>
  <c r="BM317" i="35"/>
  <c r="BM318" i="35"/>
  <c r="BM319" i="35"/>
  <c r="BM320" i="35"/>
  <c r="BM321" i="35"/>
  <c r="BM322" i="35"/>
  <c r="BM323" i="35"/>
  <c r="BM324" i="35"/>
  <c r="BM325" i="35"/>
  <c r="BM326" i="35"/>
  <c r="BM327" i="35"/>
  <c r="BM328" i="35"/>
  <c r="BM329" i="35"/>
  <c r="BM330" i="35"/>
  <c r="BM331" i="35"/>
  <c r="BM332" i="35"/>
  <c r="BM333" i="35"/>
  <c r="BM334" i="35"/>
  <c r="BM335" i="35"/>
  <c r="BM336" i="35"/>
  <c r="BM337" i="35"/>
  <c r="BM338" i="35"/>
  <c r="BM339" i="35"/>
  <c r="BM340" i="35"/>
  <c r="BM341" i="35"/>
  <c r="BM342" i="35"/>
  <c r="BM343" i="35"/>
  <c r="BP308" i="35"/>
  <c r="BP309" i="35"/>
  <c r="BP310" i="35"/>
  <c r="BP311" i="35"/>
  <c r="BP312" i="35"/>
  <c r="BP313" i="35"/>
  <c r="BP314" i="35"/>
  <c r="BP315" i="35"/>
  <c r="BP316" i="35"/>
  <c r="BP317" i="35"/>
  <c r="BP318" i="35"/>
  <c r="BP319" i="35"/>
  <c r="BP320" i="35"/>
  <c r="BP321" i="35"/>
  <c r="BP322" i="35"/>
  <c r="BP323" i="35"/>
  <c r="BP324" i="35"/>
  <c r="BP325" i="35"/>
  <c r="BP326" i="35"/>
  <c r="BP327" i="35"/>
  <c r="BP328" i="35"/>
  <c r="BP329" i="35"/>
  <c r="BP330" i="35"/>
  <c r="BP331" i="35"/>
  <c r="BP332" i="35"/>
  <c r="BP333" i="35"/>
  <c r="BP334" i="35"/>
  <c r="BP335" i="35"/>
  <c r="BP336" i="35"/>
  <c r="BP337" i="35"/>
  <c r="BP338" i="35"/>
  <c r="BP339" i="35"/>
  <c r="BP340" i="35"/>
  <c r="BP341" i="35"/>
  <c r="BP342" i="35"/>
  <c r="BP343" i="35"/>
  <c r="BS308" i="35"/>
  <c r="BS309" i="35"/>
  <c r="BS310" i="35"/>
  <c r="BS311" i="35"/>
  <c r="BS312" i="35"/>
  <c r="BS313" i="35"/>
  <c r="BS314" i="35"/>
  <c r="BS315" i="35"/>
  <c r="BS316" i="35"/>
  <c r="BS317" i="35"/>
  <c r="BS318" i="35"/>
  <c r="BS319" i="35"/>
  <c r="BS320" i="35"/>
  <c r="BS321" i="35"/>
  <c r="BS322" i="35"/>
  <c r="BS323" i="35"/>
  <c r="BS324" i="35"/>
  <c r="BS325" i="35"/>
  <c r="BS326" i="35"/>
  <c r="BS327" i="35"/>
  <c r="BS328" i="35"/>
  <c r="BS329" i="35"/>
  <c r="BS330" i="35"/>
  <c r="BS331" i="35"/>
  <c r="BS332" i="35"/>
  <c r="BS333" i="35"/>
  <c r="BS334" i="35"/>
  <c r="BS335" i="35"/>
  <c r="BS336" i="35"/>
  <c r="BS337" i="35"/>
  <c r="BS338" i="35"/>
  <c r="BS339" i="35"/>
  <c r="BS340" i="35"/>
  <c r="BS341" i="35"/>
  <c r="BS342" i="35"/>
  <c r="BS343" i="35"/>
  <c r="BV308" i="35"/>
  <c r="BV309" i="35"/>
  <c r="BV310" i="35"/>
  <c r="BV311" i="35"/>
  <c r="BV312" i="35"/>
  <c r="BV313" i="35"/>
  <c r="BV314" i="35"/>
  <c r="BV315" i="35"/>
  <c r="BV316" i="35"/>
  <c r="BV317" i="35"/>
  <c r="BV318" i="35"/>
  <c r="BV319" i="35"/>
  <c r="BV320" i="35"/>
  <c r="BV321" i="35"/>
  <c r="BV322" i="35"/>
  <c r="BV323" i="35"/>
  <c r="BV324" i="35"/>
  <c r="BV325" i="35"/>
  <c r="BV326" i="35"/>
  <c r="BV327" i="35"/>
  <c r="BV328" i="35"/>
  <c r="BV329" i="35"/>
  <c r="BV330" i="35"/>
  <c r="BV331" i="35"/>
  <c r="BV332" i="35"/>
  <c r="BV333" i="35"/>
  <c r="BV334" i="35"/>
  <c r="BV335" i="35"/>
  <c r="BV336" i="35"/>
  <c r="BV337" i="35"/>
  <c r="BV338" i="35"/>
  <c r="BV339" i="35"/>
  <c r="BV340" i="35"/>
  <c r="BV341" i="35"/>
  <c r="BV342" i="35"/>
  <c r="BV343" i="35"/>
  <c r="BY308" i="35"/>
  <c r="BY309" i="35"/>
  <c r="BY310" i="35"/>
  <c r="BY311" i="35"/>
  <c r="BY312" i="35"/>
  <c r="BY313" i="35"/>
  <c r="BY314" i="35"/>
  <c r="BY315" i="35"/>
  <c r="BY316" i="35"/>
  <c r="BY317" i="35"/>
  <c r="BY318" i="35"/>
  <c r="BY319" i="35"/>
  <c r="BY320" i="35"/>
  <c r="BY321" i="35"/>
  <c r="BY322" i="35"/>
  <c r="BY323" i="35"/>
  <c r="BY324" i="35"/>
  <c r="BY325" i="35"/>
  <c r="BY326" i="35"/>
  <c r="BY327" i="35"/>
  <c r="BY328" i="35"/>
  <c r="BY329" i="35"/>
  <c r="BY330" i="35"/>
  <c r="BY331" i="35"/>
  <c r="BY332" i="35"/>
  <c r="BY333" i="35"/>
  <c r="BY334" i="35"/>
  <c r="BY335" i="35"/>
  <c r="BY336" i="35"/>
  <c r="BY337" i="35"/>
  <c r="BY338" i="35"/>
  <c r="BY339" i="35"/>
  <c r="BY340" i="35"/>
  <c r="BY341" i="35"/>
  <c r="BY342" i="35"/>
  <c r="BY343" i="35"/>
  <c r="CB308" i="35"/>
  <c r="CB309" i="35"/>
  <c r="CB310" i="35"/>
  <c r="CB311" i="35"/>
  <c r="CB312" i="35"/>
  <c r="CB313" i="35"/>
  <c r="CB314" i="35"/>
  <c r="CB315" i="35"/>
  <c r="CB316" i="35"/>
  <c r="CB317" i="35"/>
  <c r="CB318" i="35"/>
  <c r="CB319" i="35"/>
  <c r="CB320" i="35"/>
  <c r="CB321" i="35"/>
  <c r="CB322" i="35"/>
  <c r="CB323" i="35"/>
  <c r="CB324" i="35"/>
  <c r="CB325" i="35"/>
  <c r="CB326" i="35"/>
  <c r="CB327" i="35"/>
  <c r="CB328" i="35"/>
  <c r="CB329" i="35"/>
  <c r="CB330" i="35"/>
  <c r="CB331" i="35"/>
  <c r="CB332" i="35"/>
  <c r="CB333" i="35"/>
  <c r="CB334" i="35"/>
  <c r="CB335" i="35"/>
  <c r="CB336" i="35"/>
  <c r="CB337" i="35"/>
  <c r="CB338" i="35"/>
  <c r="CB339" i="35"/>
  <c r="CB340" i="35"/>
  <c r="CB341" i="35"/>
  <c r="CB342" i="35"/>
  <c r="CB343" i="35"/>
  <c r="CE308" i="35"/>
  <c r="CE309" i="35"/>
  <c r="CE310" i="35"/>
  <c r="CE311" i="35"/>
  <c r="CE312" i="35"/>
  <c r="CE313" i="35"/>
  <c r="CE314" i="35"/>
  <c r="CE315" i="35"/>
  <c r="CE316" i="35"/>
  <c r="CE317" i="35"/>
  <c r="CE318" i="35"/>
  <c r="CE319" i="35"/>
  <c r="CE320" i="35"/>
  <c r="CE321" i="35"/>
  <c r="CE322" i="35"/>
  <c r="CE323" i="35"/>
  <c r="CE324" i="35"/>
  <c r="CE325" i="35"/>
  <c r="CE326" i="35"/>
  <c r="CE327" i="35"/>
  <c r="CE328" i="35"/>
  <c r="CE329" i="35"/>
  <c r="CE330" i="35"/>
  <c r="CE331" i="35"/>
  <c r="CE332" i="35"/>
  <c r="CE333" i="35"/>
  <c r="CE334" i="35"/>
  <c r="CE335" i="35"/>
  <c r="CE336" i="35"/>
  <c r="CE337" i="35"/>
  <c r="CE338" i="35"/>
  <c r="CE339" i="35"/>
  <c r="CE340" i="35"/>
  <c r="CE341" i="35"/>
  <c r="CE342" i="35"/>
  <c r="CE343" i="35"/>
  <c r="K310" i="35"/>
  <c r="K309" i="35"/>
  <c r="K329" i="35"/>
  <c r="N310" i="35"/>
  <c r="K325" i="35"/>
  <c r="K324" i="35"/>
  <c r="N327" i="35"/>
  <c r="N308" i="35"/>
  <c r="K341" i="35"/>
  <c r="K321" i="35"/>
  <c r="K340" i="35"/>
  <c r="K317" i="35"/>
  <c r="K337" i="35"/>
  <c r="K308" i="35"/>
  <c r="N323" i="35"/>
  <c r="N315" i="35"/>
  <c r="K339" i="35"/>
  <c r="K331" i="35"/>
  <c r="K323" i="35"/>
  <c r="K315" i="35"/>
  <c r="K338" i="35"/>
  <c r="K330" i="35"/>
  <c r="K322" i="35"/>
  <c r="K314" i="35"/>
  <c r="K336" i="35"/>
  <c r="K328" i="35"/>
  <c r="K320" i="35"/>
  <c r="K312" i="35"/>
  <c r="N319" i="35"/>
  <c r="N311" i="35"/>
  <c r="K343" i="35"/>
  <c r="K335" i="35"/>
  <c r="K327" i="35"/>
  <c r="K319" i="35"/>
  <c r="K311" i="35"/>
  <c r="K342" i="35"/>
  <c r="K334" i="35"/>
  <c r="K326" i="35"/>
  <c r="K318" i="35"/>
  <c r="K200" i="35"/>
  <c r="K201" i="35"/>
  <c r="K202" i="35"/>
  <c r="K203" i="35"/>
  <c r="K204" i="35"/>
  <c r="K205" i="35"/>
  <c r="K206" i="35"/>
  <c r="K207" i="35"/>
  <c r="K208" i="35"/>
  <c r="K209" i="35"/>
  <c r="K210" i="35"/>
  <c r="K211" i="35"/>
  <c r="K212" i="35"/>
  <c r="K213" i="35"/>
  <c r="K214" i="35"/>
  <c r="K215" i="35"/>
  <c r="N200" i="35"/>
  <c r="N201" i="35"/>
  <c r="N202" i="35"/>
  <c r="N203" i="35"/>
  <c r="N204" i="35"/>
  <c r="N205" i="35"/>
  <c r="N206" i="35"/>
  <c r="N207" i="35"/>
  <c r="N208" i="35"/>
  <c r="N209" i="35"/>
  <c r="N210" i="35"/>
  <c r="N211" i="35"/>
  <c r="N212" i="35"/>
  <c r="N213" i="35"/>
  <c r="N214" i="35"/>
  <c r="N215" i="35"/>
  <c r="Q200" i="35"/>
  <c r="Q201" i="35"/>
  <c r="Q202" i="35"/>
  <c r="Q203" i="35"/>
  <c r="Q204" i="35"/>
  <c r="Q205" i="35"/>
  <c r="Q206" i="35"/>
  <c r="Q207" i="35"/>
  <c r="Q208" i="35"/>
  <c r="Q209" i="35"/>
  <c r="Q210" i="35"/>
  <c r="Q211" i="35"/>
  <c r="Q212" i="35"/>
  <c r="Q213" i="35"/>
  <c r="Q214" i="35"/>
  <c r="Q215" i="35"/>
  <c r="T200" i="35"/>
  <c r="T201" i="35"/>
  <c r="T202" i="35"/>
  <c r="T203" i="35"/>
  <c r="T204" i="35"/>
  <c r="T205" i="35"/>
  <c r="T206" i="35"/>
  <c r="T207" i="35"/>
  <c r="T208" i="35"/>
  <c r="T209" i="35"/>
  <c r="T210" i="35"/>
  <c r="T211" i="35"/>
  <c r="T212" i="35"/>
  <c r="T213" i="35"/>
  <c r="T214" i="35"/>
  <c r="T215" i="35"/>
  <c r="W200" i="35"/>
  <c r="W201" i="35"/>
  <c r="W202" i="35"/>
  <c r="W203" i="35"/>
  <c r="W204" i="35"/>
  <c r="W205" i="35"/>
  <c r="W206" i="35"/>
  <c r="W207" i="35"/>
  <c r="W208" i="35"/>
  <c r="W209" i="35"/>
  <c r="W210" i="35"/>
  <c r="W211" i="35"/>
  <c r="W212" i="35"/>
  <c r="W213" i="35"/>
  <c r="W214" i="35"/>
  <c r="W215" i="35"/>
  <c r="Z200" i="35"/>
  <c r="Z201" i="35"/>
  <c r="Z202" i="35"/>
  <c r="Z203" i="35"/>
  <c r="Z204" i="35"/>
  <c r="Z205" i="35"/>
  <c r="Z206" i="35"/>
  <c r="Z207" i="35"/>
  <c r="Z208" i="35"/>
  <c r="Z209" i="35"/>
  <c r="Z210" i="35"/>
  <c r="Z211" i="35"/>
  <c r="Z212" i="35"/>
  <c r="Z213" i="35"/>
  <c r="Z214" i="35"/>
  <c r="Z215" i="35"/>
  <c r="AC200" i="35"/>
  <c r="AC201" i="35"/>
  <c r="AC202" i="35"/>
  <c r="AC203" i="35"/>
  <c r="AC204" i="35"/>
  <c r="AC205" i="35"/>
  <c r="AC206" i="35"/>
  <c r="AC207" i="35"/>
  <c r="AC208" i="35"/>
  <c r="AC209" i="35"/>
  <c r="AC210" i="35"/>
  <c r="AC211" i="35"/>
  <c r="AC212" i="35"/>
  <c r="AC213" i="35"/>
  <c r="AC214" i="35"/>
  <c r="AC215" i="35"/>
  <c r="AF200" i="35"/>
  <c r="AF201" i="35"/>
  <c r="AF202" i="35"/>
  <c r="AF203" i="35"/>
  <c r="AF204" i="35"/>
  <c r="AF205" i="35"/>
  <c r="AF206" i="35"/>
  <c r="AF207" i="35"/>
  <c r="AF208" i="35"/>
  <c r="AF209" i="35"/>
  <c r="AF210" i="35"/>
  <c r="AF211" i="35"/>
  <c r="AF212" i="35"/>
  <c r="AF213" i="35"/>
  <c r="AF214" i="35"/>
  <c r="AF215" i="35"/>
  <c r="AI200" i="35"/>
  <c r="AI201" i="35"/>
  <c r="AI202" i="35"/>
  <c r="AI203" i="35"/>
  <c r="AI204" i="35"/>
  <c r="AI205" i="35"/>
  <c r="AI206" i="35"/>
  <c r="AI207" i="35"/>
  <c r="AI208" i="35"/>
  <c r="AI209" i="35"/>
  <c r="AI210" i="35"/>
  <c r="AI211" i="35"/>
  <c r="AI212" i="35"/>
  <c r="AI213" i="35"/>
  <c r="AI214" i="35"/>
  <c r="AI215" i="35"/>
  <c r="AL200" i="35"/>
  <c r="AL201" i="35"/>
  <c r="AL202" i="35"/>
  <c r="AL203" i="35"/>
  <c r="AL204" i="35"/>
  <c r="AL205" i="35"/>
  <c r="AL206" i="35"/>
  <c r="AL207" i="35"/>
  <c r="AL208" i="35"/>
  <c r="AL209" i="35"/>
  <c r="AL210" i="35"/>
  <c r="AL211" i="35"/>
  <c r="AL212" i="35"/>
  <c r="AL213" i="35"/>
  <c r="AL214" i="35"/>
  <c r="AL215" i="35"/>
  <c r="AO200" i="35"/>
  <c r="AO201" i="35"/>
  <c r="AO202" i="35"/>
  <c r="AO203" i="35"/>
  <c r="AO204" i="35"/>
  <c r="AO205" i="35"/>
  <c r="AO206" i="35"/>
  <c r="AO207" i="35"/>
  <c r="AO208" i="35"/>
  <c r="AO209" i="35"/>
  <c r="AO210" i="35"/>
  <c r="AO211" i="35"/>
  <c r="AO212" i="35"/>
  <c r="AO213" i="35"/>
  <c r="AO214" i="35"/>
  <c r="AO215" i="35"/>
  <c r="AR200" i="35"/>
  <c r="AR201" i="35"/>
  <c r="AR202" i="35"/>
  <c r="AR203" i="35"/>
  <c r="AR204" i="35"/>
  <c r="AR205" i="35"/>
  <c r="AR206" i="35"/>
  <c r="AR207" i="35"/>
  <c r="AR208" i="35"/>
  <c r="AR209" i="35"/>
  <c r="AR210" i="35"/>
  <c r="AR211" i="35"/>
  <c r="AR212" i="35"/>
  <c r="AR213" i="35"/>
  <c r="AR214" i="35"/>
  <c r="AR215" i="35"/>
  <c r="AU200" i="35"/>
  <c r="AU201" i="35"/>
  <c r="AU202" i="35"/>
  <c r="AU203" i="35"/>
  <c r="AU204" i="35"/>
  <c r="AU205" i="35"/>
  <c r="AU206" i="35"/>
  <c r="AU207" i="35"/>
  <c r="AU208" i="35"/>
  <c r="AU209" i="35"/>
  <c r="AU210" i="35"/>
  <c r="AU211" i="35"/>
  <c r="AU212" i="35"/>
  <c r="AU213" i="35"/>
  <c r="AU214" i="35"/>
  <c r="AU215" i="35"/>
  <c r="AX200" i="35"/>
  <c r="AX201" i="35"/>
  <c r="AX202" i="35"/>
  <c r="AX203" i="35"/>
  <c r="AX204" i="35"/>
  <c r="AX205" i="35"/>
  <c r="AX206" i="35"/>
  <c r="AX207" i="35"/>
  <c r="AX208" i="35"/>
  <c r="AX209" i="35"/>
  <c r="AX210" i="35"/>
  <c r="AX211" i="35"/>
  <c r="AX212" i="35"/>
  <c r="AX213" i="35"/>
  <c r="AX214" i="35"/>
  <c r="AX215" i="35"/>
  <c r="BA200" i="35"/>
  <c r="BA201" i="35"/>
  <c r="BA202" i="35"/>
  <c r="BA203" i="35"/>
  <c r="BA204" i="35"/>
  <c r="BA205" i="35"/>
  <c r="BA206" i="35"/>
  <c r="BA207" i="35"/>
  <c r="BA208" i="35"/>
  <c r="BA209" i="35"/>
  <c r="BA210" i="35"/>
  <c r="BA211" i="35"/>
  <c r="BA212" i="35"/>
  <c r="BA213" i="35"/>
  <c r="BA214" i="35"/>
  <c r="BA215" i="35"/>
  <c r="BD200" i="35"/>
  <c r="BD201" i="35"/>
  <c r="BD202" i="35"/>
  <c r="BD203" i="35"/>
  <c r="BD204" i="35"/>
  <c r="BD205" i="35"/>
  <c r="BD206" i="35"/>
  <c r="BD207" i="35"/>
  <c r="BD208" i="35"/>
  <c r="BD209" i="35"/>
  <c r="BD210" i="35"/>
  <c r="BD211" i="35"/>
  <c r="BD212" i="35"/>
  <c r="BD213" i="35"/>
  <c r="BD214" i="35"/>
  <c r="BD215" i="35"/>
  <c r="BG200" i="35"/>
  <c r="BG201" i="35"/>
  <c r="BG202" i="35"/>
  <c r="BG203" i="35"/>
  <c r="BG204" i="35"/>
  <c r="BG205" i="35"/>
  <c r="BG206" i="35"/>
  <c r="BG207" i="35"/>
  <c r="BG208" i="35"/>
  <c r="BG209" i="35"/>
  <c r="BG210" i="35"/>
  <c r="BG211" i="35"/>
  <c r="BG212" i="35"/>
  <c r="BG213" i="35"/>
  <c r="BG214" i="35"/>
  <c r="BG215" i="35"/>
  <c r="BJ200" i="35"/>
  <c r="BJ201" i="35"/>
  <c r="BJ202" i="35"/>
  <c r="BJ203" i="35"/>
  <c r="BJ204" i="35"/>
  <c r="BJ205" i="35"/>
  <c r="BJ206" i="35"/>
  <c r="BJ207" i="35"/>
  <c r="BJ208" i="35"/>
  <c r="BJ209" i="35"/>
  <c r="BJ210" i="35"/>
  <c r="BJ211" i="35"/>
  <c r="BJ212" i="35"/>
  <c r="BJ213" i="35"/>
  <c r="BJ214" i="35"/>
  <c r="BJ215" i="35"/>
  <c r="BM200" i="35"/>
  <c r="BM201" i="35"/>
  <c r="BM202" i="35"/>
  <c r="BM203" i="35"/>
  <c r="BM204" i="35"/>
  <c r="BM205" i="35"/>
  <c r="BM206" i="35"/>
  <c r="BM207" i="35"/>
  <c r="BM208" i="35"/>
  <c r="BM209" i="35"/>
  <c r="BM210" i="35"/>
  <c r="BM211" i="35"/>
  <c r="BM212" i="35"/>
  <c r="BM213" i="35"/>
  <c r="BM214" i="35"/>
  <c r="BM215" i="35"/>
  <c r="BP200" i="35"/>
  <c r="BP201" i="35"/>
  <c r="BP202" i="35"/>
  <c r="BP203" i="35"/>
  <c r="BP204" i="35"/>
  <c r="BP205" i="35"/>
  <c r="BP206" i="35"/>
  <c r="BP207" i="35"/>
  <c r="BP208" i="35"/>
  <c r="BP209" i="35"/>
  <c r="BP210" i="35"/>
  <c r="BP211" i="35"/>
  <c r="BP212" i="35"/>
  <c r="BP213" i="35"/>
  <c r="BP214" i="35"/>
  <c r="BP215" i="35"/>
  <c r="BS200" i="35"/>
  <c r="BS201" i="35"/>
  <c r="BS202" i="35"/>
  <c r="BS203" i="35"/>
  <c r="BS204" i="35"/>
  <c r="BS205" i="35"/>
  <c r="BS206" i="35"/>
  <c r="BS207" i="35"/>
  <c r="BS208" i="35"/>
  <c r="BS209" i="35"/>
  <c r="BS210" i="35"/>
  <c r="BS211" i="35"/>
  <c r="BS212" i="35"/>
  <c r="BS213" i="35"/>
  <c r="BS214" i="35"/>
  <c r="BS215" i="35"/>
  <c r="BV200" i="35"/>
  <c r="BV201" i="35"/>
  <c r="BV202" i="35"/>
  <c r="BV203" i="35"/>
  <c r="BV204" i="35"/>
  <c r="BV205" i="35"/>
  <c r="BV206" i="35"/>
  <c r="BV207" i="35"/>
  <c r="BV208" i="35"/>
  <c r="BV209" i="35"/>
  <c r="BV210" i="35"/>
  <c r="BV211" i="35"/>
  <c r="BV212" i="35"/>
  <c r="BV213" i="35"/>
  <c r="BV214" i="35"/>
  <c r="BV215" i="35"/>
  <c r="BY200" i="35"/>
  <c r="BY201" i="35"/>
  <c r="BY202" i="35"/>
  <c r="BY203" i="35"/>
  <c r="BY204" i="35"/>
  <c r="BY205" i="35"/>
  <c r="BY206" i="35"/>
  <c r="BY207" i="35"/>
  <c r="BY208" i="35"/>
  <c r="BY209" i="35"/>
  <c r="BY210" i="35"/>
  <c r="BY211" i="35"/>
  <c r="BY212" i="35"/>
  <c r="BY213" i="35"/>
  <c r="BY214" i="35"/>
  <c r="BY215" i="35"/>
  <c r="CB200" i="35"/>
  <c r="CB201" i="35"/>
  <c r="CB202" i="35"/>
  <c r="CB203" i="35"/>
  <c r="CB204" i="35"/>
  <c r="CB205" i="35"/>
  <c r="CB206" i="35"/>
  <c r="CB207" i="35"/>
  <c r="CB208" i="35"/>
  <c r="CB209" i="35"/>
  <c r="CB210" i="35"/>
  <c r="CB211" i="35"/>
  <c r="CB212" i="35"/>
  <c r="CB213" i="35"/>
  <c r="CB214" i="35"/>
  <c r="CB215" i="35"/>
  <c r="CE200" i="35"/>
  <c r="CE201" i="35"/>
  <c r="CE202" i="35"/>
  <c r="CE203" i="35"/>
  <c r="CE204" i="35"/>
  <c r="CE205" i="35"/>
  <c r="CE206" i="35"/>
  <c r="CE207" i="35"/>
  <c r="CE208" i="35"/>
  <c r="CE209" i="35"/>
  <c r="CE210" i="35"/>
  <c r="CE211" i="35"/>
  <c r="CE212" i="35"/>
  <c r="CE213" i="35"/>
  <c r="CE214" i="35"/>
  <c r="CE215" i="35"/>
  <c r="K190" i="35"/>
  <c r="K191" i="35"/>
  <c r="K192" i="35"/>
  <c r="K193" i="35"/>
  <c r="K194" i="35"/>
  <c r="K195" i="35"/>
  <c r="K196" i="35"/>
  <c r="K197" i="35"/>
  <c r="N190" i="35"/>
  <c r="N191" i="35"/>
  <c r="N192" i="35"/>
  <c r="N193" i="35"/>
  <c r="N194" i="35"/>
  <c r="N195" i="35"/>
  <c r="N196" i="35"/>
  <c r="N197" i="35"/>
  <c r="Q190" i="35"/>
  <c r="Q191" i="35"/>
  <c r="Q192" i="35"/>
  <c r="Q193" i="35"/>
  <c r="Q194" i="35"/>
  <c r="Q195" i="35"/>
  <c r="Q196" i="35"/>
  <c r="Q197" i="35"/>
  <c r="T190" i="35"/>
  <c r="T191" i="35"/>
  <c r="T192" i="35"/>
  <c r="T193" i="35"/>
  <c r="T194" i="35"/>
  <c r="T195" i="35"/>
  <c r="T196" i="35"/>
  <c r="T197" i="35"/>
  <c r="W190" i="35"/>
  <c r="W191" i="35"/>
  <c r="W192" i="35"/>
  <c r="W193" i="35"/>
  <c r="W194" i="35"/>
  <c r="W195" i="35"/>
  <c r="W196" i="35"/>
  <c r="W197" i="35"/>
  <c r="Z190" i="35"/>
  <c r="Z191" i="35"/>
  <c r="Z192" i="35"/>
  <c r="Z193" i="35"/>
  <c r="Z194" i="35"/>
  <c r="Z195" i="35"/>
  <c r="Z196" i="35"/>
  <c r="Z197" i="35"/>
  <c r="AC190" i="35"/>
  <c r="AC191" i="35"/>
  <c r="AC192" i="35"/>
  <c r="AC193" i="35"/>
  <c r="AC194" i="35"/>
  <c r="AC195" i="35"/>
  <c r="AC196" i="35"/>
  <c r="AC197" i="35"/>
  <c r="AF190" i="35"/>
  <c r="AF191" i="35"/>
  <c r="AF192" i="35"/>
  <c r="AF193" i="35"/>
  <c r="AF194" i="35"/>
  <c r="AF195" i="35"/>
  <c r="AF196" i="35"/>
  <c r="AF197" i="35"/>
  <c r="AI190" i="35"/>
  <c r="AI191" i="35"/>
  <c r="AI192" i="35"/>
  <c r="AI193" i="35"/>
  <c r="AI194" i="35"/>
  <c r="AI195" i="35"/>
  <c r="AI196" i="35"/>
  <c r="AI197" i="35"/>
  <c r="AL190" i="35"/>
  <c r="AL191" i="35"/>
  <c r="AL192" i="35"/>
  <c r="AL193" i="35"/>
  <c r="AL194" i="35"/>
  <c r="AL195" i="35"/>
  <c r="AL196" i="35"/>
  <c r="AL197" i="35"/>
  <c r="AO190" i="35"/>
  <c r="AO191" i="35"/>
  <c r="AO192" i="35"/>
  <c r="AO193" i="35"/>
  <c r="AO194" i="35"/>
  <c r="AO195" i="35"/>
  <c r="AO196" i="35"/>
  <c r="AO197" i="35"/>
  <c r="AR190" i="35"/>
  <c r="AR191" i="35"/>
  <c r="AR192" i="35"/>
  <c r="AR193" i="35"/>
  <c r="AR194" i="35"/>
  <c r="AR195" i="35"/>
  <c r="AR196" i="35"/>
  <c r="AR197" i="35"/>
  <c r="AU190" i="35"/>
  <c r="AU191" i="35"/>
  <c r="AU192" i="35"/>
  <c r="AU193" i="35"/>
  <c r="AU194" i="35"/>
  <c r="AU195" i="35"/>
  <c r="AU196" i="35"/>
  <c r="AU197" i="35"/>
  <c r="AX190" i="35"/>
  <c r="AX191" i="35"/>
  <c r="AX192" i="35"/>
  <c r="AX193" i="35"/>
  <c r="AX194" i="35"/>
  <c r="AX195" i="35"/>
  <c r="AX196" i="35"/>
  <c r="AX197" i="35"/>
  <c r="BA190" i="35"/>
  <c r="BA191" i="35"/>
  <c r="BA192" i="35"/>
  <c r="BA193" i="35"/>
  <c r="BA194" i="35"/>
  <c r="BA195" i="35"/>
  <c r="BA196" i="35"/>
  <c r="BA197" i="35"/>
  <c r="BD190" i="35"/>
  <c r="BD191" i="35"/>
  <c r="BD192" i="35"/>
  <c r="BD193" i="35"/>
  <c r="BD194" i="35"/>
  <c r="BD195" i="35"/>
  <c r="BD196" i="35"/>
  <c r="BD197" i="35"/>
  <c r="BG190" i="35"/>
  <c r="BG191" i="35"/>
  <c r="BG192" i="35"/>
  <c r="BG193" i="35"/>
  <c r="BG194" i="35"/>
  <c r="BG195" i="35"/>
  <c r="BG196" i="35"/>
  <c r="BG197" i="35"/>
  <c r="BJ190" i="35"/>
  <c r="BJ191" i="35"/>
  <c r="BJ192" i="35"/>
  <c r="BJ193" i="35"/>
  <c r="BJ194" i="35"/>
  <c r="BJ195" i="35"/>
  <c r="BJ196" i="35"/>
  <c r="BJ197" i="35"/>
  <c r="BM190" i="35"/>
  <c r="BM191" i="35"/>
  <c r="BM192" i="35"/>
  <c r="BM193" i="35"/>
  <c r="BM194" i="35"/>
  <c r="BM195" i="35"/>
  <c r="BM196" i="35"/>
  <c r="BM197" i="35"/>
  <c r="BP190" i="35"/>
  <c r="BP191" i="35"/>
  <c r="BP192" i="35"/>
  <c r="BP193" i="35"/>
  <c r="BP194" i="35"/>
  <c r="BP195" i="35"/>
  <c r="BP196" i="35"/>
  <c r="BP197" i="35"/>
  <c r="BS190" i="35"/>
  <c r="BS191" i="35"/>
  <c r="BS192" i="35"/>
  <c r="BS193" i="35"/>
  <c r="BS194" i="35"/>
  <c r="BS195" i="35"/>
  <c r="BS196" i="35"/>
  <c r="BS197" i="35"/>
  <c r="BV190" i="35"/>
  <c r="BV191" i="35"/>
  <c r="BV192" i="35"/>
  <c r="BV193" i="35"/>
  <c r="BV194" i="35"/>
  <c r="BV195" i="35"/>
  <c r="BV196" i="35"/>
  <c r="BV197" i="35"/>
  <c r="BY190" i="35"/>
  <c r="BY191" i="35"/>
  <c r="BY192" i="35"/>
  <c r="BY193" i="35"/>
  <c r="BY194" i="35"/>
  <c r="BY195" i="35"/>
  <c r="BY196" i="35"/>
  <c r="BY197" i="35"/>
  <c r="CB190" i="35"/>
  <c r="CB191" i="35"/>
  <c r="CB192" i="35"/>
  <c r="CB193" i="35"/>
  <c r="CB194" i="35"/>
  <c r="CB195" i="35"/>
  <c r="CB196" i="35"/>
  <c r="CB197" i="35"/>
  <c r="CE190" i="35"/>
  <c r="CE191" i="35"/>
  <c r="CE192" i="35"/>
  <c r="CE193" i="35"/>
  <c r="CE194" i="35"/>
  <c r="CE195" i="35"/>
  <c r="CE196" i="35"/>
  <c r="CE197" i="35"/>
  <c r="K187" i="35"/>
  <c r="N187" i="35"/>
  <c r="Q187" i="35"/>
  <c r="T187" i="35"/>
  <c r="W187" i="35"/>
  <c r="Z187" i="35"/>
  <c r="AC187" i="35"/>
  <c r="AF187" i="35"/>
  <c r="AI187" i="35"/>
  <c r="AL187" i="35"/>
  <c r="AO187" i="35"/>
  <c r="AR187" i="35"/>
  <c r="AU187" i="35"/>
  <c r="AX187" i="35"/>
  <c r="BA187" i="35"/>
  <c r="BD187" i="35"/>
  <c r="BG187" i="35"/>
  <c r="BJ187" i="35"/>
  <c r="BM187" i="35"/>
  <c r="BP187" i="35"/>
  <c r="BS187" i="35"/>
  <c r="BV187" i="35"/>
  <c r="BY187" i="35"/>
  <c r="CB187" i="35"/>
  <c r="CE187" i="35"/>
  <c r="K186" i="35"/>
  <c r="N186" i="35"/>
  <c r="Q186" i="35"/>
  <c r="T186" i="35"/>
  <c r="W186" i="35"/>
  <c r="Z186" i="35"/>
  <c r="AC186" i="35"/>
  <c r="AF186" i="35"/>
  <c r="AI186" i="35"/>
  <c r="AL186" i="35"/>
  <c r="AO186" i="35"/>
  <c r="AR186" i="35"/>
  <c r="AU186" i="35"/>
  <c r="AX186" i="35"/>
  <c r="BA186" i="35"/>
  <c r="BD186" i="35"/>
  <c r="BG186" i="35"/>
  <c r="BJ186" i="35"/>
  <c r="BM186" i="35"/>
  <c r="BP186" i="35"/>
  <c r="BS186" i="35"/>
  <c r="BV186" i="35"/>
  <c r="BY186" i="35"/>
  <c r="CB186" i="35"/>
  <c r="CE186" i="35"/>
  <c r="K185" i="35"/>
  <c r="N185" i="35"/>
  <c r="Q185" i="35"/>
  <c r="T185" i="35"/>
  <c r="W185" i="35"/>
  <c r="Z185" i="35"/>
  <c r="AC185" i="35"/>
  <c r="AF185" i="35"/>
  <c r="AI185" i="35"/>
  <c r="AL185" i="35"/>
  <c r="AO185" i="35"/>
  <c r="AR185" i="35"/>
  <c r="AU185" i="35"/>
  <c r="AX185" i="35"/>
  <c r="BA185" i="35"/>
  <c r="BD185" i="35"/>
  <c r="BG185" i="35"/>
  <c r="BJ185" i="35"/>
  <c r="BM185" i="35"/>
  <c r="BP185" i="35"/>
  <c r="BS185" i="35"/>
  <c r="BV185" i="35"/>
  <c r="BY185" i="35"/>
  <c r="CB185" i="35"/>
  <c r="CE185" i="35"/>
  <c r="K184" i="35"/>
  <c r="N184" i="35"/>
  <c r="Q184" i="35"/>
  <c r="T184" i="35"/>
  <c r="W184" i="35"/>
  <c r="Z184" i="35"/>
  <c r="AC184" i="35"/>
  <c r="AF184" i="35"/>
  <c r="AI184" i="35"/>
  <c r="AL184" i="35"/>
  <c r="AO184" i="35"/>
  <c r="AR184" i="35"/>
  <c r="AU184" i="35"/>
  <c r="AX184" i="35"/>
  <c r="BA184" i="35"/>
  <c r="BD184" i="35"/>
  <c r="BG184" i="35"/>
  <c r="BJ184" i="35"/>
  <c r="BM184" i="35"/>
  <c r="BP184" i="35"/>
  <c r="BS184" i="35"/>
  <c r="BV184" i="35"/>
  <c r="BY184" i="35"/>
  <c r="CB184" i="35"/>
  <c r="CE184" i="35"/>
  <c r="K183" i="35"/>
  <c r="N183" i="35"/>
  <c r="Q183" i="35"/>
  <c r="T183" i="35"/>
  <c r="W183" i="35"/>
  <c r="Z183" i="35"/>
  <c r="AC183" i="35"/>
  <c r="AF183" i="35"/>
  <c r="AI183" i="35"/>
  <c r="AL183" i="35"/>
  <c r="AO183" i="35"/>
  <c r="AR183" i="35"/>
  <c r="AU183" i="35"/>
  <c r="AX183" i="35"/>
  <c r="BA183" i="35"/>
  <c r="BD183" i="35"/>
  <c r="BG183" i="35"/>
  <c r="BJ183" i="35"/>
  <c r="BM183" i="35"/>
  <c r="BP183" i="35"/>
  <c r="BS183" i="35"/>
  <c r="BV183" i="35"/>
  <c r="BY183" i="35"/>
  <c r="CB183" i="35"/>
  <c r="CE183" i="35"/>
  <c r="K182" i="35"/>
  <c r="N182" i="35"/>
  <c r="Q182" i="35"/>
  <c r="T182" i="35"/>
  <c r="W182" i="35"/>
  <c r="Z182" i="35"/>
  <c r="AC182" i="35"/>
  <c r="AF182" i="35"/>
  <c r="AI182" i="35"/>
  <c r="AL182" i="35"/>
  <c r="AO182" i="35"/>
  <c r="AR182" i="35"/>
  <c r="AU182" i="35"/>
  <c r="AX182" i="35"/>
  <c r="BA182" i="35"/>
  <c r="BD182" i="35"/>
  <c r="BG182" i="35"/>
  <c r="BJ182" i="35"/>
  <c r="BM182" i="35"/>
  <c r="BP182" i="35"/>
  <c r="BS182" i="35"/>
  <c r="BV182" i="35"/>
  <c r="BY182" i="35"/>
  <c r="CB182" i="35"/>
  <c r="CE182" i="35"/>
  <c r="K181" i="35"/>
  <c r="N181" i="35"/>
  <c r="Q181" i="35"/>
  <c r="T181" i="35"/>
  <c r="W181" i="35"/>
  <c r="Z181" i="35"/>
  <c r="AC181" i="35"/>
  <c r="AF181" i="35"/>
  <c r="AI181" i="35"/>
  <c r="AL181" i="35"/>
  <c r="AO181" i="35"/>
  <c r="AR181" i="35"/>
  <c r="AU181" i="35"/>
  <c r="AX181" i="35"/>
  <c r="BA181" i="35"/>
  <c r="BD181" i="35"/>
  <c r="BG181" i="35"/>
  <c r="BJ181" i="35"/>
  <c r="BM181" i="35"/>
  <c r="BP181" i="35"/>
  <c r="BS181" i="35"/>
  <c r="BV181" i="35"/>
  <c r="BY181" i="35"/>
  <c r="CB181" i="35"/>
  <c r="CE181" i="35"/>
  <c r="K180" i="35"/>
  <c r="N180" i="35"/>
  <c r="Q180" i="35"/>
  <c r="T180" i="35"/>
  <c r="W180" i="35"/>
  <c r="Z180" i="35"/>
  <c r="AC180" i="35"/>
  <c r="AF180" i="35"/>
  <c r="AI180" i="35"/>
  <c r="AL180" i="35"/>
  <c r="AO180" i="35"/>
  <c r="AR180" i="35"/>
  <c r="AU180" i="35"/>
  <c r="AX180" i="35"/>
  <c r="BA180" i="35"/>
  <c r="BD180" i="35"/>
  <c r="BG180" i="35"/>
  <c r="BJ180" i="35"/>
  <c r="BM180" i="35"/>
  <c r="BP180" i="35"/>
  <c r="BS180" i="35"/>
  <c r="BV180" i="35"/>
  <c r="BY180" i="35"/>
  <c r="CB180" i="35"/>
  <c r="CE180" i="35"/>
  <c r="K179" i="35"/>
  <c r="N179" i="35"/>
  <c r="Q179" i="35"/>
  <c r="T179" i="35"/>
  <c r="W179" i="35"/>
  <c r="Z179" i="35"/>
  <c r="AC179" i="35"/>
  <c r="AF179" i="35"/>
  <c r="AI179" i="35"/>
  <c r="AL179" i="35"/>
  <c r="AO179" i="35"/>
  <c r="AR179" i="35"/>
  <c r="AU179" i="35"/>
  <c r="AX179" i="35"/>
  <c r="BA179" i="35"/>
  <c r="BD179" i="35"/>
  <c r="BG179" i="35"/>
  <c r="BJ179" i="35"/>
  <c r="BM179" i="35"/>
  <c r="BP179" i="35"/>
  <c r="BS179" i="35"/>
  <c r="BV179" i="35"/>
  <c r="BY179" i="35"/>
  <c r="CB179" i="35"/>
  <c r="CE179" i="35"/>
  <c r="K178" i="35"/>
  <c r="N178" i="35"/>
  <c r="Q178" i="35"/>
  <c r="T178" i="35"/>
  <c r="W178" i="35"/>
  <c r="Z178" i="35"/>
  <c r="AC178" i="35"/>
  <c r="AF178" i="35"/>
  <c r="AI178" i="35"/>
  <c r="AL178" i="35"/>
  <c r="AO178" i="35"/>
  <c r="AR178" i="35"/>
  <c r="AU178" i="35"/>
  <c r="AX178" i="35"/>
  <c r="BA178" i="35"/>
  <c r="BD178" i="35"/>
  <c r="BG178" i="35"/>
  <c r="BJ178" i="35"/>
  <c r="BM178" i="35"/>
  <c r="BP178" i="35"/>
  <c r="BS178" i="35"/>
  <c r="BV178" i="35"/>
  <c r="BY178" i="35"/>
  <c r="CB178" i="35"/>
  <c r="CE178" i="35"/>
  <c r="K177" i="35"/>
  <c r="N177" i="35"/>
  <c r="Q177" i="35"/>
  <c r="T177" i="35"/>
  <c r="W177" i="35"/>
  <c r="Z177" i="35"/>
  <c r="AC177" i="35"/>
  <c r="AF177" i="35"/>
  <c r="AI177" i="35"/>
  <c r="AL177" i="35"/>
  <c r="AO177" i="35"/>
  <c r="AR177" i="35"/>
  <c r="AU177" i="35"/>
  <c r="AX177" i="35"/>
  <c r="BA177" i="35"/>
  <c r="BD177" i="35"/>
  <c r="BG177" i="35"/>
  <c r="BJ177" i="35"/>
  <c r="BM177" i="35"/>
  <c r="BP177" i="35"/>
  <c r="BS177" i="35"/>
  <c r="BV177" i="35"/>
  <c r="BY177" i="35"/>
  <c r="CB177" i="35"/>
  <c r="CE177" i="35"/>
  <c r="K176" i="35"/>
  <c r="N176" i="35"/>
  <c r="Q176" i="35"/>
  <c r="T176" i="35"/>
  <c r="W176" i="35"/>
  <c r="Z176" i="35"/>
  <c r="AC176" i="35"/>
  <c r="AF176" i="35"/>
  <c r="AI176" i="35"/>
  <c r="AL176" i="35"/>
  <c r="AO176" i="35"/>
  <c r="AR176" i="35"/>
  <c r="AU176" i="35"/>
  <c r="AX176" i="35"/>
  <c r="BA176" i="35"/>
  <c r="BD176" i="35"/>
  <c r="BG176" i="35"/>
  <c r="BJ176" i="35"/>
  <c r="BM176" i="35"/>
  <c r="BP176" i="35"/>
  <c r="BS176" i="35"/>
  <c r="BV176" i="35"/>
  <c r="BY176" i="35"/>
  <c r="CB176" i="35"/>
  <c r="CE176" i="35"/>
  <c r="K175" i="35"/>
  <c r="N175" i="35"/>
  <c r="Q175" i="35"/>
  <c r="T175" i="35"/>
  <c r="W175" i="35"/>
  <c r="Z175" i="35"/>
  <c r="AC175" i="35"/>
  <c r="AF175" i="35"/>
  <c r="AI175" i="35"/>
  <c r="AL175" i="35"/>
  <c r="AO175" i="35"/>
  <c r="AR175" i="35"/>
  <c r="AU175" i="35"/>
  <c r="AX175" i="35"/>
  <c r="BA175" i="35"/>
  <c r="BD175" i="35"/>
  <c r="BG175" i="35"/>
  <c r="BJ175" i="35"/>
  <c r="BM175" i="35"/>
  <c r="BP175" i="35"/>
  <c r="BS175" i="35"/>
  <c r="BV175" i="35"/>
  <c r="BY175" i="35"/>
  <c r="CB175" i="35"/>
  <c r="CE175" i="35"/>
  <c r="K174" i="35"/>
  <c r="N174" i="35"/>
  <c r="Q174" i="35"/>
  <c r="T174" i="35"/>
  <c r="W174" i="35"/>
  <c r="Z174" i="35"/>
  <c r="AC174" i="35"/>
  <c r="AF174" i="35"/>
  <c r="AI174" i="35"/>
  <c r="AL174" i="35"/>
  <c r="AO174" i="35"/>
  <c r="AR174" i="35"/>
  <c r="AU174" i="35"/>
  <c r="AX174" i="35"/>
  <c r="BA174" i="35"/>
  <c r="BD174" i="35"/>
  <c r="BG174" i="35"/>
  <c r="BJ174" i="35"/>
  <c r="BM174" i="35"/>
  <c r="BP174" i="35"/>
  <c r="BS174" i="35"/>
  <c r="BV174" i="35"/>
  <c r="BY174" i="35"/>
  <c r="CB174" i="35"/>
  <c r="CE174" i="35"/>
  <c r="K173" i="35"/>
  <c r="N173" i="35"/>
  <c r="Q173" i="35"/>
  <c r="T173" i="35"/>
  <c r="W173" i="35"/>
  <c r="Z173" i="35"/>
  <c r="AC173" i="35"/>
  <c r="AF173" i="35"/>
  <c r="AI173" i="35"/>
  <c r="AL173" i="35"/>
  <c r="AO173" i="35"/>
  <c r="AR173" i="35"/>
  <c r="AU173" i="35"/>
  <c r="AX173" i="35"/>
  <c r="BA173" i="35"/>
  <c r="BD173" i="35"/>
  <c r="BG173" i="35"/>
  <c r="BJ173" i="35"/>
  <c r="BM173" i="35"/>
  <c r="BP173" i="35"/>
  <c r="BS173" i="35"/>
  <c r="BV173" i="35"/>
  <c r="BY173" i="35"/>
  <c r="CB173" i="35"/>
  <c r="CE173" i="35"/>
  <c r="K172" i="35"/>
  <c r="N172" i="35"/>
  <c r="Q172" i="35"/>
  <c r="T172" i="35"/>
  <c r="W172" i="35"/>
  <c r="Z172" i="35"/>
  <c r="AC172" i="35"/>
  <c r="AF172" i="35"/>
  <c r="AI172" i="35"/>
  <c r="AL172" i="35"/>
  <c r="AO172" i="35"/>
  <c r="AR172" i="35"/>
  <c r="AU172" i="35"/>
  <c r="AX172" i="35"/>
  <c r="BA172" i="35"/>
  <c r="BD172" i="35"/>
  <c r="BG172" i="35"/>
  <c r="BJ172" i="35"/>
  <c r="BM172" i="35"/>
  <c r="BP172" i="35"/>
  <c r="BS172" i="35"/>
  <c r="BV172" i="35"/>
  <c r="BY172" i="35"/>
  <c r="CB172" i="35"/>
  <c r="CE172" i="35"/>
  <c r="K171" i="35"/>
  <c r="N171" i="35"/>
  <c r="Q171" i="35"/>
  <c r="T171" i="35"/>
  <c r="W171" i="35"/>
  <c r="Z171" i="35"/>
  <c r="AC171" i="35"/>
  <c r="AF171" i="35"/>
  <c r="AI171" i="35"/>
  <c r="AL171" i="35"/>
  <c r="AO171" i="35"/>
  <c r="AR171" i="35"/>
  <c r="AU171" i="35"/>
  <c r="AX171" i="35"/>
  <c r="BA171" i="35"/>
  <c r="BD171" i="35"/>
  <c r="BG171" i="35"/>
  <c r="BJ171" i="35"/>
  <c r="BM171" i="35"/>
  <c r="BP171" i="35"/>
  <c r="BS171" i="35"/>
  <c r="BV171" i="35"/>
  <c r="BY171" i="35"/>
  <c r="CB171" i="35"/>
  <c r="CE171" i="35"/>
  <c r="K170" i="35"/>
  <c r="N170" i="35"/>
  <c r="Q170" i="35"/>
  <c r="T170" i="35"/>
  <c r="W170" i="35"/>
  <c r="Z170" i="35"/>
  <c r="AC170" i="35"/>
  <c r="AF170" i="35"/>
  <c r="AI170" i="35"/>
  <c r="AL170" i="35"/>
  <c r="AO170" i="35"/>
  <c r="AR170" i="35"/>
  <c r="AU170" i="35"/>
  <c r="AX170" i="35"/>
  <c r="BA170" i="35"/>
  <c r="BD170" i="35"/>
  <c r="BG170" i="35"/>
  <c r="BJ170" i="35"/>
  <c r="BM170" i="35"/>
  <c r="BP170" i="35"/>
  <c r="BS170" i="35"/>
  <c r="BV170" i="35"/>
  <c r="BY170" i="35"/>
  <c r="CB170" i="35"/>
  <c r="CE170" i="35"/>
  <c r="K169" i="35"/>
  <c r="N169" i="35"/>
  <c r="Q169" i="35"/>
  <c r="T169" i="35"/>
  <c r="W169" i="35"/>
  <c r="Z169" i="35"/>
  <c r="AC169" i="35"/>
  <c r="AF169" i="35"/>
  <c r="AI169" i="35"/>
  <c r="AL169" i="35"/>
  <c r="AO169" i="35"/>
  <c r="AR169" i="35"/>
  <c r="AU169" i="35"/>
  <c r="AX169" i="35"/>
  <c r="BA169" i="35"/>
  <c r="BD169" i="35"/>
  <c r="BG169" i="35"/>
  <c r="BJ169" i="35"/>
  <c r="BM169" i="35"/>
  <c r="BP169" i="35"/>
  <c r="BS169" i="35"/>
  <c r="BV169" i="35"/>
  <c r="BY169" i="35"/>
  <c r="CB169" i="35"/>
  <c r="CE169" i="35"/>
  <c r="K168" i="35"/>
  <c r="N168" i="35"/>
  <c r="Q168" i="35"/>
  <c r="T168" i="35"/>
  <c r="W168" i="35"/>
  <c r="Z168" i="35"/>
  <c r="AC168" i="35"/>
  <c r="AF168" i="35"/>
  <c r="AI168" i="35"/>
  <c r="AL168" i="35"/>
  <c r="AO168" i="35"/>
  <c r="AR168" i="35"/>
  <c r="AU168" i="35"/>
  <c r="AX168" i="35"/>
  <c r="BA168" i="35"/>
  <c r="BD168" i="35"/>
  <c r="BG168" i="35"/>
  <c r="BJ168" i="35"/>
  <c r="BM168" i="35"/>
  <c r="BP168" i="35"/>
  <c r="BS168" i="35"/>
  <c r="BV168" i="35"/>
  <c r="BY168" i="35"/>
  <c r="CB168" i="35"/>
  <c r="CE168" i="35"/>
  <c r="K167" i="35"/>
  <c r="N167" i="35"/>
  <c r="Q167" i="35"/>
  <c r="T167" i="35"/>
  <c r="W167" i="35"/>
  <c r="Z167" i="35"/>
  <c r="AC167" i="35"/>
  <c r="AF167" i="35"/>
  <c r="AI167" i="35"/>
  <c r="AL167" i="35"/>
  <c r="AO167" i="35"/>
  <c r="AR167" i="35"/>
  <c r="AU167" i="35"/>
  <c r="AX167" i="35"/>
  <c r="BA167" i="35"/>
  <c r="BD167" i="35"/>
  <c r="BG167" i="35"/>
  <c r="BJ167" i="35"/>
  <c r="BM167" i="35"/>
  <c r="BP167" i="35"/>
  <c r="BS167" i="35"/>
  <c r="BV167" i="35"/>
  <c r="BY167" i="35"/>
  <c r="CB167" i="35"/>
  <c r="CE167" i="35"/>
  <c r="K166" i="35"/>
  <c r="N166" i="35"/>
  <c r="Q166" i="35"/>
  <c r="T166" i="35"/>
  <c r="W166" i="35"/>
  <c r="Z166" i="35"/>
  <c r="AC166" i="35"/>
  <c r="AF166" i="35"/>
  <c r="AI166" i="35"/>
  <c r="AL166" i="35"/>
  <c r="AO166" i="35"/>
  <c r="AR166" i="35"/>
  <c r="AU166" i="35"/>
  <c r="AX166" i="35"/>
  <c r="BA166" i="35"/>
  <c r="BD166" i="35"/>
  <c r="BG166" i="35"/>
  <c r="BJ166" i="35"/>
  <c r="BM166" i="35"/>
  <c r="BP166" i="35"/>
  <c r="BS166" i="35"/>
  <c r="BV166" i="35"/>
  <c r="BY166" i="35"/>
  <c r="CB166" i="35"/>
  <c r="CE166" i="35"/>
  <c r="K165" i="35"/>
  <c r="N165" i="35"/>
  <c r="Q165" i="35"/>
  <c r="T165" i="35"/>
  <c r="W165" i="35"/>
  <c r="Z165" i="35"/>
  <c r="AC165" i="35"/>
  <c r="AF165" i="35"/>
  <c r="AI165" i="35"/>
  <c r="AL165" i="35"/>
  <c r="AO165" i="35"/>
  <c r="AR165" i="35"/>
  <c r="AU165" i="35"/>
  <c r="AX165" i="35"/>
  <c r="BA165" i="35"/>
  <c r="BD165" i="35"/>
  <c r="BG165" i="35"/>
  <c r="BJ165" i="35"/>
  <c r="BM165" i="35"/>
  <c r="BP165" i="35"/>
  <c r="BS165" i="35"/>
  <c r="BV165" i="35"/>
  <c r="BY165" i="35"/>
  <c r="CB165" i="35"/>
  <c r="CE165" i="35"/>
  <c r="K164" i="35"/>
  <c r="N164" i="35"/>
  <c r="Q164" i="35"/>
  <c r="T164" i="35"/>
  <c r="W164" i="35"/>
  <c r="Z164" i="35"/>
  <c r="AC164" i="35"/>
  <c r="AF164" i="35"/>
  <c r="AI164" i="35"/>
  <c r="AL164" i="35"/>
  <c r="AO164" i="35"/>
  <c r="AR164" i="35"/>
  <c r="AU164" i="35"/>
  <c r="AX164" i="35"/>
  <c r="BA164" i="35"/>
  <c r="BD164" i="35"/>
  <c r="BG164" i="35"/>
  <c r="BJ164" i="35"/>
  <c r="BM164" i="35"/>
  <c r="BP164" i="35"/>
  <c r="BS164" i="35"/>
  <c r="BV164" i="35"/>
  <c r="BY164" i="35"/>
  <c r="CB164" i="35"/>
  <c r="CE164" i="35"/>
  <c r="K163" i="35"/>
  <c r="N163" i="35"/>
  <c r="Q163" i="35"/>
  <c r="T163" i="35"/>
  <c r="W163" i="35"/>
  <c r="Z163" i="35"/>
  <c r="AC163" i="35"/>
  <c r="AF163" i="35"/>
  <c r="AI163" i="35"/>
  <c r="AL163" i="35"/>
  <c r="AO163" i="35"/>
  <c r="AR163" i="35"/>
  <c r="AU163" i="35"/>
  <c r="AX163" i="35"/>
  <c r="BA163" i="35"/>
  <c r="BD163" i="35"/>
  <c r="BG163" i="35"/>
  <c r="BJ163" i="35"/>
  <c r="BM163" i="35"/>
  <c r="BP163" i="35"/>
  <c r="BS163" i="35"/>
  <c r="BV163" i="35"/>
  <c r="BY163" i="35"/>
  <c r="CB163" i="35"/>
  <c r="CE163" i="35"/>
  <c r="K162" i="35"/>
  <c r="N162" i="35"/>
  <c r="Q162" i="35"/>
  <c r="T162" i="35"/>
  <c r="W162" i="35"/>
  <c r="Z162" i="35"/>
  <c r="AC162" i="35"/>
  <c r="AF162" i="35"/>
  <c r="AI162" i="35"/>
  <c r="AL162" i="35"/>
  <c r="AO162" i="35"/>
  <c r="AR162" i="35"/>
  <c r="AU162" i="35"/>
  <c r="AX162" i="35"/>
  <c r="BA162" i="35"/>
  <c r="BD162" i="35"/>
  <c r="BG162" i="35"/>
  <c r="BJ162" i="35"/>
  <c r="BM162" i="35"/>
  <c r="BP162" i="35"/>
  <c r="BS162" i="35"/>
  <c r="BV162" i="35"/>
  <c r="BY162" i="35"/>
  <c r="CB162" i="35"/>
  <c r="CE162" i="35"/>
  <c r="K161" i="35"/>
  <c r="N161" i="35"/>
  <c r="Q161" i="35"/>
  <c r="T161" i="35"/>
  <c r="W161" i="35"/>
  <c r="Z161" i="35"/>
  <c r="AC161" i="35"/>
  <c r="AF161" i="35"/>
  <c r="AI161" i="35"/>
  <c r="AL161" i="35"/>
  <c r="AO161" i="35"/>
  <c r="AR161" i="35"/>
  <c r="AU161" i="35"/>
  <c r="AX161" i="35"/>
  <c r="BA161" i="35"/>
  <c r="BD161" i="35"/>
  <c r="BG161" i="35"/>
  <c r="BJ161" i="35"/>
  <c r="BM161" i="35"/>
  <c r="BP161" i="35"/>
  <c r="BS161" i="35"/>
  <c r="BV161" i="35"/>
  <c r="BY161" i="35"/>
  <c r="CB161" i="35"/>
  <c r="CE161" i="35"/>
  <c r="K160" i="35"/>
  <c r="N160" i="35"/>
  <c r="Q160" i="35"/>
  <c r="T160" i="35"/>
  <c r="W160" i="35"/>
  <c r="Z160" i="35"/>
  <c r="AC160" i="35"/>
  <c r="AF160" i="35"/>
  <c r="AI160" i="35"/>
  <c r="AL160" i="35"/>
  <c r="AO160" i="35"/>
  <c r="AR160" i="35"/>
  <c r="AU160" i="35"/>
  <c r="AX160" i="35"/>
  <c r="BA160" i="35"/>
  <c r="BD160" i="35"/>
  <c r="BG160" i="35"/>
  <c r="BJ160" i="35"/>
  <c r="BM160" i="35"/>
  <c r="BP160" i="35"/>
  <c r="BS160" i="35"/>
  <c r="BV160" i="35"/>
  <c r="BY160" i="35"/>
  <c r="CB160" i="35"/>
  <c r="CE160" i="35"/>
  <c r="K159" i="35"/>
  <c r="N159" i="35"/>
  <c r="Q159" i="35"/>
  <c r="T159" i="35"/>
  <c r="W159" i="35"/>
  <c r="Z159" i="35"/>
  <c r="AC159" i="35"/>
  <c r="AF159" i="35"/>
  <c r="AI159" i="35"/>
  <c r="AL159" i="35"/>
  <c r="AO159" i="35"/>
  <c r="AR159" i="35"/>
  <c r="AU159" i="35"/>
  <c r="AX159" i="35"/>
  <c r="BA159" i="35"/>
  <c r="BD159" i="35"/>
  <c r="BG159" i="35"/>
  <c r="BJ159" i="35"/>
  <c r="BM159" i="35"/>
  <c r="BP159" i="35"/>
  <c r="BS159" i="35"/>
  <c r="BV159" i="35"/>
  <c r="BY159" i="35"/>
  <c r="CB159" i="35"/>
  <c r="CE159" i="35"/>
  <c r="K158" i="35"/>
  <c r="N158" i="35"/>
  <c r="Q158" i="35"/>
  <c r="T158" i="35"/>
  <c r="W158" i="35"/>
  <c r="Z158" i="35"/>
  <c r="AC158" i="35"/>
  <c r="AF158" i="35"/>
  <c r="AI158" i="35"/>
  <c r="AL158" i="35"/>
  <c r="AO158" i="35"/>
  <c r="AR158" i="35"/>
  <c r="AU158" i="35"/>
  <c r="AX158" i="35"/>
  <c r="BA158" i="35"/>
  <c r="BD158" i="35"/>
  <c r="BG158" i="35"/>
  <c r="BJ158" i="35"/>
  <c r="BM158" i="35"/>
  <c r="BP158" i="35"/>
  <c r="BS158" i="35"/>
  <c r="BV158" i="35"/>
  <c r="BY158" i="35"/>
  <c r="CB158" i="35"/>
  <c r="CE158" i="35"/>
  <c r="K157" i="35"/>
  <c r="N157" i="35"/>
  <c r="Q157" i="35"/>
  <c r="T157" i="35"/>
  <c r="W157" i="35"/>
  <c r="Z157" i="35"/>
  <c r="AC157" i="35"/>
  <c r="AF157" i="35"/>
  <c r="AI157" i="35"/>
  <c r="AL157" i="35"/>
  <c r="AO157" i="35"/>
  <c r="AR157" i="35"/>
  <c r="AU157" i="35"/>
  <c r="AX157" i="35"/>
  <c r="BA157" i="35"/>
  <c r="BD157" i="35"/>
  <c r="BG157" i="35"/>
  <c r="BJ157" i="35"/>
  <c r="BM157" i="35"/>
  <c r="BP157" i="35"/>
  <c r="BS157" i="35"/>
  <c r="BV157" i="35"/>
  <c r="BY157" i="35"/>
  <c r="CB157" i="35"/>
  <c r="CE157" i="35"/>
  <c r="K156" i="35"/>
  <c r="N156" i="35"/>
  <c r="Q156" i="35"/>
  <c r="T156" i="35"/>
  <c r="W156" i="35"/>
  <c r="Z156" i="35"/>
  <c r="AC156" i="35"/>
  <c r="AF156" i="35"/>
  <c r="AI156" i="35"/>
  <c r="AL156" i="35"/>
  <c r="AO156" i="35"/>
  <c r="AR156" i="35"/>
  <c r="AU156" i="35"/>
  <c r="AX156" i="35"/>
  <c r="BA156" i="35"/>
  <c r="BD156" i="35"/>
  <c r="BG156" i="35"/>
  <c r="BJ156" i="35"/>
  <c r="BM156" i="35"/>
  <c r="BP156" i="35"/>
  <c r="BS156" i="35"/>
  <c r="BV156" i="35"/>
  <c r="BY156" i="35"/>
  <c r="CB156" i="35"/>
  <c r="CE156" i="35"/>
  <c r="K155" i="35"/>
  <c r="N155" i="35"/>
  <c r="Q155" i="35"/>
  <c r="T155" i="35"/>
  <c r="W155" i="35"/>
  <c r="Z155" i="35"/>
  <c r="AC155" i="35"/>
  <c r="AF155" i="35"/>
  <c r="AI155" i="35"/>
  <c r="AL155" i="35"/>
  <c r="AO155" i="35"/>
  <c r="AR155" i="35"/>
  <c r="AU155" i="35"/>
  <c r="AX155" i="35"/>
  <c r="BA155" i="35"/>
  <c r="BD155" i="35"/>
  <c r="BG155" i="35"/>
  <c r="BJ155" i="35"/>
  <c r="BM155" i="35"/>
  <c r="BP155" i="35"/>
  <c r="BS155" i="35"/>
  <c r="BV155" i="35"/>
  <c r="BY155" i="35"/>
  <c r="CB155" i="35"/>
  <c r="CE155" i="35"/>
  <c r="K154" i="35"/>
  <c r="N154" i="35"/>
  <c r="Q154" i="35"/>
  <c r="T154" i="35"/>
  <c r="W154" i="35"/>
  <c r="Z154" i="35"/>
  <c r="AC154" i="35"/>
  <c r="AF154" i="35"/>
  <c r="AI154" i="35"/>
  <c r="AL154" i="35"/>
  <c r="AO154" i="35"/>
  <c r="AR154" i="35"/>
  <c r="AU154" i="35"/>
  <c r="AX154" i="35"/>
  <c r="BA154" i="35"/>
  <c r="BD154" i="35"/>
  <c r="BG154" i="35"/>
  <c r="BJ154" i="35"/>
  <c r="BM154" i="35"/>
  <c r="BP154" i="35"/>
  <c r="BS154" i="35"/>
  <c r="BV154" i="35"/>
  <c r="BY154" i="35"/>
  <c r="CB154" i="35"/>
  <c r="CE154" i="35"/>
  <c r="K153" i="35"/>
  <c r="N153" i="35"/>
  <c r="Q153" i="35"/>
  <c r="T153" i="35"/>
  <c r="W153" i="35"/>
  <c r="Z153" i="35"/>
  <c r="AC153" i="35"/>
  <c r="AF153" i="35"/>
  <c r="AI153" i="35"/>
  <c r="AL153" i="35"/>
  <c r="AO153" i="35"/>
  <c r="AR153" i="35"/>
  <c r="AU153" i="35"/>
  <c r="AX153" i="35"/>
  <c r="BA153" i="35"/>
  <c r="BD153" i="35"/>
  <c r="BG153" i="35"/>
  <c r="BJ153" i="35"/>
  <c r="BM153" i="35"/>
  <c r="BP153" i="35"/>
  <c r="BS153" i="35"/>
  <c r="BV153" i="35"/>
  <c r="BY153" i="35"/>
  <c r="CB153" i="35"/>
  <c r="CE153" i="35"/>
  <c r="K152" i="35"/>
  <c r="N152" i="35"/>
  <c r="Q152" i="35"/>
  <c r="T152" i="35"/>
  <c r="W152" i="35"/>
  <c r="Z152" i="35"/>
  <c r="AC152" i="35"/>
  <c r="AF152" i="35"/>
  <c r="AI152" i="35"/>
  <c r="AL152" i="35"/>
  <c r="AO152" i="35"/>
  <c r="AR152" i="35"/>
  <c r="AU152" i="35"/>
  <c r="AX152" i="35"/>
  <c r="BA152" i="35"/>
  <c r="BD152" i="35"/>
  <c r="BG152" i="35"/>
  <c r="BJ152" i="35"/>
  <c r="BM152" i="35"/>
  <c r="BP152" i="35"/>
  <c r="BS152" i="35"/>
  <c r="BV152" i="35"/>
  <c r="BY152" i="35"/>
  <c r="CB152" i="35"/>
  <c r="CE152" i="35"/>
  <c r="AF37" i="11"/>
  <c r="AH37" i="11" s="1"/>
  <c r="AF36" i="11"/>
  <c r="AH36" i="11" s="1"/>
  <c r="AF35" i="11"/>
  <c r="AH35" i="11" s="1"/>
  <c r="AF34" i="11"/>
  <c r="AH34" i="11" s="1"/>
  <c r="AF33" i="11"/>
  <c r="AH33" i="11" s="1"/>
  <c r="AF31" i="11"/>
  <c r="AH31" i="11" s="1"/>
  <c r="AF30" i="11"/>
  <c r="AH30" i="11" s="1"/>
  <c r="AF29" i="11"/>
  <c r="AH29" i="11" s="1"/>
  <c r="AF28" i="11"/>
  <c r="AH28" i="11" s="1"/>
  <c r="AF27" i="11"/>
  <c r="AH27" i="11" s="1"/>
  <c r="AF26" i="11"/>
  <c r="AH26" i="11" s="1"/>
  <c r="AF25" i="11"/>
  <c r="AH25" i="11" s="1"/>
  <c r="AF24" i="11"/>
  <c r="AH24" i="11" s="1"/>
  <c r="AF23" i="11"/>
  <c r="AH23" i="11" s="1"/>
  <c r="AF22" i="11"/>
  <c r="AH22" i="11" s="1"/>
  <c r="AF21" i="11"/>
  <c r="AH21" i="11" s="1"/>
  <c r="AF20" i="11"/>
  <c r="AH20" i="11" s="1"/>
  <c r="AF19" i="11"/>
  <c r="AH19" i="11" s="1"/>
  <c r="AF18" i="11"/>
  <c r="AH18" i="11" s="1"/>
  <c r="AF17" i="11"/>
  <c r="AH17" i="11" s="1"/>
  <c r="AF16" i="11"/>
  <c r="AH16" i="11" s="1"/>
  <c r="AF15" i="11"/>
  <c r="AH15" i="11" s="1"/>
  <c r="AF14" i="11"/>
  <c r="AH14" i="11" s="1"/>
  <c r="AF13" i="11"/>
  <c r="AH13" i="11" s="1"/>
  <c r="AF12" i="11"/>
  <c r="AH12" i="11" s="1"/>
  <c r="AF11" i="11"/>
  <c r="AH11" i="11" s="1"/>
  <c r="AF10" i="11"/>
  <c r="AH10" i="11" s="1"/>
  <c r="AF9" i="11"/>
  <c r="AH9" i="11" s="1"/>
  <c r="AF8" i="11"/>
  <c r="AH8" i="11" s="1"/>
  <c r="AF7" i="11"/>
  <c r="AH7" i="11" s="1"/>
  <c r="AF6" i="11"/>
  <c r="AH6" i="11" s="1"/>
  <c r="AF5" i="11"/>
  <c r="AH5" i="11" s="1"/>
  <c r="AF4" i="11"/>
  <c r="AH4" i="11" s="1"/>
  <c r="AF3" i="11"/>
  <c r="AH3" i="11" s="1"/>
  <c r="AF2" i="11"/>
  <c r="AH2" i="11" l="1"/>
  <c r="AJ2" i="11" s="1"/>
  <c r="AJ32" i="11"/>
  <c r="AJ37" i="11"/>
  <c r="AJ36" i="11"/>
  <c r="AJ35" i="11"/>
  <c r="AJ34" i="11"/>
  <c r="AJ33" i="11"/>
  <c r="AJ31" i="11"/>
  <c r="AJ30" i="11"/>
  <c r="AJ29" i="11"/>
  <c r="AJ28" i="11"/>
  <c r="AJ27" i="11"/>
  <c r="AJ26" i="11"/>
  <c r="AJ25" i="11"/>
  <c r="AJ24" i="11"/>
  <c r="AJ23" i="11"/>
  <c r="AJ22" i="11"/>
  <c r="AJ21" i="11"/>
  <c r="AJ20" i="11"/>
  <c r="AJ19" i="11"/>
  <c r="AJ18" i="11"/>
  <c r="AJ17" i="11"/>
  <c r="AJ16" i="11"/>
  <c r="AJ15" i="11"/>
  <c r="AJ14" i="11"/>
  <c r="AJ13" i="11"/>
  <c r="AJ12" i="11"/>
  <c r="AJ11" i="11"/>
  <c r="AJ10" i="11"/>
  <c r="AJ9" i="11"/>
  <c r="AJ8" i="11"/>
  <c r="AJ7" i="11"/>
  <c r="AJ6" i="11"/>
  <c r="AJ5" i="11"/>
  <c r="AJ4" i="11"/>
  <c r="AJ3" i="11"/>
  <c r="CE188" i="35"/>
  <c r="CB188" i="35"/>
  <c r="BY188" i="35"/>
  <c r="BV188" i="35"/>
  <c r="BS188" i="35"/>
  <c r="BP188" i="35"/>
  <c r="BM188" i="35"/>
  <c r="BJ188" i="35"/>
  <c r="BG188" i="35"/>
  <c r="BD188" i="35"/>
  <c r="BA188" i="35"/>
  <c r="AX188" i="35"/>
  <c r="AU188" i="35"/>
  <c r="AR188" i="35"/>
  <c r="AO188" i="35"/>
  <c r="AL188" i="35"/>
  <c r="AI188" i="35"/>
  <c r="AF188" i="35"/>
  <c r="AC188" i="35"/>
  <c r="Z188" i="35"/>
  <c r="W188" i="35"/>
  <c r="T188" i="35"/>
  <c r="Q188" i="35"/>
  <c r="N188" i="35"/>
  <c r="K188" i="35"/>
  <c r="CE198" i="35"/>
  <c r="CB198" i="35"/>
  <c r="BY198" i="35"/>
  <c r="BV198" i="35"/>
  <c r="BS198" i="35"/>
  <c r="BP198" i="35"/>
  <c r="BM198" i="35"/>
  <c r="BJ198" i="35"/>
  <c r="BG198" i="35"/>
  <c r="BD198" i="35"/>
  <c r="BA198" i="35"/>
  <c r="AX198" i="35"/>
  <c r="AU198" i="35"/>
  <c r="AR198" i="35"/>
  <c r="AO198" i="35"/>
  <c r="AL198" i="35"/>
  <c r="AI198" i="35"/>
  <c r="AF198" i="35"/>
  <c r="AC198" i="35"/>
  <c r="Z198" i="35"/>
  <c r="W198" i="35"/>
  <c r="T198" i="35"/>
  <c r="Q198" i="35"/>
  <c r="N198" i="35"/>
  <c r="K198" i="35"/>
  <c r="CE216" i="35"/>
  <c r="CB216" i="35"/>
  <c r="BY216" i="35"/>
  <c r="BV216" i="35"/>
  <c r="BS216" i="35"/>
  <c r="BP216" i="35"/>
  <c r="BM216" i="35"/>
  <c r="BJ216" i="35"/>
  <c r="BG216" i="35"/>
  <c r="BD216" i="35"/>
  <c r="BA216" i="35"/>
  <c r="AX216" i="35"/>
  <c r="AU216" i="35"/>
  <c r="AR216" i="35"/>
  <c r="AO216" i="35"/>
  <c r="AL216" i="35"/>
  <c r="AI216" i="35"/>
  <c r="AF216" i="35"/>
  <c r="AC216" i="35"/>
  <c r="Z216" i="35"/>
  <c r="W216" i="35"/>
  <c r="T216" i="35"/>
  <c r="Q216" i="35"/>
  <c r="N216" i="35"/>
  <c r="K216" i="35"/>
  <c r="K344" i="35" a="1"/>
  <c r="K344" i="35" s="1"/>
  <c r="N344" i="35" a="1"/>
  <c r="N344" i="35" s="1"/>
  <c r="CE344" i="35" a="1"/>
  <c r="CE344" i="35" s="1"/>
  <c r="CB344" i="35" a="1"/>
  <c r="CB344" i="35" s="1"/>
  <c r="BY344" i="35" a="1"/>
  <c r="BY344" i="35" s="1"/>
  <c r="BV344" i="35" a="1"/>
  <c r="BV344" i="35" s="1"/>
  <c r="BS344" i="35" a="1"/>
  <c r="BS344" i="35" s="1"/>
  <c r="BP344" i="35" a="1"/>
  <c r="BP344" i="35" s="1"/>
  <c r="BM344" i="35" a="1"/>
  <c r="BM344" i="35" s="1"/>
  <c r="BJ344" i="35" a="1"/>
  <c r="BJ344" i="35" s="1"/>
  <c r="BG344" i="35" a="1"/>
  <c r="BG344" i="35" s="1"/>
  <c r="BD344" i="35" a="1"/>
  <c r="BD344" i="35" s="1"/>
  <c r="BA344" i="35" a="1"/>
  <c r="BA344" i="35" s="1"/>
  <c r="AX344" i="35" a="1"/>
  <c r="AX344" i="35" s="1"/>
  <c r="AU344" i="35" a="1"/>
  <c r="AU344" i="35" s="1"/>
  <c r="AR344" i="35" a="1"/>
  <c r="AR344" i="35" s="1"/>
  <c r="AO344" i="35" a="1"/>
  <c r="AO344" i="35" s="1"/>
  <c r="AL344" i="35" a="1"/>
  <c r="AL344" i="35" s="1"/>
  <c r="AI344" i="35" a="1"/>
  <c r="AI344" i="35" s="1"/>
  <c r="AF344" i="35" a="1"/>
  <c r="AF344" i="35" s="1"/>
  <c r="AC344" i="35" a="1"/>
  <c r="AC344" i="35" s="1"/>
  <c r="Z344" i="35" a="1"/>
  <c r="Z344" i="35" s="1"/>
  <c r="W344" i="35" a="1"/>
  <c r="W344" i="35" s="1"/>
  <c r="T344" i="35" a="1"/>
  <c r="T344" i="35" s="1"/>
  <c r="Q344" i="35" a="1"/>
  <c r="Q344" i="35" s="1"/>
  <c r="J4" i="35" l="1"/>
  <c r="M4" i="35"/>
  <c r="P4" i="35"/>
  <c r="S4" i="35"/>
  <c r="V4" i="35"/>
  <c r="Y4" i="35"/>
  <c r="AB4" i="35"/>
  <c r="AE4" i="35"/>
  <c r="AH4" i="35"/>
  <c r="AK4" i="35"/>
  <c r="AN4" i="35"/>
  <c r="AQ4" i="35"/>
  <c r="AT4" i="35"/>
  <c r="AW4" i="35"/>
  <c r="AZ4" i="35"/>
  <c r="BC4" i="35"/>
  <c r="BF4" i="35"/>
  <c r="BI4" i="35"/>
  <c r="BL4" i="35"/>
  <c r="BO4" i="35"/>
  <c r="BR4" i="35"/>
  <c r="BU4" i="35"/>
  <c r="BX4" i="35"/>
  <c r="CA4" i="35"/>
  <c r="CD4" i="35"/>
  <c r="AL3" i="11"/>
  <c r="AN3" i="11" s="1"/>
  <c r="AL4" i="11"/>
  <c r="AN4" i="11" s="1"/>
  <c r="AL5" i="11"/>
  <c r="AN5" i="11" s="1"/>
  <c r="AL6" i="11"/>
  <c r="AN6" i="11" s="1"/>
  <c r="AL7" i="11"/>
  <c r="AN7" i="11" s="1"/>
  <c r="AL8" i="11"/>
  <c r="AN8" i="11" s="1"/>
  <c r="AL9" i="11"/>
  <c r="AN9" i="11" s="1"/>
  <c r="AL10" i="11"/>
  <c r="AN10" i="11" s="1"/>
  <c r="AL11" i="11"/>
  <c r="AN11" i="11" s="1"/>
  <c r="AL12" i="11"/>
  <c r="AN12" i="11" s="1"/>
  <c r="AL13" i="11"/>
  <c r="AN13" i="11" s="1"/>
  <c r="AL14" i="11"/>
  <c r="AN14" i="11" s="1"/>
  <c r="AL15" i="11"/>
  <c r="AN15" i="11" s="1"/>
  <c r="AL16" i="11"/>
  <c r="AN16" i="11" s="1"/>
  <c r="AL17" i="11"/>
  <c r="AN17" i="11" s="1"/>
  <c r="AL18" i="11"/>
  <c r="AN18" i="11" s="1"/>
  <c r="AL19" i="11"/>
  <c r="AN19" i="11" s="1"/>
  <c r="AL20" i="11"/>
  <c r="AN20" i="11" s="1"/>
  <c r="AL21" i="11"/>
  <c r="AN21" i="11" s="1"/>
  <c r="AL22" i="11"/>
  <c r="AN22" i="11" s="1"/>
  <c r="AL23" i="11"/>
  <c r="AN23" i="11" s="1"/>
  <c r="AL24" i="11"/>
  <c r="AN24" i="11" s="1"/>
  <c r="AL25" i="11"/>
  <c r="AN25" i="11" s="1"/>
  <c r="AL26" i="11"/>
  <c r="AN26" i="11" s="1"/>
  <c r="AL27" i="11"/>
  <c r="AN27" i="11" s="1"/>
  <c r="AL28" i="11"/>
  <c r="AN28" i="11" s="1"/>
  <c r="AL29" i="11"/>
  <c r="AN29" i="11" s="1"/>
  <c r="AL30" i="11"/>
  <c r="AN30" i="11" s="1"/>
  <c r="AL31" i="11"/>
  <c r="AN31" i="11" s="1"/>
  <c r="AL33" i="11"/>
  <c r="AN33" i="11" s="1"/>
  <c r="AL34" i="11"/>
  <c r="AN34" i="11" s="1"/>
  <c r="AL35" i="11"/>
  <c r="AN35" i="11" s="1"/>
  <c r="AL36" i="11"/>
  <c r="AN36" i="11" s="1"/>
  <c r="AL37" i="11"/>
  <c r="AN37" i="11" s="1"/>
  <c r="AL32" i="11"/>
  <c r="AN32" i="11" s="1"/>
  <c r="AL2" i="11"/>
  <c r="AN2" i="11" l="1"/>
  <c r="AP2" i="11" s="1"/>
  <c r="AP5" i="11"/>
  <c r="AP6" i="11"/>
  <c r="AP8" i="11"/>
  <c r="AP9" i="11"/>
  <c r="AP11" i="11"/>
  <c r="AP12" i="11"/>
  <c r="AP13" i="11"/>
  <c r="AP14" i="11"/>
  <c r="AP15" i="11"/>
  <c r="AP16" i="11"/>
  <c r="AP17" i="11"/>
  <c r="AP18" i="11"/>
  <c r="AP19" i="11"/>
  <c r="AP20" i="11"/>
  <c r="AP21" i="11"/>
  <c r="AP22" i="11"/>
  <c r="AP23" i="11"/>
  <c r="AP24" i="11"/>
  <c r="AP25" i="11"/>
  <c r="AP26" i="11"/>
  <c r="AP27" i="11"/>
  <c r="AP28" i="11"/>
  <c r="AP29" i="11"/>
  <c r="AP30" i="11"/>
  <c r="AP31" i="11"/>
  <c r="AP33" i="11"/>
  <c r="AP34" i="11"/>
  <c r="AP35" i="11"/>
  <c r="AP36" i="11"/>
  <c r="AP37" i="11"/>
  <c r="AP32" i="11"/>
  <c r="CD2" i="35"/>
  <c r="CD3" i="35"/>
  <c r="CA2" i="35"/>
  <c r="CA3" i="35"/>
  <c r="BX2" i="35"/>
  <c r="BX3" i="35"/>
  <c r="BU2" i="35"/>
  <c r="BU3" i="35"/>
  <c r="BR2" i="35"/>
  <c r="BR3" i="35"/>
  <c r="BO2" i="35"/>
  <c r="BO3" i="35"/>
  <c r="BL2" i="35"/>
  <c r="BL3" i="35"/>
  <c r="BI2" i="35"/>
  <c r="BI3" i="35"/>
  <c r="BF2" i="35"/>
  <c r="BF3" i="35"/>
  <c r="BC2" i="35"/>
  <c r="BC3" i="35"/>
  <c r="AZ2" i="35"/>
  <c r="AZ3" i="35"/>
  <c r="AW2" i="35"/>
  <c r="AW3" i="35"/>
  <c r="AT2" i="35"/>
  <c r="AT3" i="35"/>
  <c r="AQ2" i="35"/>
  <c r="AQ3" i="35"/>
  <c r="AN2" i="35"/>
  <c r="AN3" i="35"/>
  <c r="AK2" i="35"/>
  <c r="AK3" i="35"/>
  <c r="AH2" i="35"/>
  <c r="AH3" i="35"/>
  <c r="AE2" i="35"/>
  <c r="AE3" i="35"/>
  <c r="AB2" i="35"/>
  <c r="AB3" i="35"/>
  <c r="Y2" i="35"/>
  <c r="Y3" i="35"/>
  <c r="V2" i="35"/>
  <c r="V3" i="35"/>
  <c r="S2" i="35"/>
  <c r="S3" i="35"/>
  <c r="P2" i="35"/>
  <c r="P3" i="35"/>
  <c r="M2" i="35"/>
  <c r="M3" i="35"/>
  <c r="J3" i="35"/>
  <c r="J2" i="35"/>
  <c r="AP10" i="11" l="1"/>
  <c r="AP7" i="11"/>
  <c r="AP4" i="11"/>
  <c r="AP3" i="11"/>
  <c r="J1" i="35"/>
  <c r="M1" i="35"/>
  <c r="P1" i="35"/>
  <c r="S1" i="35"/>
  <c r="V1" i="35"/>
  <c r="Y1" i="35"/>
  <c r="AB1" i="35"/>
  <c r="AE1" i="35"/>
  <c r="AH1" i="35"/>
  <c r="AK1" i="35"/>
  <c r="AN1" i="35"/>
  <c r="AQ1" i="35"/>
  <c r="AT1" i="35"/>
  <c r="AW1" i="35"/>
  <c r="AZ1" i="35"/>
  <c r="BC1" i="35"/>
  <c r="BF1" i="35"/>
  <c r="BI1" i="35"/>
  <c r="BL1" i="35"/>
  <c r="BO1" i="35"/>
  <c r="BR1" i="35"/>
  <c r="BU1" i="35"/>
  <c r="BX1" i="35"/>
  <c r="CA1" i="35"/>
  <c r="CD1" i="35"/>
  <c r="AR32" i="11"/>
  <c r="AT32" i="11" s="1"/>
  <c r="AR36" i="11"/>
  <c r="AT36" i="11" s="1"/>
  <c r="AR33" i="11"/>
  <c r="AT33" i="11" s="1"/>
  <c r="AR31" i="11"/>
  <c r="AT31" i="11" s="1"/>
  <c r="AR30" i="11"/>
  <c r="AT30" i="11" s="1"/>
  <c r="AR29" i="11"/>
  <c r="AT29" i="11" s="1"/>
  <c r="AR28" i="11"/>
  <c r="AT28" i="11" s="1"/>
  <c r="AR27" i="11"/>
  <c r="AT27" i="11" s="1"/>
  <c r="AR26" i="11"/>
  <c r="AT26" i="11" s="1"/>
  <c r="AR25" i="11"/>
  <c r="AT25" i="11" s="1"/>
  <c r="AR24" i="11"/>
  <c r="AT24" i="11" s="1"/>
  <c r="AR23" i="11"/>
  <c r="AT23" i="11" s="1"/>
  <c r="AR22" i="11"/>
  <c r="AT22" i="11" s="1"/>
  <c r="AR21" i="11"/>
  <c r="AT21" i="11" s="1"/>
  <c r="AR20" i="11"/>
  <c r="AT20" i="11" s="1"/>
  <c r="AR19" i="11"/>
  <c r="AT19" i="11" s="1"/>
  <c r="AR18" i="11"/>
  <c r="AT18" i="11" s="1"/>
  <c r="AR17" i="11"/>
  <c r="AT17" i="11" s="1"/>
  <c r="AR16" i="11"/>
  <c r="AT16" i="11" s="1"/>
  <c r="AR15" i="11"/>
  <c r="AT15" i="11" s="1"/>
  <c r="AR14" i="11"/>
  <c r="AT14" i="11" s="1"/>
  <c r="AR13" i="11"/>
  <c r="AT13" i="11" s="1"/>
  <c r="AR12" i="11"/>
  <c r="AT12" i="11" s="1"/>
  <c r="AR11" i="11"/>
  <c r="AT11" i="11" s="1"/>
  <c r="AR10" i="11"/>
  <c r="AT10" i="11" s="1"/>
  <c r="AR9" i="11"/>
  <c r="AT9" i="11" s="1"/>
  <c r="AR8" i="11"/>
  <c r="AT8" i="11" s="1"/>
  <c r="AR7" i="11"/>
  <c r="AT7" i="11" s="1"/>
  <c r="AR6" i="11"/>
  <c r="AT6" i="11" s="1"/>
  <c r="AR5" i="11"/>
  <c r="AT5" i="11" s="1"/>
  <c r="AR4" i="11"/>
  <c r="AT4" i="11" s="1"/>
  <c r="AR3" i="11"/>
  <c r="AT3" i="11" s="1"/>
  <c r="AR2" i="11"/>
  <c r="AR34" i="11" l="1"/>
  <c r="AT34" i="11" s="1"/>
  <c r="AR35" i="11"/>
  <c r="AT35" i="11" s="1"/>
  <c r="AR37" i="11"/>
  <c r="AT37" i="11" s="1"/>
  <c r="J4" i="37" a="1"/>
  <c r="J4" i="37" s="1"/>
  <c r="M4" i="37" a="1"/>
  <c r="M4" i="37" s="1"/>
  <c r="I4" i="37" a="1"/>
  <c r="I4" i="37" s="1"/>
  <c r="S4" i="37" a="1"/>
  <c r="S4" i="37" s="1"/>
  <c r="N4" i="37" a="1"/>
  <c r="N4" i="37" s="1"/>
  <c r="R4" i="37" a="1"/>
  <c r="R4" i="37" s="1"/>
  <c r="C4" i="37"/>
  <c r="E4" i="37" a="1"/>
  <c r="E4" i="37" s="1"/>
  <c r="B4" i="37"/>
  <c r="O4" i="37" a="1"/>
  <c r="O4" i="37" s="1"/>
  <c r="H4" i="37" a="1"/>
  <c r="H4" i="37" s="1"/>
  <c r="P4" i="37" a="1"/>
  <c r="P4" i="37" s="1"/>
  <c r="K4" i="37" a="1"/>
  <c r="K4" i="37" s="1"/>
  <c r="G4" i="37" a="1"/>
  <c r="G4" i="37" s="1"/>
  <c r="L4" i="37" a="1"/>
  <c r="L4" i="37" s="1"/>
  <c r="F4" i="37" a="1"/>
  <c r="F4" i="37" s="1"/>
  <c r="D4" i="37"/>
  <c r="Q4" i="37" a="1"/>
  <c r="Q4" i="37" s="1"/>
  <c r="AT2" i="11"/>
  <c r="AV2" i="11" s="1"/>
  <c r="N7" i="37" a="1"/>
  <c r="N7" i="37" s="1"/>
  <c r="S8" i="37" a="1"/>
  <c r="S8" i="37" s="1"/>
  <c r="M15" i="37" a="1"/>
  <c r="M15" i="37" s="1"/>
  <c r="E28" i="37" a="1"/>
  <c r="E28" i="37" s="1"/>
  <c r="J11" i="37" a="1"/>
  <c r="J11" i="37" s="1"/>
  <c r="N8" i="37" a="1"/>
  <c r="N8" i="37" s="1"/>
  <c r="K14" i="37" a="1"/>
  <c r="K14" i="37" s="1"/>
  <c r="D25" i="37"/>
  <c r="H9" i="37" a="1"/>
  <c r="H9" i="37" s="1"/>
  <c r="O20" i="37" a="1"/>
  <c r="O20" i="37" s="1"/>
  <c r="F18" i="37" a="1"/>
  <c r="F18" i="37" s="1"/>
  <c r="N17" i="37" a="1"/>
  <c r="N17" i="37" s="1"/>
  <c r="C23" i="37"/>
  <c r="H18" i="37" a="1"/>
  <c r="H18" i="37" s="1"/>
  <c r="R16" i="37" a="1"/>
  <c r="R16" i="37" s="1"/>
  <c r="I22" i="37" a="1"/>
  <c r="I22" i="37" s="1"/>
  <c r="O22" i="37" a="1"/>
  <c r="O22" i="37" s="1"/>
  <c r="S23" i="37" a="1"/>
  <c r="S23" i="37" s="1"/>
  <c r="S17" i="37" a="1"/>
  <c r="S17" i="37" s="1"/>
  <c r="O16" i="37" a="1"/>
  <c r="O16" i="37" s="1"/>
  <c r="P6" i="37" a="1"/>
  <c r="P6" i="37" s="1"/>
  <c r="M13" i="37" a="1"/>
  <c r="M13" i="37" s="1"/>
  <c r="G9" i="37" a="1"/>
  <c r="G9" i="37" s="1"/>
  <c r="E24" i="37" a="1"/>
  <c r="E24" i="37" s="1"/>
  <c r="Q10" i="37" a="1"/>
  <c r="Q10" i="37" s="1"/>
  <c r="N19" i="37" a="1"/>
  <c r="N19" i="37" s="1"/>
  <c r="B26" i="37"/>
  <c r="S24" i="37" a="1"/>
  <c r="S24" i="37" s="1"/>
  <c r="I8" i="37" a="1"/>
  <c r="I8" i="37" s="1"/>
  <c r="L20" i="37" a="1"/>
  <c r="L20" i="37" s="1"/>
  <c r="R23" i="37" a="1"/>
  <c r="R23" i="37" s="1"/>
  <c r="R28" i="37" a="1"/>
  <c r="R28" i="37" s="1"/>
  <c r="J13" i="37" a="1"/>
  <c r="J13" i="37" s="1"/>
  <c r="B24" i="37"/>
  <c r="L13" i="37" a="1"/>
  <c r="L13" i="37" s="1"/>
  <c r="P8" i="37" a="1"/>
  <c r="P8" i="37" s="1"/>
  <c r="C22" i="37"/>
  <c r="F19" i="37" a="1"/>
  <c r="F19" i="37" s="1"/>
  <c r="B21" i="37"/>
  <c r="M27" i="37" a="1"/>
  <c r="M27" i="37" s="1"/>
  <c r="M7" i="37" a="1"/>
  <c r="M7" i="37" s="1"/>
  <c r="G27" i="37" a="1"/>
  <c r="G27" i="37" s="1"/>
  <c r="F10" i="37" a="1"/>
  <c r="F10" i="37" s="1"/>
  <c r="E9" i="37" a="1"/>
  <c r="E9" i="37" s="1"/>
  <c r="M12" i="37" a="1"/>
  <c r="M12" i="37" s="1"/>
  <c r="L25" i="37" a="1"/>
  <c r="L25" i="37" s="1"/>
  <c r="E22" i="37" a="1"/>
  <c r="E22" i="37" s="1"/>
  <c r="O17" i="37" a="1"/>
  <c r="O17" i="37" s="1"/>
  <c r="P27" i="37" a="1"/>
  <c r="P27" i="37" s="1"/>
  <c r="S27" i="37" a="1"/>
  <c r="S27" i="37" s="1"/>
  <c r="J26" i="37" a="1"/>
  <c r="J26" i="37" s="1"/>
  <c r="M10" i="37" a="1"/>
  <c r="M10" i="37" s="1"/>
  <c r="Q6" i="37" a="1"/>
  <c r="Q6" i="37" s="1"/>
  <c r="M20" i="37" a="1"/>
  <c r="M20" i="37" s="1"/>
  <c r="M28" i="37" a="1"/>
  <c r="M28" i="37" s="1"/>
  <c r="C9" i="37"/>
  <c r="M8" i="37" a="1"/>
  <c r="M8" i="37" s="1"/>
  <c r="F24" i="37" a="1"/>
  <c r="F24" i="37" s="1"/>
  <c r="B15" i="37"/>
  <c r="E25" i="37" a="1"/>
  <c r="E25" i="37" s="1"/>
  <c r="B27" i="37"/>
  <c r="Q15" i="37" a="1"/>
  <c r="Q15" i="37" s="1"/>
  <c r="L26" i="37" a="1"/>
  <c r="L26" i="37" s="1"/>
  <c r="H20" i="37" a="1"/>
  <c r="H20" i="37" s="1"/>
  <c r="J21" i="37" a="1"/>
  <c r="J21" i="37" s="1"/>
  <c r="K15" i="37" a="1"/>
  <c r="K15" i="37" s="1"/>
  <c r="F9" i="37" a="1"/>
  <c r="F9" i="37" s="1"/>
  <c r="E17" i="37" a="1"/>
  <c r="E17" i="37" s="1"/>
  <c r="P24" i="37" a="1"/>
  <c r="P24" i="37" s="1"/>
  <c r="L27" i="37" a="1"/>
  <c r="L27" i="37" s="1"/>
  <c r="C18" i="37"/>
  <c r="Q27" i="37" a="1"/>
  <c r="Q27" i="37" s="1"/>
  <c r="Q7" i="37" a="1"/>
  <c r="Q7" i="37" s="1"/>
  <c r="K21" i="37" a="1"/>
  <c r="K21" i="37" s="1"/>
  <c r="M14" i="37" a="1"/>
  <c r="M14" i="37" s="1"/>
  <c r="J6" i="37" a="1"/>
  <c r="J6" i="37" s="1"/>
  <c r="L16" i="37" a="1"/>
  <c r="L16" i="37" s="1"/>
  <c r="K6" i="37" a="1"/>
  <c r="K6" i="37" s="1"/>
  <c r="C6" i="37"/>
  <c r="R13" i="37" a="1"/>
  <c r="R13" i="37" s="1"/>
  <c r="O21" i="37" a="1"/>
  <c r="O21" i="37" s="1"/>
  <c r="O12" i="37" a="1"/>
  <c r="O12" i="37" s="1"/>
  <c r="N28" i="37" a="1"/>
  <c r="N28" i="37" s="1"/>
  <c r="J19" i="37" a="1"/>
  <c r="J19" i="37" s="1"/>
  <c r="J9" i="37" a="1"/>
  <c r="J9" i="37" s="1"/>
  <c r="D13" i="37"/>
  <c r="Q28" i="37" a="1"/>
  <c r="Q28" i="37" s="1"/>
  <c r="I27" i="37" a="1"/>
  <c r="I27" i="37" s="1"/>
  <c r="J17" i="37" a="1"/>
  <c r="J17" i="37" s="1"/>
  <c r="H8" i="37" a="1"/>
  <c r="H8" i="37" s="1"/>
  <c r="L28" i="37" a="1"/>
  <c r="L28" i="37" s="1"/>
  <c r="F8" i="37" a="1"/>
  <c r="F8" i="37" s="1"/>
  <c r="J16" i="37" a="1"/>
  <c r="J16" i="37" s="1"/>
  <c r="R25" i="37" a="1"/>
  <c r="R25" i="37" s="1"/>
  <c r="C20" i="37"/>
  <c r="D16" i="37"/>
  <c r="G20" i="37" a="1"/>
  <c r="G20" i="37" s="1"/>
  <c r="E10" i="37" a="1"/>
  <c r="E10" i="37" s="1"/>
  <c r="Q18" i="37" a="1"/>
  <c r="Q18" i="37" s="1"/>
  <c r="G11" i="37" a="1"/>
  <c r="G11" i="37" s="1"/>
  <c r="I20" i="37" a="1"/>
  <c r="I20" i="37" s="1"/>
  <c r="R11" i="37" a="1"/>
  <c r="R11" i="37" s="1"/>
  <c r="J24" i="37" a="1"/>
  <c r="J24" i="37" s="1"/>
  <c r="S21" i="37" a="1"/>
  <c r="S21" i="37" s="1"/>
  <c r="N27" i="37" a="1"/>
  <c r="N27" i="37" s="1"/>
  <c r="O19" i="37" a="1"/>
  <c r="O19" i="37" s="1"/>
  <c r="D26" i="37"/>
  <c r="S16" i="37" a="1"/>
  <c r="S16" i="37" s="1"/>
  <c r="F26" i="37" a="1"/>
  <c r="F26" i="37" s="1"/>
  <c r="G17" i="37" a="1"/>
  <c r="G17" i="37" s="1"/>
  <c r="K10" i="37" a="1"/>
  <c r="K10" i="37" s="1"/>
  <c r="Q22" i="37" a="1"/>
  <c r="Q22" i="37" s="1"/>
  <c r="F28" i="37" a="1"/>
  <c r="F28" i="37" s="1"/>
  <c r="M19" i="37" a="1"/>
  <c r="M19" i="37" s="1"/>
  <c r="I12" i="37" a="1"/>
  <c r="I12" i="37" s="1"/>
  <c r="C12" i="37"/>
  <c r="P14" i="37" a="1"/>
  <c r="P14" i="37" s="1"/>
  <c r="B16" i="37"/>
  <c r="S6" i="37" a="1"/>
  <c r="S6" i="37" s="1"/>
  <c r="K19" i="37" a="1"/>
  <c r="K19" i="37" s="1"/>
  <c r="N10" i="37" a="1"/>
  <c r="N10" i="37" s="1"/>
  <c r="D27" i="37"/>
  <c r="P26" i="37" a="1"/>
  <c r="P26" i="37" s="1"/>
  <c r="H7" i="37" a="1"/>
  <c r="H7" i="37" s="1"/>
  <c r="C14" i="37"/>
  <c r="R21" i="37" a="1"/>
  <c r="R21" i="37" s="1"/>
  <c r="O24" i="37" a="1"/>
  <c r="O24" i="37" s="1"/>
  <c r="J14" i="37" a="1"/>
  <c r="J14" i="37" s="1"/>
  <c r="E8" i="37" a="1"/>
  <c r="E8" i="37" s="1"/>
  <c r="N23" i="37" a="1"/>
  <c r="N23" i="37" s="1"/>
  <c r="E21" i="37" a="1"/>
  <c r="E21" i="37" s="1"/>
  <c r="N9" i="37" a="1"/>
  <c r="N9" i="37" s="1"/>
  <c r="K27" i="37" a="1"/>
  <c r="K27" i="37" s="1"/>
  <c r="Q21" i="37" a="1"/>
  <c r="Q21" i="37" s="1"/>
  <c r="Q25" i="37" a="1"/>
  <c r="Q25" i="37" s="1"/>
  <c r="N15" i="37" a="1"/>
  <c r="N15" i="37" s="1"/>
  <c r="C10" i="37"/>
  <c r="L6" i="37" a="1"/>
  <c r="L6" i="37" s="1"/>
  <c r="P9" i="37" a="1"/>
  <c r="P9" i="37" s="1"/>
  <c r="I9" i="37" a="1"/>
  <c r="I9" i="37" s="1"/>
  <c r="R24" i="37" a="1"/>
  <c r="R24" i="37" s="1"/>
  <c r="R9" i="37" a="1"/>
  <c r="R9" i="37" s="1"/>
  <c r="R19" i="37" a="1"/>
  <c r="R19" i="37" s="1"/>
  <c r="F27" i="37" a="1"/>
  <c r="F27" i="37" s="1"/>
  <c r="H19" i="37" a="1"/>
  <c r="H19" i="37" s="1"/>
  <c r="K13" i="37" a="1"/>
  <c r="K13" i="37" s="1"/>
  <c r="N6" i="37" a="1"/>
  <c r="N6" i="37" s="1"/>
  <c r="D18" i="37"/>
  <c r="Q14" i="37" a="1"/>
  <c r="Q14" i="37" s="1"/>
  <c r="F25" i="37" a="1"/>
  <c r="F25" i="37" s="1"/>
  <c r="H16" i="37" a="1"/>
  <c r="H16" i="37" s="1"/>
  <c r="M9" i="37" a="1"/>
  <c r="M9" i="37" s="1"/>
  <c r="E14" i="37" a="1"/>
  <c r="E14" i="37" s="1"/>
  <c r="P20" i="37" a="1"/>
  <c r="P20" i="37" s="1"/>
  <c r="H26" i="37" a="1"/>
  <c r="H26" i="37" s="1"/>
  <c r="O18" i="37" a="1"/>
  <c r="O18" i="37" s="1"/>
  <c r="K11" i="37" a="1"/>
  <c r="K11" i="37" s="1"/>
  <c r="E26" i="37" a="1"/>
  <c r="E26" i="37" s="1"/>
  <c r="P11" i="37" a="1"/>
  <c r="P11" i="37" s="1"/>
  <c r="G22" i="37" a="1"/>
  <c r="G22" i="37" s="1"/>
  <c r="I13" i="37" a="1"/>
  <c r="I13" i="37" s="1"/>
  <c r="E18" i="37" a="1"/>
  <c r="E18" i="37" s="1"/>
  <c r="O28" i="37" a="1"/>
  <c r="O28" i="37" s="1"/>
  <c r="I18" i="37" a="1"/>
  <c r="I18" i="37" s="1"/>
  <c r="K9" i="37" a="1"/>
  <c r="K9" i="37" s="1"/>
  <c r="D15" i="37"/>
  <c r="S19" i="37" a="1"/>
  <c r="S19" i="37" s="1"/>
  <c r="K25" i="37" a="1"/>
  <c r="K25" i="37" s="1"/>
  <c r="F15" i="37" a="1"/>
  <c r="F15" i="37" s="1"/>
  <c r="R18" i="37" a="1"/>
  <c r="R18" i="37" s="1"/>
  <c r="L23" i="37" a="1"/>
  <c r="L23" i="37" s="1"/>
  <c r="J12" i="37" a="1"/>
  <c r="J12" i="37" s="1"/>
  <c r="D20" i="37"/>
  <c r="L8" i="37" a="1"/>
  <c r="L8" i="37" s="1"/>
  <c r="B7" i="37"/>
  <c r="I21" i="37" a="1"/>
  <c r="I21" i="37" s="1"/>
  <c r="D22" i="37"/>
  <c r="K7" i="37" a="1"/>
  <c r="K7" i="37" s="1"/>
  <c r="N22" i="37" a="1"/>
  <c r="N22" i="37" s="1"/>
  <c r="R14" i="37" a="1"/>
  <c r="R14" i="37" s="1"/>
  <c r="H10" i="37" a="1"/>
  <c r="H10" i="37" s="1"/>
  <c r="S13" i="37" a="1"/>
  <c r="S13" i="37" s="1"/>
  <c r="S18" i="37" a="1"/>
  <c r="S18" i="37" s="1"/>
  <c r="B11" i="37"/>
  <c r="P19" i="37" a="1"/>
  <c r="P19" i="37" s="1"/>
  <c r="K28" i="37" a="1"/>
  <c r="K28" i="37" s="1"/>
  <c r="L21" i="37" a="1"/>
  <c r="L21" i="37" s="1"/>
  <c r="B23" i="37"/>
  <c r="S10" i="37" a="1"/>
  <c r="S10" i="37" s="1"/>
  <c r="O23" i="37" a="1"/>
  <c r="O23" i="37" s="1"/>
  <c r="F17" i="37" a="1"/>
  <c r="F17" i="37" s="1"/>
  <c r="L10" i="37" a="1"/>
  <c r="L10" i="37" s="1"/>
  <c r="C19" i="37"/>
  <c r="B25" i="37"/>
  <c r="H22" i="37" a="1"/>
  <c r="H22" i="37" s="1"/>
  <c r="N13" i="37" a="1"/>
  <c r="N13" i="37" s="1"/>
  <c r="G7" i="37" a="1"/>
  <c r="G7" i="37" s="1"/>
  <c r="D12" i="37"/>
  <c r="B22" i="37"/>
  <c r="R12" i="37" a="1"/>
  <c r="R12" i="37" s="1"/>
  <c r="J23" i="37" a="1"/>
  <c r="J23" i="37" s="1"/>
  <c r="K16" i="37" a="1"/>
  <c r="K16" i="37" s="1"/>
  <c r="G8" i="37" a="1"/>
  <c r="G8" i="37" s="1"/>
  <c r="D23" i="37"/>
  <c r="R27" i="37" a="1"/>
  <c r="R27" i="37" s="1"/>
  <c r="H28" i="37" a="1"/>
  <c r="H28" i="37" s="1"/>
  <c r="L18" i="37" a="1"/>
  <c r="L18" i="37" s="1"/>
  <c r="G10" i="37" a="1"/>
  <c r="G10" i="37" s="1"/>
  <c r="D6" i="37"/>
  <c r="Q20" i="37" a="1"/>
  <c r="Q20" i="37" s="1"/>
  <c r="I24" i="37" a="1"/>
  <c r="I24" i="37" s="1"/>
  <c r="G15" i="37" a="1"/>
  <c r="G15" i="37" s="1"/>
  <c r="G6" i="37" a="1"/>
  <c r="G6" i="37" s="1"/>
  <c r="S9" i="37" a="1"/>
  <c r="S9" i="37" s="1"/>
  <c r="N21" i="37" a="1"/>
  <c r="N21" i="37" s="1"/>
  <c r="M11" i="37" a="1"/>
  <c r="M11" i="37" s="1"/>
  <c r="E12" i="37" a="1"/>
  <c r="E12" i="37" s="1"/>
  <c r="B8" i="37"/>
  <c r="Q8" i="37" a="1"/>
  <c r="Q8" i="37" s="1"/>
  <c r="F20" i="37" a="1"/>
  <c r="F20" i="37" s="1"/>
  <c r="M6" i="37" a="1"/>
  <c r="M6" i="37" s="1"/>
  <c r="C8" i="37"/>
  <c r="F22" i="37" a="1"/>
  <c r="F22" i="37" s="1"/>
  <c r="D28" i="37"/>
  <c r="S15" i="37" a="1"/>
  <c r="S15" i="37" s="1"/>
  <c r="L14" i="37" a="1"/>
  <c r="L14" i="37" s="1"/>
  <c r="P7" i="37" a="1"/>
  <c r="P7" i="37" s="1"/>
  <c r="F7" i="37" a="1"/>
  <c r="F7" i="37" s="1"/>
  <c r="G26" i="37" a="1"/>
  <c r="G26" i="37" s="1"/>
  <c r="E19" i="37" a="1"/>
  <c r="E19" i="37" s="1"/>
  <c r="O11" i="37" a="1"/>
  <c r="O11" i="37" s="1"/>
  <c r="J27" i="37" a="1"/>
  <c r="J27" i="37" s="1"/>
  <c r="O6" i="37" a="1"/>
  <c r="O6" i="37" s="1"/>
  <c r="J10" i="37" a="1"/>
  <c r="J10" i="37" s="1"/>
  <c r="C7" i="37"/>
  <c r="N24" i="37" a="1"/>
  <c r="N24" i="37" s="1"/>
  <c r="L11" i="37" a="1"/>
  <c r="L11" i="37" s="1"/>
  <c r="B13" i="37"/>
  <c r="P22" i="37" a="1"/>
  <c r="P22" i="37" s="1"/>
  <c r="K24" i="37" a="1"/>
  <c r="K24" i="37" s="1"/>
  <c r="I26" i="37" a="1"/>
  <c r="I26" i="37" s="1"/>
  <c r="C25" i="37"/>
  <c r="O13" i="37" a="1"/>
  <c r="O13" i="37" s="1"/>
  <c r="Q16" i="37" a="1"/>
  <c r="Q16" i="37" s="1"/>
  <c r="J7" i="37" a="1"/>
  <c r="J7" i="37" s="1"/>
  <c r="M25" i="37" a="1"/>
  <c r="M25" i="37" s="1"/>
  <c r="C17" i="37"/>
  <c r="H15" i="37" a="1"/>
  <c r="H15" i="37" s="1"/>
  <c r="P18" i="37" a="1"/>
  <c r="P18" i="37" s="1"/>
  <c r="E16" i="37" a="1"/>
  <c r="E16" i="37" s="1"/>
  <c r="H17" i="37" a="1"/>
  <c r="H17" i="37" s="1"/>
  <c r="S14" i="37" a="1"/>
  <c r="S14" i="37" s="1"/>
  <c r="D21" i="37"/>
  <c r="F13" i="37" a="1"/>
  <c r="F13" i="37" s="1"/>
  <c r="J28" i="37" a="1"/>
  <c r="J28" i="37" s="1"/>
  <c r="L17" i="37" a="1"/>
  <c r="L17" i="37" s="1"/>
  <c r="P15" i="37" a="1"/>
  <c r="P15" i="37" s="1"/>
  <c r="J22" i="37" a="1"/>
  <c r="J22" i="37" s="1"/>
  <c r="P21" i="37" a="1"/>
  <c r="P21" i="37" s="1"/>
  <c r="F12" i="37" a="1"/>
  <c r="F12" i="37" s="1"/>
  <c r="N16" i="37" a="1"/>
  <c r="N16" i="37" s="1"/>
  <c r="P13" i="37" a="1"/>
  <c r="P13" i="37" s="1"/>
  <c r="I10" i="37" a="1"/>
  <c r="I10" i="37" s="1"/>
  <c r="B19" i="37"/>
  <c r="P25" i="37" a="1"/>
  <c r="P25" i="37" s="1"/>
  <c r="P23" i="37" a="1"/>
  <c r="P23" i="37" s="1"/>
  <c r="C28" i="37"/>
  <c r="C27" i="37"/>
  <c r="B12" i="37"/>
  <c r="O8" i="37" a="1"/>
  <c r="O8" i="37" s="1"/>
  <c r="N26" i="37" a="1"/>
  <c r="N26" i="37" s="1"/>
  <c r="S12" i="37" a="1"/>
  <c r="S12" i="37" s="1"/>
  <c r="C5" i="37"/>
  <c r="H21" i="37" a="1"/>
  <c r="H21" i="37" s="1"/>
  <c r="H24" i="37" a="1"/>
  <c r="H24" i="37" s="1"/>
  <c r="D11" i="37"/>
  <c r="I7" i="37" a="1"/>
  <c r="I7" i="37" s="1"/>
  <c r="J18" i="37" a="1"/>
  <c r="J18" i="37" s="1"/>
  <c r="D10" i="37"/>
  <c r="Q19" i="37" a="1"/>
  <c r="Q19" i="37" s="1"/>
  <c r="E11" i="37" a="1"/>
  <c r="E11" i="37" s="1"/>
  <c r="F14" i="37" a="1"/>
  <c r="F14" i="37" s="1"/>
  <c r="O27" i="37" a="1"/>
  <c r="O27" i="37" s="1"/>
  <c r="H6" i="37" a="1"/>
  <c r="H6" i="37" s="1"/>
  <c r="G5" i="37" a="1"/>
  <c r="G5" i="37" s="1"/>
  <c r="R15" i="37" a="1"/>
  <c r="R15" i="37" s="1"/>
  <c r="J5" i="37" a="1"/>
  <c r="J5" i="37" s="1"/>
  <c r="N5" i="37" a="1"/>
  <c r="N5" i="37" s="1"/>
  <c r="F6" i="37" a="1"/>
  <c r="F6" i="37" s="1"/>
  <c r="H5" i="37" a="1"/>
  <c r="H5" i="37" s="1"/>
  <c r="K5" i="37" a="1"/>
  <c r="K5" i="37" s="1"/>
  <c r="Q11" i="37" a="1"/>
  <c r="Q11" i="37" s="1"/>
  <c r="S5" i="37" a="1"/>
  <c r="S5" i="37" s="1"/>
  <c r="Q13" i="37" a="1"/>
  <c r="Q13" i="37" s="1"/>
  <c r="B17" i="37"/>
  <c r="S28" i="37" a="1"/>
  <c r="S28" i="37" s="1"/>
  <c r="K17" i="37" a="1"/>
  <c r="K17" i="37" s="1"/>
  <c r="I11" i="37" a="1"/>
  <c r="I11" i="37" s="1"/>
  <c r="F23" i="37" a="1"/>
  <c r="F23" i="37" s="1"/>
  <c r="I23" i="37" a="1"/>
  <c r="I23" i="37" s="1"/>
  <c r="L24" i="37" a="1"/>
  <c r="L24" i="37" s="1"/>
  <c r="I28" i="37" a="1"/>
  <c r="I28" i="37" s="1"/>
  <c r="C21" i="37"/>
  <c r="O9" i="37" a="1"/>
  <c r="O9" i="37" s="1"/>
  <c r="L22" i="37" a="1"/>
  <c r="L22" i="37" s="1"/>
  <c r="P12" i="37" a="1"/>
  <c r="P12" i="37" s="1"/>
  <c r="J25" i="37" a="1"/>
  <c r="J25" i="37" s="1"/>
  <c r="S11" i="37" a="1"/>
  <c r="S11" i="37" s="1"/>
  <c r="K20" i="37" a="1"/>
  <c r="K20" i="37" s="1"/>
  <c r="H25" i="37" a="1"/>
  <c r="H25" i="37" s="1"/>
  <c r="N25" i="37" a="1"/>
  <c r="N25" i="37" s="1"/>
  <c r="J8" i="37" a="1"/>
  <c r="J8" i="37" s="1"/>
  <c r="I25" i="37" a="1"/>
  <c r="I25" i="37" s="1"/>
  <c r="R7" i="37" a="1"/>
  <c r="R7" i="37" s="1"/>
  <c r="C13" i="37"/>
  <c r="H14" i="37" a="1"/>
  <c r="H14" i="37" s="1"/>
  <c r="E13" i="37" a="1"/>
  <c r="E13" i="37" s="1"/>
  <c r="E5" i="37" a="1"/>
  <c r="E5" i="37" s="1"/>
  <c r="O15" i="37" a="1"/>
  <c r="O15" i="37" s="1"/>
  <c r="P5" i="37" a="1"/>
  <c r="P5" i="37" s="1"/>
  <c r="M5" i="37" a="1"/>
  <c r="M5" i="37" s="1"/>
  <c r="B10" i="37"/>
  <c r="K8" i="37" a="1"/>
  <c r="K8" i="37" s="1"/>
  <c r="Q17" i="37" a="1"/>
  <c r="Q17" i="37" s="1"/>
  <c r="P10" i="37" a="1"/>
  <c r="P10" i="37" s="1"/>
  <c r="N12" i="37" a="1"/>
  <c r="N12" i="37" s="1"/>
  <c r="D19" i="37"/>
  <c r="B14" i="37"/>
  <c r="G16" i="37" a="1"/>
  <c r="G16" i="37" s="1"/>
  <c r="Q24" i="37" a="1"/>
  <c r="Q24" i="37" s="1"/>
  <c r="B28" i="37"/>
  <c r="S22" i="37" a="1"/>
  <c r="S22" i="37" s="1"/>
  <c r="O14" i="37" a="1"/>
  <c r="O14" i="37" s="1"/>
  <c r="B18" i="37"/>
  <c r="E6" i="37" a="1"/>
  <c r="E6" i="37" s="1"/>
  <c r="J20" i="37" a="1"/>
  <c r="J20" i="37" s="1"/>
  <c r="I15" i="37" a="1"/>
  <c r="I15" i="37" s="1"/>
  <c r="E15" i="37" a="1"/>
  <c r="E15" i="37" s="1"/>
  <c r="C26" i="37"/>
  <c r="O7" i="37" a="1"/>
  <c r="O7" i="37" s="1"/>
  <c r="P16" i="37" a="1"/>
  <c r="P16" i="37" s="1"/>
  <c r="G13" i="37" a="1"/>
  <c r="G13" i="37" s="1"/>
  <c r="F11" i="37" a="1"/>
  <c r="F11" i="37" s="1"/>
  <c r="F5" i="37" a="1"/>
  <c r="F5" i="37" s="1"/>
  <c r="O5" i="37" a="1"/>
  <c r="O5" i="37" s="1"/>
  <c r="L9" i="37" a="1"/>
  <c r="L9" i="37" s="1"/>
  <c r="N20" i="37" a="1"/>
  <c r="N20" i="37" s="1"/>
  <c r="L15" i="37" a="1"/>
  <c r="L15" i="37" s="1"/>
  <c r="G25" i="37" a="1"/>
  <c r="G25" i="37" s="1"/>
  <c r="M24" i="37" a="1"/>
  <c r="M24" i="37" s="1"/>
  <c r="C15" i="37"/>
  <c r="M21" i="37" a="1"/>
  <c r="M21" i="37" s="1"/>
  <c r="C16" i="37"/>
  <c r="G23" i="37" a="1"/>
  <c r="G23" i="37" s="1"/>
  <c r="D9" i="37"/>
  <c r="P17" i="37" a="1"/>
  <c r="P17" i="37" s="1"/>
  <c r="B20" i="37"/>
  <c r="Q9" i="37" a="1"/>
  <c r="Q9" i="37" s="1"/>
  <c r="D24" i="37"/>
  <c r="G19" i="37" a="1"/>
  <c r="G19" i="37" s="1"/>
  <c r="I17" i="37" a="1"/>
  <c r="I17" i="37" s="1"/>
  <c r="H23" i="37" a="1"/>
  <c r="H23" i="37" s="1"/>
  <c r="J15" i="37" a="1"/>
  <c r="J15" i="37" s="1"/>
  <c r="D8" i="37"/>
  <c r="D14" i="37"/>
  <c r="N14" i="37" a="1"/>
  <c r="N14" i="37" s="1"/>
  <c r="S25" i="37" a="1"/>
  <c r="S25" i="37" s="1"/>
  <c r="M18" i="37" a="1"/>
  <c r="M18" i="37" s="1"/>
  <c r="S20" i="37" a="1"/>
  <c r="S20" i="37" s="1"/>
  <c r="E27" i="37" a="1"/>
  <c r="E27" i="37" s="1"/>
  <c r="M17" i="37" a="1"/>
  <c r="M17" i="37" s="1"/>
  <c r="B9" i="37"/>
  <c r="R22" i="37" a="1"/>
  <c r="R22" i="37" s="1"/>
  <c r="G14" i="37" a="1"/>
  <c r="G14" i="37" s="1"/>
  <c r="E23" i="37" a="1"/>
  <c r="E23" i="37" s="1"/>
  <c r="K23" i="37" a="1"/>
  <c r="K23" i="37" s="1"/>
  <c r="M26" i="37" a="1"/>
  <c r="M26" i="37" s="1"/>
  <c r="R10" i="37" a="1"/>
  <c r="R10" i="37" s="1"/>
  <c r="H12" i="37" a="1"/>
  <c r="H12" i="37" s="1"/>
  <c r="M23" i="37" a="1"/>
  <c r="M23" i="37" s="1"/>
  <c r="R5" i="37" a="1"/>
  <c r="R5" i="37" s="1"/>
  <c r="D5" i="37"/>
  <c r="P28" i="37" a="1"/>
  <c r="P28" i="37" s="1"/>
  <c r="R8" i="37" a="1"/>
  <c r="R8" i="37" s="1"/>
  <c r="E7" i="37" a="1"/>
  <c r="E7" i="37" s="1"/>
  <c r="M22" i="37" a="1"/>
  <c r="M22" i="37" s="1"/>
  <c r="H11" i="37" a="1"/>
  <c r="H11" i="37" s="1"/>
  <c r="G24" i="37" a="1"/>
  <c r="G24" i="37" s="1"/>
  <c r="C24" i="37"/>
  <c r="K18" i="37" a="1"/>
  <c r="K18" i="37" s="1"/>
  <c r="R17" i="37" a="1"/>
  <c r="R17" i="37" s="1"/>
  <c r="O26" i="37" a="1"/>
  <c r="O26" i="37" s="1"/>
  <c r="G28" i="37" a="1"/>
  <c r="G28" i="37" s="1"/>
  <c r="D7" i="37"/>
  <c r="Q12" i="37" a="1"/>
  <c r="Q12" i="37" s="1"/>
  <c r="M16" i="37" a="1"/>
  <c r="M16" i="37" s="1"/>
  <c r="N11" i="37" a="1"/>
  <c r="N11" i="37" s="1"/>
  <c r="C11" i="37"/>
  <c r="K26" i="37" a="1"/>
  <c r="K26" i="37" s="1"/>
  <c r="I6" i="37" a="1"/>
  <c r="I6" i="37" s="1"/>
  <c r="Q26" i="37" a="1"/>
  <c r="Q26" i="37" s="1"/>
  <c r="S26" i="37" a="1"/>
  <c r="S26" i="37" s="1"/>
  <c r="G21" i="37" a="1"/>
  <c r="G21" i="37" s="1"/>
  <c r="H13" i="37" a="1"/>
  <c r="H13" i="37" s="1"/>
  <c r="R6" i="37" a="1"/>
  <c r="R6" i="37" s="1"/>
  <c r="G12" i="37" a="1"/>
  <c r="G12" i="37" s="1"/>
  <c r="O25" i="37" a="1"/>
  <c r="O25" i="37" s="1"/>
  <c r="Q23" i="37" a="1"/>
  <c r="Q23" i="37" s="1"/>
  <c r="N18" i="37" a="1"/>
  <c r="N18" i="37" s="1"/>
  <c r="L12" i="37" a="1"/>
  <c r="L12" i="37" s="1"/>
  <c r="R26" i="37" a="1"/>
  <c r="R26" i="37" s="1"/>
  <c r="L7" i="37" a="1"/>
  <c r="L7" i="37" s="1"/>
  <c r="I14" i="37" a="1"/>
  <c r="I14" i="37" s="1"/>
  <c r="F16" i="37" a="1"/>
  <c r="F16" i="37" s="1"/>
  <c r="O10" i="37" a="1"/>
  <c r="O10" i="37" s="1"/>
  <c r="R20" i="37" a="1"/>
  <c r="R20" i="37" s="1"/>
  <c r="B6" i="37"/>
  <c r="G18" i="37" a="1"/>
  <c r="G18" i="37" s="1"/>
  <c r="K22" i="37" a="1"/>
  <c r="K22" i="37" s="1"/>
  <c r="S7" i="37" a="1"/>
  <c r="S7" i="37" s="1"/>
  <c r="I19" i="37" a="1"/>
  <c r="I19" i="37" s="1"/>
  <c r="F21" i="37" a="1"/>
  <c r="F21" i="37" s="1"/>
  <c r="D17" i="37"/>
  <c r="L19" i="37" a="1"/>
  <c r="L19" i="37" s="1"/>
  <c r="K12" i="37" a="1"/>
  <c r="K12" i="37" s="1"/>
  <c r="B5" i="37"/>
  <c r="E20" i="37" a="1"/>
  <c r="E20" i="37" s="1"/>
  <c r="I16" i="37" a="1"/>
  <c r="I16" i="37" s="1"/>
  <c r="H27" i="37" a="1"/>
  <c r="H27" i="37" s="1"/>
  <c r="I5" i="37" a="1"/>
  <c r="I5" i="37" s="1"/>
  <c r="L5" i="37" a="1"/>
  <c r="L5" i="37" s="1"/>
  <c r="Q5" i="37" a="1"/>
  <c r="Q5" i="37" s="1"/>
  <c r="AV7" i="11" l="1"/>
  <c r="AV11" i="11"/>
  <c r="AV4" i="11"/>
  <c r="AV15" i="11"/>
  <c r="AV5" i="11"/>
  <c r="AV8" i="11"/>
  <c r="AV12" i="11"/>
  <c r="AV18" i="11"/>
  <c r="AV3" i="11"/>
  <c r="AV6" i="11"/>
  <c r="AV9" i="11"/>
  <c r="AV14" i="11"/>
  <c r="AV21" i="11"/>
  <c r="AV10" i="11"/>
  <c r="AV13" i="11"/>
  <c r="AV16" i="11"/>
  <c r="AV19" i="11"/>
  <c r="AV22" i="11"/>
  <c r="AV17" i="11"/>
  <c r="AV20" i="11"/>
  <c r="AV23" i="11"/>
  <c r="AV24" i="11"/>
  <c r="AV27" i="11"/>
  <c r="AV26" i="11"/>
  <c r="AV25" i="11"/>
  <c r="AV28" i="11"/>
  <c r="AV30" i="11"/>
  <c r="AV29" i="11"/>
  <c r="AV31" i="11"/>
  <c r="AV33" i="11"/>
  <c r="AV34" i="11"/>
  <c r="AV35" i="11"/>
  <c r="AV36" i="11"/>
  <c r="AV37" i="11"/>
  <c r="AV32" i="11"/>
  <c r="AX3" i="11" l="1"/>
  <c r="AZ3" i="11" s="1"/>
  <c r="AX36" i="11"/>
  <c r="AZ36" i="11" s="1"/>
  <c r="AX35" i="11"/>
  <c r="AZ35" i="11" s="1"/>
  <c r="AX37" i="11"/>
  <c r="AZ37" i="11" s="1"/>
  <c r="AX34" i="11"/>
  <c r="AZ34" i="11" s="1"/>
  <c r="AX2" i="11"/>
  <c r="AX33" i="11"/>
  <c r="AZ33" i="11" s="1"/>
  <c r="AX32" i="11"/>
  <c r="AZ32" i="11" s="1"/>
  <c r="AX28" i="11"/>
  <c r="AZ28" i="11" s="1"/>
  <c r="AX31" i="11"/>
  <c r="AZ31" i="11" s="1"/>
  <c r="AX25" i="11"/>
  <c r="AZ25" i="11" s="1"/>
  <c r="AX29" i="11"/>
  <c r="AZ29" i="11" s="1"/>
  <c r="AX19" i="11"/>
  <c r="AZ19" i="11" s="1"/>
  <c r="AX23" i="11"/>
  <c r="AZ23" i="11" s="1"/>
  <c r="AX16" i="11"/>
  <c r="AZ16" i="11" s="1"/>
  <c r="AX20" i="11"/>
  <c r="AZ20" i="11" s="1"/>
  <c r="AX14" i="11"/>
  <c r="AZ14" i="11" s="1"/>
  <c r="AX11" i="11"/>
  <c r="AZ11" i="11" s="1"/>
  <c r="AX7" i="11"/>
  <c r="AZ7" i="11" s="1"/>
  <c r="AX30" i="11"/>
  <c r="AZ30" i="11" s="1"/>
  <c r="AX26" i="11"/>
  <c r="AZ26" i="11" s="1"/>
  <c r="AX22" i="11"/>
  <c r="AZ22" i="11" s="1"/>
  <c r="AX17" i="11"/>
  <c r="AZ17" i="11" s="1"/>
  <c r="AX13" i="11"/>
  <c r="AZ13" i="11" s="1"/>
  <c r="AX8" i="11"/>
  <c r="AZ8" i="11" s="1"/>
  <c r="AX4" i="11"/>
  <c r="AZ4" i="11" s="1"/>
  <c r="AX10" i="11"/>
  <c r="AZ10" i="11" s="1"/>
  <c r="AX5" i="11"/>
  <c r="AZ5" i="11" s="1"/>
  <c r="AX27" i="11"/>
  <c r="AZ27" i="11" s="1"/>
  <c r="AX24" i="11"/>
  <c r="AZ24" i="11" s="1"/>
  <c r="AX21" i="11"/>
  <c r="AZ21" i="11" s="1"/>
  <c r="AX18" i="11"/>
  <c r="AZ18" i="11" s="1"/>
  <c r="AX15" i="11"/>
  <c r="AZ15" i="11" s="1"/>
  <c r="AX12" i="11"/>
  <c r="AZ12" i="11" s="1"/>
  <c r="AX9" i="11"/>
  <c r="AZ9" i="11" s="1"/>
  <c r="AX6" i="11"/>
  <c r="AZ6" i="11" s="1"/>
  <c r="AZ2" i="11"/>
  <c r="BB28" i="11" l="1"/>
  <c r="BB35" i="11"/>
  <c r="BB30" i="11"/>
  <c r="BB34" i="11"/>
  <c r="BB32" i="11"/>
  <c r="BB25" i="11"/>
  <c r="BB37" i="11"/>
  <c r="BB22" i="11"/>
  <c r="BB10" i="11"/>
  <c r="BB36" i="11"/>
  <c r="BB31" i="11"/>
  <c r="BB27" i="11"/>
  <c r="BB21" i="11"/>
  <c r="BB24" i="11"/>
  <c r="BB14" i="11"/>
  <c r="BB17" i="11"/>
  <c r="BB33" i="11"/>
  <c r="BB29" i="11"/>
  <c r="BB26" i="11"/>
  <c r="BB23" i="11"/>
  <c r="BB19" i="11"/>
  <c r="BB13" i="11"/>
  <c r="BB8" i="11"/>
  <c r="BB20" i="11"/>
  <c r="BB16" i="11"/>
  <c r="BB11" i="11"/>
  <c r="BB9" i="11"/>
  <c r="BB6" i="11"/>
  <c r="BB18" i="11"/>
  <c r="BB15" i="11"/>
  <c r="BB12" i="11"/>
  <c r="BB5" i="11"/>
  <c r="BB2" i="11"/>
  <c r="BB7" i="11"/>
  <c r="BB4" i="11"/>
  <c r="BB3" i="11"/>
  <c r="BD32" i="11" l="1"/>
  <c r="BF32" i="11" s="1"/>
  <c r="BD4" i="11"/>
  <c r="BF4" i="11" s="1"/>
  <c r="BD7" i="11"/>
  <c r="BF7" i="11" s="1"/>
  <c r="BD10" i="11"/>
  <c r="BF10" i="11" s="1"/>
  <c r="BD2" i="11"/>
  <c r="BF2" i="11" s="1"/>
  <c r="BD5" i="11"/>
  <c r="BF5" i="11" s="1"/>
  <c r="BD8" i="11"/>
  <c r="BF8" i="11" s="1"/>
  <c r="BD11" i="11"/>
  <c r="BF11" i="11" s="1"/>
  <c r="BD14" i="11"/>
  <c r="BF14" i="11" s="1"/>
  <c r="BD17" i="11"/>
  <c r="BF17" i="11" s="1"/>
  <c r="BD20" i="11"/>
  <c r="BF20" i="11" s="1"/>
  <c r="BD23" i="11"/>
  <c r="BF23" i="11" s="1"/>
  <c r="BD26" i="11"/>
  <c r="BF26" i="11" s="1"/>
  <c r="BD29" i="11"/>
  <c r="BF29" i="11" s="1"/>
  <c r="BD33" i="11"/>
  <c r="BF33" i="11" s="1"/>
  <c r="BD36" i="11"/>
  <c r="BF36" i="11" s="1"/>
  <c r="BD3" i="11"/>
  <c r="BF3" i="11" s="1"/>
  <c r="BD6" i="11"/>
  <c r="BF6" i="11" s="1"/>
  <c r="BD9" i="11"/>
  <c r="BF9" i="11" s="1"/>
  <c r="BD12" i="11"/>
  <c r="BF12" i="11" s="1"/>
  <c r="BD15" i="11"/>
  <c r="BF15" i="11" s="1"/>
  <c r="BD18" i="11"/>
  <c r="BF18" i="11" s="1"/>
  <c r="BD21" i="11"/>
  <c r="BF21" i="11" s="1"/>
  <c r="BD24" i="11"/>
  <c r="BF24" i="11" s="1"/>
  <c r="BD27" i="11"/>
  <c r="BF27" i="11" s="1"/>
  <c r="BD30" i="11"/>
  <c r="BF30" i="11" s="1"/>
  <c r="BD34" i="11"/>
  <c r="BF34" i="11" s="1"/>
  <c r="BD37" i="11"/>
  <c r="BF37" i="11" s="1"/>
  <c r="BD13" i="11"/>
  <c r="BF13" i="11" s="1"/>
  <c r="BD16" i="11"/>
  <c r="BF16" i="11" s="1"/>
  <c r="BD19" i="11"/>
  <c r="BF19" i="11" s="1"/>
  <c r="BD22" i="11"/>
  <c r="BF22" i="11" s="1"/>
  <c r="BD25" i="11"/>
  <c r="BF25" i="11" s="1"/>
  <c r="BD28" i="11"/>
  <c r="BF28" i="11" s="1"/>
  <c r="BD31" i="11"/>
  <c r="BF31" i="11" s="1"/>
  <c r="BD35" i="11"/>
  <c r="BF35" i="11" s="1"/>
  <c r="BH4" i="11" l="1"/>
  <c r="BH7" i="11"/>
  <c r="BH26" i="11"/>
  <c r="BH9" i="11"/>
  <c r="BH5" i="11"/>
  <c r="BH3" i="11"/>
  <c r="BH6" i="11"/>
  <c r="BH15" i="11"/>
  <c r="BH8" i="11"/>
  <c r="BH18" i="11"/>
  <c r="BH11" i="11"/>
  <c r="BH29" i="11"/>
  <c r="BH14" i="11"/>
  <c r="BH20" i="11"/>
  <c r="BH2" i="11"/>
  <c r="BH12" i="11"/>
  <c r="BH17" i="11"/>
  <c r="BH23" i="11"/>
  <c r="BH34" i="11"/>
  <c r="BH21" i="11"/>
  <c r="BH24" i="11"/>
  <c r="BH27" i="11"/>
  <c r="BH30" i="11"/>
  <c r="BH36" i="11"/>
  <c r="BH10" i="11"/>
  <c r="BH13" i="11"/>
  <c r="BH16" i="11"/>
  <c r="BH19" i="11"/>
  <c r="BH22" i="11"/>
  <c r="BH25" i="11"/>
  <c r="BH28" i="11"/>
  <c r="BH33" i="11"/>
  <c r="BH37" i="11"/>
  <c r="BH31" i="11"/>
  <c r="BH35" i="11"/>
  <c r="BH32" i="11"/>
  <c r="BJ36" i="11" l="1"/>
  <c r="BL36" i="11" s="1"/>
  <c r="BJ18" i="11"/>
  <c r="BL18" i="11" s="1"/>
  <c r="BJ37" i="11"/>
  <c r="BL37" i="11" s="1"/>
  <c r="BJ15" i="11"/>
  <c r="BL15" i="11" s="1"/>
  <c r="BJ26" i="11"/>
  <c r="BL26" i="11" s="1"/>
  <c r="BJ11" i="11"/>
  <c r="BL11" i="11" s="1"/>
  <c r="BJ30" i="11"/>
  <c r="BL30" i="11" s="1"/>
  <c r="BJ20" i="11"/>
  <c r="BL20" i="11" s="1"/>
  <c r="BJ14" i="11"/>
  <c r="BL14" i="11" s="1"/>
  <c r="BJ2" i="11"/>
  <c r="BJ34" i="11"/>
  <c r="BL34" i="11" s="1"/>
  <c r="BJ29" i="11"/>
  <c r="BL29" i="11" s="1"/>
  <c r="BJ24" i="11"/>
  <c r="BL24" i="11" s="1"/>
  <c r="BJ33" i="11"/>
  <c r="BL33" i="11" s="1"/>
  <c r="BJ27" i="11"/>
  <c r="BL27" i="11" s="1"/>
  <c r="BJ23" i="11"/>
  <c r="BL23" i="11" s="1"/>
  <c r="BJ31" i="11"/>
  <c r="BL31" i="11" s="1"/>
  <c r="BJ32" i="11"/>
  <c r="BL32" i="11" s="1"/>
  <c r="BJ35" i="11"/>
  <c r="BL35" i="11" s="1"/>
  <c r="BJ28" i="11"/>
  <c r="BL28" i="11" s="1"/>
  <c r="BJ25" i="11"/>
  <c r="BL25" i="11" s="1"/>
  <c r="BJ21" i="11"/>
  <c r="BL21" i="11" s="1"/>
  <c r="BJ17" i="11"/>
  <c r="BL17" i="11" s="1"/>
  <c r="BJ3" i="11"/>
  <c r="BL3" i="11" s="1"/>
  <c r="BJ8" i="11"/>
  <c r="BL8" i="11" s="1"/>
  <c r="BJ12" i="11"/>
  <c r="BL12" i="11" s="1"/>
  <c r="BJ5" i="11"/>
  <c r="BL5" i="11" s="1"/>
  <c r="BJ4" i="11"/>
  <c r="BL4" i="11" s="1"/>
  <c r="BJ22" i="11"/>
  <c r="BL22" i="11" s="1"/>
  <c r="BJ19" i="11"/>
  <c r="BL19" i="11" s="1"/>
  <c r="BJ16" i="11"/>
  <c r="BL16" i="11" s="1"/>
  <c r="BJ13" i="11"/>
  <c r="BL13" i="11" s="1"/>
  <c r="BJ10" i="11"/>
  <c r="BL10" i="11" s="1"/>
  <c r="BJ7" i="11"/>
  <c r="BL7" i="11" s="1"/>
  <c r="BJ9" i="11"/>
  <c r="BL9" i="11" s="1"/>
  <c r="BJ6" i="11"/>
  <c r="BL6" i="11" s="1"/>
  <c r="BL2" i="11"/>
  <c r="BN35" i="11" l="1"/>
  <c r="BN32" i="11"/>
  <c r="BN28" i="11"/>
  <c r="BN21" i="11"/>
  <c r="BN36" i="11"/>
  <c r="BN33" i="11"/>
  <c r="BN29" i="11"/>
  <c r="BN26" i="11"/>
  <c r="BN22" i="11"/>
  <c r="BN18" i="11"/>
  <c r="BN13" i="11"/>
  <c r="BN31" i="11"/>
  <c r="BN25" i="11"/>
  <c r="BN16" i="11"/>
  <c r="BN9" i="11"/>
  <c r="BN37" i="11"/>
  <c r="BN34" i="11"/>
  <c r="BN30" i="11"/>
  <c r="BN27" i="11"/>
  <c r="BN24" i="11"/>
  <c r="BN19" i="11"/>
  <c r="BN15" i="11"/>
  <c r="BN11" i="11"/>
  <c r="BN12" i="11"/>
  <c r="BN23" i="11"/>
  <c r="BN20" i="11"/>
  <c r="BN17" i="11"/>
  <c r="BN14" i="11"/>
  <c r="BN6" i="11"/>
  <c r="BN5" i="11"/>
  <c r="BN8" i="11"/>
  <c r="BN2" i="11"/>
  <c r="BN10" i="11"/>
  <c r="BN7" i="11"/>
  <c r="BN4" i="11"/>
  <c r="BN3" i="11"/>
  <c r="BP32" i="11" l="1"/>
  <c r="BR32" i="11" s="1"/>
  <c r="BP8" i="11"/>
  <c r="BR8" i="11" s="1"/>
  <c r="BP2" i="11"/>
  <c r="BR2" i="11" s="1"/>
  <c r="BP11" i="11"/>
  <c r="BR11" i="11" s="1"/>
  <c r="BP5" i="11"/>
  <c r="BR5" i="11" s="1"/>
  <c r="BP14" i="11"/>
  <c r="BR14" i="11" s="1"/>
  <c r="BP4" i="11"/>
  <c r="BR4" i="11" s="1"/>
  <c r="BP10" i="11"/>
  <c r="BR10" i="11" s="1"/>
  <c r="BP17" i="11"/>
  <c r="BR17" i="11" s="1"/>
  <c r="BP20" i="11"/>
  <c r="BR20" i="11" s="1"/>
  <c r="BP23" i="11"/>
  <c r="BR23" i="11" s="1"/>
  <c r="BP26" i="11"/>
  <c r="BR26" i="11" s="1"/>
  <c r="BP29" i="11"/>
  <c r="BR29" i="11" s="1"/>
  <c r="BP33" i="11"/>
  <c r="BR33" i="11" s="1"/>
  <c r="BP36" i="11"/>
  <c r="BR36" i="11" s="1"/>
  <c r="BP3" i="11"/>
  <c r="BR3" i="11" s="1"/>
  <c r="BP6" i="11"/>
  <c r="BR6" i="11" s="1"/>
  <c r="BP9" i="11"/>
  <c r="BR9" i="11" s="1"/>
  <c r="BP12" i="11"/>
  <c r="BR12" i="11" s="1"/>
  <c r="BP15" i="11"/>
  <c r="BR15" i="11" s="1"/>
  <c r="BP18" i="11"/>
  <c r="BR18" i="11" s="1"/>
  <c r="BP21" i="11"/>
  <c r="BR21" i="11" s="1"/>
  <c r="BP24" i="11"/>
  <c r="BR24" i="11" s="1"/>
  <c r="BP27" i="11"/>
  <c r="BR27" i="11" s="1"/>
  <c r="BP30" i="11"/>
  <c r="BR30" i="11" s="1"/>
  <c r="BP34" i="11"/>
  <c r="BR34" i="11" s="1"/>
  <c r="BP37" i="11"/>
  <c r="BR37" i="11" s="1"/>
  <c r="BP7" i="11"/>
  <c r="BR7" i="11" s="1"/>
  <c r="BP13" i="11"/>
  <c r="BR13" i="11" s="1"/>
  <c r="BP16" i="11"/>
  <c r="BR16" i="11" s="1"/>
  <c r="BP19" i="11"/>
  <c r="BR19" i="11" s="1"/>
  <c r="BP22" i="11"/>
  <c r="BR22" i="11" s="1"/>
  <c r="BP25" i="11"/>
  <c r="BR25" i="11" s="1"/>
  <c r="BP28" i="11"/>
  <c r="BR28" i="11" s="1"/>
  <c r="BP31" i="11"/>
  <c r="BR31" i="11" s="1"/>
  <c r="BP35" i="11"/>
  <c r="BR35" i="11" s="1"/>
  <c r="BT4" i="11" l="1"/>
  <c r="BT3" i="11"/>
  <c r="BT2" i="11"/>
  <c r="BT13" i="11"/>
  <c r="BT8" i="11"/>
  <c r="BT5" i="11"/>
  <c r="BT22" i="11"/>
  <c r="BT6" i="11"/>
  <c r="BT10" i="11"/>
  <c r="BT14" i="11"/>
  <c r="BT26" i="11"/>
  <c r="BT7" i="11"/>
  <c r="BT11" i="11"/>
  <c r="BT17" i="11"/>
  <c r="BT31" i="11"/>
  <c r="BT19" i="11"/>
  <c r="BT23" i="11"/>
  <c r="BT28" i="11"/>
  <c r="BT33" i="11"/>
  <c r="BT16" i="11"/>
  <c r="BT20" i="11"/>
  <c r="BT25" i="11"/>
  <c r="BT29" i="11"/>
  <c r="BT36" i="11"/>
  <c r="BT35" i="11"/>
  <c r="BT32" i="11"/>
  <c r="BT9" i="11"/>
  <c r="BT12" i="11"/>
  <c r="BT15" i="11"/>
  <c r="BT18" i="11"/>
  <c r="BT21" i="11"/>
  <c r="BT24" i="11"/>
  <c r="BT27" i="11"/>
  <c r="BT30" i="11"/>
  <c r="BT34" i="11"/>
  <c r="BT37" i="11"/>
  <c r="BV37" i="11" l="1"/>
  <c r="BX37" i="11" s="1"/>
  <c r="BV33" i="11"/>
  <c r="BX33" i="11" s="1"/>
  <c r="BV2" i="11"/>
  <c r="BV36" i="11"/>
  <c r="BX36" i="11" s="1"/>
  <c r="BV12" i="11"/>
  <c r="BX12" i="11" s="1"/>
  <c r="BV3" i="11"/>
  <c r="BX3" i="11" s="1"/>
  <c r="BV29" i="11"/>
  <c r="BX29" i="11" s="1"/>
  <c r="BV23" i="11"/>
  <c r="BX23" i="11" s="1"/>
  <c r="BV17" i="11"/>
  <c r="BX17" i="11" s="1"/>
  <c r="BV11" i="11"/>
  <c r="BX11" i="11" s="1"/>
  <c r="BV5" i="11"/>
  <c r="BX5" i="11" s="1"/>
  <c r="BV35" i="11"/>
  <c r="BX35" i="11" s="1"/>
  <c r="BV28" i="11"/>
  <c r="BX28" i="11" s="1"/>
  <c r="BV22" i="11"/>
  <c r="BX22" i="11" s="1"/>
  <c r="BV19" i="11"/>
  <c r="BX19" i="11" s="1"/>
  <c r="BV16" i="11"/>
  <c r="BX16" i="11" s="1"/>
  <c r="BV13" i="11"/>
  <c r="BX13" i="11" s="1"/>
  <c r="BV10" i="11"/>
  <c r="BX10" i="11" s="1"/>
  <c r="BV7" i="11"/>
  <c r="BX7" i="11" s="1"/>
  <c r="BV4" i="11"/>
  <c r="BX4" i="11" s="1"/>
  <c r="BV26" i="11"/>
  <c r="BX26" i="11" s="1"/>
  <c r="BV20" i="11"/>
  <c r="BX20" i="11" s="1"/>
  <c r="BV14" i="11"/>
  <c r="BX14" i="11" s="1"/>
  <c r="BV8" i="11"/>
  <c r="BX8" i="11" s="1"/>
  <c r="BV32" i="11"/>
  <c r="BX32" i="11" s="1"/>
  <c r="BV31" i="11"/>
  <c r="BX31" i="11" s="1"/>
  <c r="BV25" i="11"/>
  <c r="BX25" i="11" s="1"/>
  <c r="BV34" i="11"/>
  <c r="BX34" i="11" s="1"/>
  <c r="BV30" i="11"/>
  <c r="BX30" i="11" s="1"/>
  <c r="BV27" i="11"/>
  <c r="BX27" i="11" s="1"/>
  <c r="BV24" i="11"/>
  <c r="BX24" i="11" s="1"/>
  <c r="BV21" i="11"/>
  <c r="BX21" i="11" s="1"/>
  <c r="BV18" i="11"/>
  <c r="BX18" i="11" s="1"/>
  <c r="BV15" i="11"/>
  <c r="BX15" i="11" s="1"/>
  <c r="BV9" i="11"/>
  <c r="BX9" i="11" s="1"/>
  <c r="BV6" i="11"/>
  <c r="BX6" i="11" s="1"/>
  <c r="BX2" i="11"/>
  <c r="BZ36" i="11" l="1"/>
  <c r="BZ28" i="11"/>
  <c r="BZ37" i="11"/>
  <c r="BZ32" i="11"/>
  <c r="BZ34" i="11"/>
  <c r="BZ35" i="11"/>
  <c r="BZ14" i="11"/>
  <c r="BZ33" i="11"/>
  <c r="BZ23" i="11"/>
  <c r="BZ29" i="11"/>
  <c r="BZ31" i="11"/>
  <c r="BZ26" i="11"/>
  <c r="BZ19" i="11"/>
  <c r="BZ30" i="11"/>
  <c r="BZ27" i="11"/>
  <c r="BZ25" i="11"/>
  <c r="BZ22" i="11"/>
  <c r="BZ17" i="11"/>
  <c r="BZ13" i="11"/>
  <c r="BZ24" i="11"/>
  <c r="BZ20" i="11"/>
  <c r="BZ16" i="11"/>
  <c r="BZ3" i="11"/>
  <c r="BZ7" i="11"/>
  <c r="BZ21" i="11"/>
  <c r="BZ18" i="11"/>
  <c r="BZ15" i="11"/>
  <c r="BZ11" i="11"/>
  <c r="BZ10" i="11"/>
  <c r="BZ6" i="11"/>
  <c r="BZ12" i="11"/>
  <c r="BZ9" i="11"/>
  <c r="BZ4" i="11"/>
  <c r="BZ8" i="11"/>
  <c r="BZ5" i="11"/>
  <c r="BZ2" i="11"/>
  <c r="CB13" i="11" l="1"/>
  <c r="CD13" i="11" s="1"/>
  <c r="CB4" i="11"/>
  <c r="CB19" i="11"/>
  <c r="CD19" i="11" s="1"/>
  <c r="CB22" i="11"/>
  <c r="CB7" i="11"/>
  <c r="CB16" i="11"/>
  <c r="CD16" i="11" s="1"/>
  <c r="CB10" i="11"/>
  <c r="CB36" i="11"/>
  <c r="CB32" i="11"/>
  <c r="CB2" i="11"/>
  <c r="CB5" i="11"/>
  <c r="CB8" i="11"/>
  <c r="CB11" i="11"/>
  <c r="CD11" i="11" s="1"/>
  <c r="CB14" i="11"/>
  <c r="CB17" i="11"/>
  <c r="CD17" i="11" s="1"/>
  <c r="CB20" i="11"/>
  <c r="CD20" i="11" s="1"/>
  <c r="CB23" i="11"/>
  <c r="CB26" i="11"/>
  <c r="CD26" i="11" s="1"/>
  <c r="CB29" i="11"/>
  <c r="CD29" i="11" s="1"/>
  <c r="CB33" i="11"/>
  <c r="CB25" i="11"/>
  <c r="CD25" i="11" s="1"/>
  <c r="CB31" i="11"/>
  <c r="CD31" i="11" s="1"/>
  <c r="CB35" i="11"/>
  <c r="CB3" i="11"/>
  <c r="CD3" i="11" s="1"/>
  <c r="CB6" i="11"/>
  <c r="CD6" i="11" s="1"/>
  <c r="CB9" i="11"/>
  <c r="CD9" i="11" s="1"/>
  <c r="CB12" i="11"/>
  <c r="CD12" i="11" s="1"/>
  <c r="CB15" i="11"/>
  <c r="CD15" i="11" s="1"/>
  <c r="CB18" i="11"/>
  <c r="CI18" i="11" s="1"/>
  <c r="CB21" i="11"/>
  <c r="CD21" i="11" s="1"/>
  <c r="CB24" i="11"/>
  <c r="CD24" i="11" s="1"/>
  <c r="CB27" i="11"/>
  <c r="CD27" i="11" s="1"/>
  <c r="CB30" i="11"/>
  <c r="CI30" i="11" s="1"/>
  <c r="CB34" i="11"/>
  <c r="CD34" i="11" s="1"/>
  <c r="CB37" i="11"/>
  <c r="CD37" i="11" s="1"/>
  <c r="CB28" i="11"/>
  <c r="CD28" i="11" s="1"/>
  <c r="CD2" i="11"/>
  <c r="CD4" i="11"/>
  <c r="CD5" i="11"/>
  <c r="CI5" i="11"/>
  <c r="CD7" i="11"/>
  <c r="CD8" i="11"/>
  <c r="CD10" i="11"/>
  <c r="CD14" i="11"/>
  <c r="CD18" i="11"/>
  <c r="CD22" i="11"/>
  <c r="CD23" i="11"/>
  <c r="CI26" i="11"/>
  <c r="CD33" i="11"/>
  <c r="CI33" i="11"/>
  <c r="CD35" i="11"/>
  <c r="CD36" i="11"/>
  <c r="CI36" i="11"/>
  <c r="CD32" i="11"/>
  <c r="CI3" i="11" l="1"/>
  <c r="CD30" i="11"/>
  <c r="CF32" i="11"/>
  <c r="CF37" i="11"/>
  <c r="CF35" i="11"/>
  <c r="CF31" i="11"/>
  <c r="CF16" i="11"/>
  <c r="CF9" i="11"/>
  <c r="CF27" i="11"/>
  <c r="CF23" i="11"/>
  <c r="CF20" i="11"/>
  <c r="CF34" i="11"/>
  <c r="CF21" i="11"/>
  <c r="CF30" i="11"/>
  <c r="CF24" i="11"/>
  <c r="CF18" i="11"/>
  <c r="CF15" i="11"/>
  <c r="CF12" i="11"/>
  <c r="CF6" i="11"/>
  <c r="CF28" i="11"/>
  <c r="CF25" i="11"/>
  <c r="CF22" i="11"/>
  <c r="CF19" i="11"/>
  <c r="CF13" i="11"/>
  <c r="CF10" i="11"/>
  <c r="CF7" i="11"/>
  <c r="CF4" i="11"/>
  <c r="CF36" i="11"/>
  <c r="CF33" i="11"/>
  <c r="CF29" i="11"/>
  <c r="CF26" i="11"/>
  <c r="CF17" i="11"/>
  <c r="CF14" i="11"/>
  <c r="CF11" i="11"/>
  <c r="CF8" i="11"/>
  <c r="CF5" i="11"/>
  <c r="CF3" i="11"/>
  <c r="CF2" i="11"/>
  <c r="AS2" i="10" l="1"/>
  <c r="AS3" i="10"/>
  <c r="AU3" i="10" s="1"/>
  <c r="AS4" i="10"/>
  <c r="AU4" i="10" s="1"/>
  <c r="AS5" i="10"/>
  <c r="AU5" i="10" s="1"/>
  <c r="AS6" i="10"/>
  <c r="AU6" i="10" s="1"/>
  <c r="AS7" i="10"/>
  <c r="AU7" i="10" s="1"/>
  <c r="AS8" i="10"/>
  <c r="AU8" i="10" s="1"/>
  <c r="AS9" i="10"/>
  <c r="AU9" i="10" s="1"/>
  <c r="AS10" i="10"/>
  <c r="AU10" i="10" s="1"/>
  <c r="AS11" i="10"/>
  <c r="AU11" i="10" s="1"/>
  <c r="AS12" i="10"/>
  <c r="AU12" i="10" s="1"/>
  <c r="AS13" i="10"/>
  <c r="AU13" i="10" s="1"/>
  <c r="AS14" i="10"/>
  <c r="AU14" i="10" s="1"/>
  <c r="AS15" i="10"/>
  <c r="AU15" i="10" s="1"/>
  <c r="AS16" i="10"/>
  <c r="AU16" i="10" s="1"/>
  <c r="AS17" i="10"/>
  <c r="AU17" i="10" s="1"/>
  <c r="AS18" i="10"/>
  <c r="AU18" i="10" s="1"/>
  <c r="AS19" i="10"/>
  <c r="AU19" i="10" s="1"/>
  <c r="AS20" i="10"/>
  <c r="AU20" i="10" s="1"/>
  <c r="AS21" i="10"/>
  <c r="AU21" i="10" s="1"/>
  <c r="AS22" i="10"/>
  <c r="AU22" i="10" s="1"/>
  <c r="AS23" i="10"/>
  <c r="AU23" i="10" s="1"/>
  <c r="AS24" i="10"/>
  <c r="AU24" i="10" s="1"/>
  <c r="AS25" i="10"/>
  <c r="AU25" i="10" s="1"/>
  <c r="AS26" i="10"/>
  <c r="AU26" i="10" s="1"/>
  <c r="AS27" i="10"/>
  <c r="AU27" i="10" s="1"/>
  <c r="AS28" i="10"/>
  <c r="AU28" i="10" s="1"/>
  <c r="AS29" i="10"/>
  <c r="AU29" i="10" s="1"/>
  <c r="AS30" i="10"/>
  <c r="AU30" i="10" s="1"/>
  <c r="AS31" i="10"/>
  <c r="AU31" i="10" s="1"/>
  <c r="AS32" i="10"/>
  <c r="AU32" i="10" s="1"/>
  <c r="AS33" i="10"/>
  <c r="AU33" i="10" s="1"/>
  <c r="AS34" i="10"/>
  <c r="AU34" i="10" s="1"/>
  <c r="AS35" i="10"/>
  <c r="AU35" i="10" s="1"/>
  <c r="AS36" i="10"/>
  <c r="AU36" i="10" s="1"/>
  <c r="AS37" i="10"/>
  <c r="AU37" i="10" s="1"/>
  <c r="CH2" i="11" l="1"/>
  <c r="CH3" i="11"/>
  <c r="CH4" i="11"/>
  <c r="CH5" i="11"/>
  <c r="CH6" i="11"/>
  <c r="CH7" i="11"/>
  <c r="CH8" i="11"/>
  <c r="CH9" i="11"/>
  <c r="CH10" i="11"/>
  <c r="CH11" i="11"/>
  <c r="CH12" i="11"/>
  <c r="CH13" i="11"/>
  <c r="CH14" i="11"/>
  <c r="CH15" i="11"/>
  <c r="CH16" i="11"/>
  <c r="CH17" i="11"/>
  <c r="CH18" i="11"/>
  <c r="CH19" i="11"/>
  <c r="CH20" i="11"/>
  <c r="CH21" i="11"/>
  <c r="CH22" i="11"/>
  <c r="CH23" i="11"/>
  <c r="CH24" i="11"/>
  <c r="CH25" i="11"/>
  <c r="CH26" i="11"/>
  <c r="CH27" i="11"/>
  <c r="CH28" i="11"/>
  <c r="CH29" i="11"/>
  <c r="CH30" i="11"/>
  <c r="CH31" i="11"/>
  <c r="CH32" i="11"/>
  <c r="CH33" i="11"/>
  <c r="CH34" i="11"/>
  <c r="CH35" i="11"/>
  <c r="CH36" i="11"/>
  <c r="CH37" i="11"/>
  <c r="CI37" i="11" s="1"/>
  <c r="AU2" i="10"/>
  <c r="CI34" i="11" l="1"/>
  <c r="CI19" i="11"/>
  <c r="CI12" i="11"/>
  <c r="CI35" i="11"/>
  <c r="AV2" i="10"/>
  <c r="AX2" i="10" s="1" a="1"/>
  <c r="AX2" i="10" s="1"/>
  <c r="CI27" i="11"/>
  <c r="CI24" i="11"/>
  <c r="CI21" i="11"/>
  <c r="CI15" i="11"/>
  <c r="CI9" i="11"/>
  <c r="CI6" i="11"/>
  <c r="AV5" i="10"/>
  <c r="AW5" i="10" s="1"/>
  <c r="AV14" i="10"/>
  <c r="AW14" i="10" s="1"/>
  <c r="AV23" i="10"/>
  <c r="AW23" i="10" s="1"/>
  <c r="AV32" i="10"/>
  <c r="AW32" i="10" s="1"/>
  <c r="AV37" i="10"/>
  <c r="AW37" i="10" s="1"/>
  <c r="AV9" i="10"/>
  <c r="AW9" i="10" s="1"/>
  <c r="AV18" i="10"/>
  <c r="AW18" i="10" s="1"/>
  <c r="AV27" i="10"/>
  <c r="AW27" i="10" s="1"/>
  <c r="AV36" i="10"/>
  <c r="AW36" i="10" s="1"/>
  <c r="AV7" i="10"/>
  <c r="AW7" i="10" s="1"/>
  <c r="AV16" i="10"/>
  <c r="AW16" i="10" s="1"/>
  <c r="AV25" i="10"/>
  <c r="AW25" i="10" s="1"/>
  <c r="CI32" i="11"/>
  <c r="CI29" i="11"/>
  <c r="CI23" i="11"/>
  <c r="CI20" i="11"/>
  <c r="CI17" i="11"/>
  <c r="CI14" i="11"/>
  <c r="CI11" i="11"/>
  <c r="CI8" i="11"/>
  <c r="CI2" i="11"/>
  <c r="AV11" i="10"/>
  <c r="AW11" i="10" s="1"/>
  <c r="AV20" i="10"/>
  <c r="AW20" i="10" s="1"/>
  <c r="AV29" i="10"/>
  <c r="AW29" i="10" s="1"/>
  <c r="AV28" i="10"/>
  <c r="AW28" i="10" s="1"/>
  <c r="AV6" i="10"/>
  <c r="AW6" i="10" s="1"/>
  <c r="AV15" i="10"/>
  <c r="AW15" i="10" s="1"/>
  <c r="AV24" i="10"/>
  <c r="AW24" i="10" s="1"/>
  <c r="AV33" i="10"/>
  <c r="AW33" i="10" s="1"/>
  <c r="AV4" i="10"/>
  <c r="AW4" i="10" s="1"/>
  <c r="AV13" i="10"/>
  <c r="AW13" i="10" s="1"/>
  <c r="AV22" i="10"/>
  <c r="AW22" i="10" s="1"/>
  <c r="CI31" i="11"/>
  <c r="CI28" i="11"/>
  <c r="CI25" i="11"/>
  <c r="CI22" i="11"/>
  <c r="CI16" i="11"/>
  <c r="CI13" i="11"/>
  <c r="CI10" i="11"/>
  <c r="CI7" i="11"/>
  <c r="CI4" i="11"/>
  <c r="AV8" i="10"/>
  <c r="AW8" i="10" s="1"/>
  <c r="AV17" i="10"/>
  <c r="AW17" i="10" s="1"/>
  <c r="AV26" i="10"/>
  <c r="AW26" i="10" s="1"/>
  <c r="AV35" i="10"/>
  <c r="AW35" i="10" s="1"/>
  <c r="AV3" i="10"/>
  <c r="AW3" i="10" s="1"/>
  <c r="AV12" i="10"/>
  <c r="AW12" i="10" s="1"/>
  <c r="AV21" i="10"/>
  <c r="AW21" i="10" s="1"/>
  <c r="AV30" i="10"/>
  <c r="AW30" i="10" s="1"/>
  <c r="AV31" i="10"/>
  <c r="AW31" i="10" s="1"/>
  <c r="AV10" i="10"/>
  <c r="AW10" i="10" s="1"/>
  <c r="AV19" i="10"/>
  <c r="AW19" i="10" s="1"/>
  <c r="AV34" i="10"/>
  <c r="AW34" i="10" s="1"/>
  <c r="AW2" i="10" l="1"/>
  <c r="CJ6" i="11"/>
  <c r="CJ4" i="11"/>
  <c r="CJ37" i="11"/>
  <c r="CJ13" i="11"/>
  <c r="CJ11" i="11"/>
  <c r="CJ10" i="11"/>
  <c r="CJ31" i="11"/>
  <c r="CJ7" i="11"/>
  <c r="CJ25" i="11"/>
  <c r="CJ22" i="11"/>
  <c r="CJ36" i="11"/>
  <c r="CJ19" i="11"/>
  <c r="CJ33" i="11"/>
  <c r="CJ26" i="11"/>
  <c r="CJ5" i="11"/>
  <c r="CJ34" i="11"/>
  <c r="CJ30" i="11"/>
  <c r="CJ18" i="11"/>
  <c r="CJ12" i="11"/>
  <c r="CJ3" i="11"/>
  <c r="CJ17" i="11"/>
  <c r="CJ28" i="11"/>
  <c r="CJ8" i="11"/>
  <c r="CJ16" i="11"/>
  <c r="CJ29" i="11"/>
  <c r="CJ21" i="11"/>
  <c r="CJ20" i="11"/>
  <c r="CJ32" i="11"/>
  <c r="CJ9" i="11"/>
  <c r="CJ24" i="11"/>
  <c r="CJ2" i="11"/>
  <c r="CJ14" i="11"/>
  <c r="CJ23" i="11"/>
  <c r="CJ35" i="11"/>
  <c r="CJ15" i="11"/>
  <c r="CJ27" i="11"/>
  <c r="AV1" i="10"/>
  <c r="P2" i="10" l="1"/>
  <c r="O2" i="10" s="1"/>
  <c r="P3" i="10"/>
  <c r="O3" i="10" s="1"/>
  <c r="P4" i="10"/>
  <c r="O4" i="10" s="1"/>
  <c r="P5" i="10"/>
  <c r="O5" i="10" s="1"/>
  <c r="P6" i="10"/>
  <c r="O6" i="10" s="1"/>
  <c r="P7" i="10"/>
  <c r="O7" i="10" s="1"/>
  <c r="P8" i="10"/>
  <c r="O8" i="10" s="1"/>
  <c r="P9" i="10"/>
  <c r="O9" i="10" s="1"/>
  <c r="P10" i="10"/>
  <c r="O10" i="10" s="1"/>
  <c r="P11" i="10"/>
  <c r="O11" i="10" s="1"/>
  <c r="P12" i="10"/>
  <c r="O12" i="10" s="1"/>
  <c r="P13" i="10"/>
  <c r="O13" i="10" s="1"/>
  <c r="P14" i="10"/>
  <c r="O14" i="10" s="1"/>
  <c r="P15" i="10"/>
  <c r="O15" i="10" s="1"/>
  <c r="P16" i="10"/>
  <c r="O16" i="10" s="1"/>
  <c r="P17" i="10"/>
  <c r="O17" i="10" s="1"/>
  <c r="P18" i="10"/>
  <c r="O18" i="10" s="1"/>
  <c r="P19" i="10"/>
  <c r="O19" i="10" s="1"/>
  <c r="P20" i="10"/>
  <c r="O20" i="10" s="1"/>
  <c r="P21" i="10"/>
  <c r="O21" i="10" s="1"/>
  <c r="P22" i="10"/>
  <c r="O22" i="10" s="1"/>
  <c r="P23" i="10"/>
  <c r="O23" i="10" s="1"/>
  <c r="P24" i="10"/>
  <c r="O24" i="10" s="1"/>
  <c r="P25" i="10"/>
  <c r="O25" i="10" s="1"/>
  <c r="P26" i="10"/>
  <c r="O26" i="10" s="1"/>
  <c r="P27" i="10"/>
  <c r="O27" i="10" s="1"/>
  <c r="P28" i="10"/>
  <c r="O28" i="10" s="1"/>
  <c r="P29" i="10"/>
  <c r="O29" i="10" s="1"/>
  <c r="P30" i="10"/>
  <c r="O30" i="10" s="1"/>
  <c r="P31" i="10"/>
  <c r="O31" i="10" s="1"/>
  <c r="P32" i="10"/>
  <c r="O32" i="10" s="1"/>
  <c r="P33" i="10"/>
  <c r="O33" i="10" s="1"/>
  <c r="P34" i="10"/>
  <c r="O34" i="10" s="1"/>
  <c r="P35" i="10"/>
  <c r="O35" i="10" s="1"/>
  <c r="P36" i="10"/>
  <c r="O36" i="10" s="1"/>
  <c r="P37" i="10"/>
  <c r="O37" i="10" s="1"/>
  <c r="AQ37" i="10"/>
  <c r="AP37" i="10"/>
  <c r="AO37" i="10"/>
  <c r="AQ36" i="10"/>
  <c r="AP36" i="10"/>
  <c r="AO36" i="10"/>
  <c r="AQ35" i="10"/>
  <c r="AP35" i="10"/>
  <c r="AO35" i="10"/>
  <c r="AQ34" i="10"/>
  <c r="AP34" i="10"/>
  <c r="AO34" i="10"/>
  <c r="AQ33" i="10"/>
  <c r="AP33" i="10"/>
  <c r="AO33" i="10"/>
  <c r="AQ32" i="10"/>
  <c r="AP32" i="10"/>
  <c r="AO32" i="10"/>
  <c r="AQ31" i="10"/>
  <c r="AP31" i="10"/>
  <c r="AO31" i="10"/>
  <c r="AQ30" i="10"/>
  <c r="AP30" i="10"/>
  <c r="AO30" i="10"/>
  <c r="AQ29" i="10"/>
  <c r="AP29" i="10"/>
  <c r="AO29" i="10"/>
  <c r="AQ28" i="10"/>
  <c r="AP28" i="10"/>
  <c r="AO28" i="10"/>
  <c r="AQ27" i="10"/>
  <c r="AP27" i="10"/>
  <c r="AO27" i="10"/>
  <c r="AQ26" i="10"/>
  <c r="AP26" i="10"/>
  <c r="AO26" i="10"/>
  <c r="AQ25" i="10"/>
  <c r="AP25" i="10"/>
  <c r="AO25" i="10"/>
  <c r="AQ24" i="10"/>
  <c r="AP24" i="10"/>
  <c r="AO24" i="10"/>
  <c r="AQ23" i="10"/>
  <c r="AP23" i="10"/>
  <c r="AO23" i="10"/>
  <c r="AQ22" i="10"/>
  <c r="AP22" i="10"/>
  <c r="AO22" i="10"/>
  <c r="AQ21" i="10"/>
  <c r="AP21" i="10"/>
  <c r="AO21" i="10"/>
  <c r="AQ20" i="10"/>
  <c r="AP20" i="10"/>
  <c r="AO20" i="10"/>
  <c r="AQ19" i="10"/>
  <c r="AP19" i="10"/>
  <c r="AO19" i="10"/>
  <c r="AQ18" i="10"/>
  <c r="AP18" i="10"/>
  <c r="AO18" i="10"/>
  <c r="AQ17" i="10"/>
  <c r="AP17" i="10"/>
  <c r="AO17" i="10"/>
  <c r="AQ16" i="10"/>
  <c r="AP16" i="10"/>
  <c r="AO16" i="10"/>
  <c r="AQ15" i="10"/>
  <c r="AP15" i="10"/>
  <c r="AO15" i="10"/>
  <c r="AQ14" i="10"/>
  <c r="AP14" i="10"/>
  <c r="AO14" i="10"/>
  <c r="AQ13" i="10"/>
  <c r="AP13" i="10"/>
  <c r="AO13" i="10"/>
  <c r="AQ12" i="10"/>
  <c r="AP12" i="10"/>
  <c r="AO12" i="10"/>
  <c r="AQ11" i="10"/>
  <c r="AP11" i="10"/>
  <c r="AO11" i="10"/>
  <c r="AQ10" i="10"/>
  <c r="AP10" i="10"/>
  <c r="AO10" i="10"/>
  <c r="AQ9" i="10"/>
  <c r="AP9" i="10"/>
  <c r="AO9" i="10"/>
  <c r="AQ8" i="10"/>
  <c r="AP8" i="10"/>
  <c r="AO8" i="10"/>
  <c r="AQ7" i="10"/>
  <c r="AP7" i="10"/>
  <c r="AO7" i="10"/>
  <c r="AQ6" i="10"/>
  <c r="AP6" i="10"/>
  <c r="AO6" i="10"/>
  <c r="AQ5" i="10"/>
  <c r="AP5" i="10"/>
  <c r="AO5" i="10"/>
  <c r="AQ4" i="10"/>
  <c r="AP4" i="10"/>
  <c r="AO4" i="10"/>
  <c r="AQ3" i="10"/>
  <c r="AP3" i="10"/>
  <c r="AO3" i="10"/>
  <c r="AQ2" i="10"/>
  <c r="AP2" i="10"/>
  <c r="AO2" i="10"/>
  <c r="AN37" i="10"/>
  <c r="AM37" i="10"/>
  <c r="AL37" i="10"/>
  <c r="AK37" i="10"/>
  <c r="AJ37" i="10"/>
  <c r="AI37" i="10"/>
  <c r="AH37" i="10"/>
  <c r="AG37" i="10"/>
  <c r="AF37" i="10"/>
  <c r="AE37" i="10"/>
  <c r="AD37" i="10"/>
  <c r="AC37" i="10"/>
  <c r="AB37" i="10"/>
  <c r="AA37" i="10"/>
  <c r="Z37" i="10"/>
  <c r="Y37" i="10"/>
  <c r="X37" i="10"/>
  <c r="W37" i="10"/>
  <c r="V37" i="10"/>
  <c r="U37" i="10"/>
  <c r="T37" i="10"/>
  <c r="S37" i="10"/>
  <c r="R37" i="10"/>
  <c r="Q37" i="10"/>
  <c r="AN36" i="10"/>
  <c r="AM36" i="10"/>
  <c r="AL36" i="10"/>
  <c r="AK36" i="10"/>
  <c r="AJ36" i="10"/>
  <c r="AI36" i="10"/>
  <c r="AH36" i="10"/>
  <c r="AG36" i="10"/>
  <c r="AF36" i="10"/>
  <c r="AE36" i="10"/>
  <c r="AD36" i="10"/>
  <c r="AC36" i="10"/>
  <c r="AB36" i="10"/>
  <c r="AA36" i="10"/>
  <c r="Z36" i="10"/>
  <c r="Y36" i="10"/>
  <c r="X36" i="10"/>
  <c r="W36" i="10"/>
  <c r="V36" i="10"/>
  <c r="U36" i="10"/>
  <c r="T36" i="10"/>
  <c r="S36" i="10"/>
  <c r="R36" i="10"/>
  <c r="Q36" i="10"/>
  <c r="AN35" i="10"/>
  <c r="AM35" i="10"/>
  <c r="AL35" i="10"/>
  <c r="AK35" i="10"/>
  <c r="AJ35" i="10"/>
  <c r="AI35" i="10"/>
  <c r="AH35" i="10"/>
  <c r="AG35" i="10"/>
  <c r="AF35" i="10"/>
  <c r="AE35" i="10"/>
  <c r="AD35" i="10"/>
  <c r="AC35" i="10"/>
  <c r="AB35" i="10"/>
  <c r="AA35" i="10"/>
  <c r="Z35" i="10"/>
  <c r="Y35" i="10"/>
  <c r="X35" i="10"/>
  <c r="W35" i="10"/>
  <c r="V35" i="10"/>
  <c r="U35" i="10"/>
  <c r="T35" i="10"/>
  <c r="S35" i="10"/>
  <c r="R35" i="10"/>
  <c r="Q35" i="10"/>
  <c r="AN34" i="10"/>
  <c r="AM34" i="10"/>
  <c r="AL34" i="10"/>
  <c r="AK34" i="10"/>
  <c r="AJ34" i="10"/>
  <c r="AI34" i="10"/>
  <c r="AH34" i="10"/>
  <c r="AG34" i="10"/>
  <c r="AF34" i="10"/>
  <c r="AE34" i="10"/>
  <c r="AD34" i="10"/>
  <c r="AC34" i="10"/>
  <c r="AB34" i="10"/>
  <c r="AA34" i="10"/>
  <c r="Z34" i="10"/>
  <c r="Y34" i="10"/>
  <c r="X34" i="10"/>
  <c r="W34" i="10"/>
  <c r="V34" i="10"/>
  <c r="U34" i="10"/>
  <c r="T34" i="10"/>
  <c r="S34" i="10"/>
  <c r="R34" i="10"/>
  <c r="Q34" i="10"/>
  <c r="AN33" i="10"/>
  <c r="AM33" i="10"/>
  <c r="AL33" i="10"/>
  <c r="AK33" i="10"/>
  <c r="AJ33" i="10"/>
  <c r="AI33" i="10"/>
  <c r="AH33" i="10"/>
  <c r="AG33" i="10"/>
  <c r="AF33" i="10"/>
  <c r="AE33" i="10"/>
  <c r="AD33" i="10"/>
  <c r="AC33" i="10"/>
  <c r="AB33" i="10"/>
  <c r="AA33" i="10"/>
  <c r="Z33" i="10"/>
  <c r="Y33" i="10"/>
  <c r="X33" i="10"/>
  <c r="W33" i="10"/>
  <c r="V33" i="10"/>
  <c r="U33" i="10"/>
  <c r="T33" i="10"/>
  <c r="S33" i="10"/>
  <c r="R33" i="10"/>
  <c r="Q33" i="10"/>
  <c r="AN32" i="10"/>
  <c r="AM32" i="10"/>
  <c r="AL32" i="10"/>
  <c r="AK32" i="10"/>
  <c r="AJ32" i="10"/>
  <c r="AI32" i="10"/>
  <c r="AH32" i="10"/>
  <c r="AG32" i="10"/>
  <c r="AF32" i="10"/>
  <c r="AE32" i="10"/>
  <c r="AD32" i="10"/>
  <c r="AC32" i="10"/>
  <c r="AB32" i="10"/>
  <c r="AA32" i="10"/>
  <c r="Z32" i="10"/>
  <c r="Y32" i="10"/>
  <c r="X32" i="10"/>
  <c r="W32" i="10"/>
  <c r="V32" i="10"/>
  <c r="U32" i="10"/>
  <c r="T32" i="10"/>
  <c r="S32" i="10"/>
  <c r="R32" i="10"/>
  <c r="Q32" i="10"/>
  <c r="AN31" i="10"/>
  <c r="AM31" i="10"/>
  <c r="AL31" i="10"/>
  <c r="AK31" i="10"/>
  <c r="AJ31" i="10"/>
  <c r="AI31" i="10"/>
  <c r="AH31" i="10"/>
  <c r="AG31" i="10"/>
  <c r="AF31" i="10"/>
  <c r="AE31" i="10"/>
  <c r="AD31" i="10"/>
  <c r="AC31" i="10"/>
  <c r="AB31" i="10"/>
  <c r="AA31" i="10"/>
  <c r="Z31" i="10"/>
  <c r="Y31" i="10"/>
  <c r="X31" i="10"/>
  <c r="W31" i="10"/>
  <c r="V31" i="10"/>
  <c r="U31" i="10"/>
  <c r="T31" i="10"/>
  <c r="S31" i="10"/>
  <c r="R31" i="10"/>
  <c r="Q31" i="10"/>
  <c r="AN30" i="10"/>
  <c r="AM30" i="10"/>
  <c r="AL30" i="10"/>
  <c r="AK30" i="10"/>
  <c r="AJ30" i="10"/>
  <c r="AI30" i="10"/>
  <c r="AH30" i="10"/>
  <c r="AG30" i="10"/>
  <c r="AF30" i="10"/>
  <c r="AE30" i="10"/>
  <c r="AD30" i="10"/>
  <c r="AC30" i="10"/>
  <c r="AB30" i="10"/>
  <c r="AA30" i="10"/>
  <c r="Z30" i="10"/>
  <c r="Y30" i="10"/>
  <c r="X30" i="10"/>
  <c r="W30" i="10"/>
  <c r="V30" i="10"/>
  <c r="U30" i="10"/>
  <c r="T30" i="10"/>
  <c r="S30" i="10"/>
  <c r="R30" i="10"/>
  <c r="Q30" i="10"/>
  <c r="AN29" i="10"/>
  <c r="AM29" i="10"/>
  <c r="AL29" i="10"/>
  <c r="AK29" i="10"/>
  <c r="AJ29" i="10"/>
  <c r="AI29" i="10"/>
  <c r="AH29" i="10"/>
  <c r="AG29" i="10"/>
  <c r="AF29" i="10"/>
  <c r="AE29" i="10"/>
  <c r="AD29" i="10"/>
  <c r="AC29" i="10"/>
  <c r="AB29" i="10"/>
  <c r="AA29" i="10"/>
  <c r="Z29" i="10"/>
  <c r="Y29" i="10"/>
  <c r="X29" i="10"/>
  <c r="W29" i="10"/>
  <c r="V29" i="10"/>
  <c r="U29" i="10"/>
  <c r="T29" i="10"/>
  <c r="S29" i="10"/>
  <c r="R29" i="10"/>
  <c r="Q29" i="10"/>
  <c r="AN28" i="10"/>
  <c r="AM28" i="10"/>
  <c r="AL28" i="10"/>
  <c r="AK28" i="10"/>
  <c r="AJ28" i="10"/>
  <c r="AI28" i="10"/>
  <c r="AH28" i="10"/>
  <c r="AG28" i="10"/>
  <c r="AF28" i="10"/>
  <c r="AE28" i="10"/>
  <c r="AD28" i="10"/>
  <c r="AC28" i="10"/>
  <c r="AB28" i="10"/>
  <c r="AA28" i="10"/>
  <c r="Z28" i="10"/>
  <c r="Y28" i="10"/>
  <c r="X28" i="10"/>
  <c r="W28" i="10"/>
  <c r="V28" i="10"/>
  <c r="U28" i="10"/>
  <c r="T28" i="10"/>
  <c r="S28" i="10"/>
  <c r="R28" i="10"/>
  <c r="Q28" i="10"/>
  <c r="AN27" i="10"/>
  <c r="AM27" i="10"/>
  <c r="AL27" i="10"/>
  <c r="AK27" i="10"/>
  <c r="AJ27" i="10"/>
  <c r="AI27" i="10"/>
  <c r="AH27" i="10"/>
  <c r="AG27" i="10"/>
  <c r="AF27" i="10"/>
  <c r="AE27" i="10"/>
  <c r="AD27" i="10"/>
  <c r="AC27" i="10"/>
  <c r="AB27" i="10"/>
  <c r="AA27" i="10"/>
  <c r="Z27" i="10"/>
  <c r="Y27" i="10"/>
  <c r="X27" i="10"/>
  <c r="W27" i="10"/>
  <c r="V27" i="10"/>
  <c r="U27" i="10"/>
  <c r="T27" i="10"/>
  <c r="S27" i="10"/>
  <c r="R27" i="10"/>
  <c r="Q27" i="10"/>
  <c r="AN26" i="10"/>
  <c r="AM26" i="10"/>
  <c r="AL26" i="10"/>
  <c r="AK26" i="10"/>
  <c r="AJ26" i="10"/>
  <c r="AI26" i="10"/>
  <c r="AH26" i="10"/>
  <c r="AG26" i="10"/>
  <c r="AF26" i="10"/>
  <c r="AE26" i="10"/>
  <c r="AD26" i="10"/>
  <c r="AC26" i="10"/>
  <c r="AB26" i="10"/>
  <c r="AA26" i="10"/>
  <c r="Z26" i="10"/>
  <c r="Y26" i="10"/>
  <c r="X26" i="10"/>
  <c r="W26" i="10"/>
  <c r="V26" i="10"/>
  <c r="U26" i="10"/>
  <c r="T26" i="10"/>
  <c r="S26" i="10"/>
  <c r="R26" i="10"/>
  <c r="Q26" i="10"/>
  <c r="AN25" i="10"/>
  <c r="AM25" i="10"/>
  <c r="AL25" i="10"/>
  <c r="AK25" i="10"/>
  <c r="AJ25" i="10"/>
  <c r="AI25" i="10"/>
  <c r="AH25" i="10"/>
  <c r="AG25" i="10"/>
  <c r="AF25" i="10"/>
  <c r="AE25" i="10"/>
  <c r="AD25" i="10"/>
  <c r="AC25" i="10"/>
  <c r="AB25" i="10"/>
  <c r="AA25" i="10"/>
  <c r="Z25" i="10"/>
  <c r="Y25" i="10"/>
  <c r="X25" i="10"/>
  <c r="W25" i="10"/>
  <c r="V25" i="10"/>
  <c r="U25" i="10"/>
  <c r="T25" i="10"/>
  <c r="S25" i="10"/>
  <c r="R25" i="10"/>
  <c r="Q25" i="10"/>
  <c r="AN24" i="10"/>
  <c r="AM24" i="10"/>
  <c r="AL24" i="10"/>
  <c r="AK24" i="10"/>
  <c r="AJ24" i="10"/>
  <c r="AI24" i="10"/>
  <c r="AH24" i="10"/>
  <c r="AG24" i="10"/>
  <c r="AF24" i="10"/>
  <c r="AE24" i="10"/>
  <c r="AD24" i="10"/>
  <c r="AC24" i="10"/>
  <c r="AB24" i="10"/>
  <c r="AA24" i="10"/>
  <c r="Z24" i="10"/>
  <c r="Y24" i="10"/>
  <c r="X24" i="10"/>
  <c r="W24" i="10"/>
  <c r="V24" i="10"/>
  <c r="U24" i="10"/>
  <c r="T24" i="10"/>
  <c r="S24" i="10"/>
  <c r="R24" i="10"/>
  <c r="Q24" i="10"/>
  <c r="AN23" i="10"/>
  <c r="AM23" i="10"/>
  <c r="AL23" i="10"/>
  <c r="AK23" i="10"/>
  <c r="AJ23" i="10"/>
  <c r="AI23" i="10"/>
  <c r="AH23" i="10"/>
  <c r="AG23" i="10"/>
  <c r="AF23" i="10"/>
  <c r="AE23" i="10"/>
  <c r="AD23" i="10"/>
  <c r="AC23" i="10"/>
  <c r="AB23" i="10"/>
  <c r="AA23" i="10"/>
  <c r="Z23" i="10"/>
  <c r="Y23" i="10"/>
  <c r="X23" i="10"/>
  <c r="W23" i="10"/>
  <c r="V23" i="10"/>
  <c r="U23" i="10"/>
  <c r="T23" i="10"/>
  <c r="S23" i="10"/>
  <c r="R23" i="10"/>
  <c r="Q23" i="10"/>
  <c r="AN22" i="10"/>
  <c r="AM22" i="10"/>
  <c r="AL22" i="10"/>
  <c r="AK22" i="10"/>
  <c r="AJ22" i="10"/>
  <c r="AI22" i="10"/>
  <c r="AH22" i="10"/>
  <c r="AG22" i="10"/>
  <c r="AF22" i="10"/>
  <c r="AE22" i="10"/>
  <c r="AD22" i="10"/>
  <c r="AC22" i="10"/>
  <c r="AB22" i="10"/>
  <c r="AA22" i="10"/>
  <c r="Z22" i="10"/>
  <c r="Y22" i="10"/>
  <c r="X22" i="10"/>
  <c r="W22" i="10"/>
  <c r="V22" i="10"/>
  <c r="U22" i="10"/>
  <c r="T22" i="10"/>
  <c r="S22" i="10"/>
  <c r="R22" i="10"/>
  <c r="Q22" i="10"/>
  <c r="AN21" i="10"/>
  <c r="AM21" i="10"/>
  <c r="AL21" i="10"/>
  <c r="AK21" i="10"/>
  <c r="AJ21" i="10"/>
  <c r="AI21" i="10"/>
  <c r="AH21" i="10"/>
  <c r="AG21" i="10"/>
  <c r="AF21" i="10"/>
  <c r="AE21" i="10"/>
  <c r="AD21" i="10"/>
  <c r="AC21" i="10"/>
  <c r="AB21" i="10"/>
  <c r="AA21" i="10"/>
  <c r="Z21" i="10"/>
  <c r="Y21" i="10"/>
  <c r="X21" i="10"/>
  <c r="W21" i="10"/>
  <c r="V21" i="10"/>
  <c r="U21" i="10"/>
  <c r="T21" i="10"/>
  <c r="S21" i="10"/>
  <c r="R21" i="10"/>
  <c r="Q21" i="10"/>
  <c r="AN20" i="10"/>
  <c r="AM20" i="10"/>
  <c r="AL20" i="10"/>
  <c r="AK20" i="10"/>
  <c r="AJ20" i="10"/>
  <c r="AI20" i="10"/>
  <c r="AH20" i="10"/>
  <c r="AG20" i="10"/>
  <c r="AF20" i="10"/>
  <c r="AE20" i="10"/>
  <c r="AD20" i="10"/>
  <c r="AC20" i="10"/>
  <c r="AB20" i="10"/>
  <c r="AA20" i="10"/>
  <c r="Z20" i="10"/>
  <c r="Y20" i="10"/>
  <c r="X20" i="10"/>
  <c r="W20" i="10"/>
  <c r="V20" i="10"/>
  <c r="U20" i="10"/>
  <c r="T20" i="10"/>
  <c r="S20" i="10"/>
  <c r="R20" i="10"/>
  <c r="Q20" i="10"/>
  <c r="AN19" i="10"/>
  <c r="AM19" i="10"/>
  <c r="AL19" i="10"/>
  <c r="AK19" i="10"/>
  <c r="AJ19" i="10"/>
  <c r="AI19" i="10"/>
  <c r="AH19" i="10"/>
  <c r="AG19" i="10"/>
  <c r="AF19" i="10"/>
  <c r="AE19" i="10"/>
  <c r="AD19" i="10"/>
  <c r="AC19" i="10"/>
  <c r="AB19" i="10"/>
  <c r="AA19" i="10"/>
  <c r="Z19" i="10"/>
  <c r="Y19" i="10"/>
  <c r="X19" i="10"/>
  <c r="W19" i="10"/>
  <c r="V19" i="10"/>
  <c r="U19" i="10"/>
  <c r="T19" i="10"/>
  <c r="S19" i="10"/>
  <c r="R19" i="10"/>
  <c r="Q19" i="10"/>
  <c r="AN18" i="10"/>
  <c r="AM18" i="10"/>
  <c r="AL18" i="10"/>
  <c r="AK18" i="10"/>
  <c r="AJ18" i="10"/>
  <c r="AI18" i="10"/>
  <c r="AH18" i="10"/>
  <c r="AG18" i="10"/>
  <c r="AF18" i="10"/>
  <c r="AE18" i="10"/>
  <c r="AD18" i="10"/>
  <c r="AC18" i="10"/>
  <c r="AB18" i="10"/>
  <c r="AA18" i="10"/>
  <c r="Z18" i="10"/>
  <c r="Y18" i="10"/>
  <c r="X18" i="10"/>
  <c r="W18" i="10"/>
  <c r="V18" i="10"/>
  <c r="U18" i="10"/>
  <c r="T18" i="10"/>
  <c r="S18" i="10"/>
  <c r="R18" i="10"/>
  <c r="Q18" i="10"/>
  <c r="AN17" i="10"/>
  <c r="AM17" i="10"/>
  <c r="AL17" i="10"/>
  <c r="AK17" i="10"/>
  <c r="AJ17" i="10"/>
  <c r="AI17" i="10"/>
  <c r="AH17" i="10"/>
  <c r="AG17" i="10"/>
  <c r="AF17" i="10"/>
  <c r="AE17" i="10"/>
  <c r="AD17" i="10"/>
  <c r="AC17" i="10"/>
  <c r="AB17" i="10"/>
  <c r="AA17" i="10"/>
  <c r="Z17" i="10"/>
  <c r="Y17" i="10"/>
  <c r="X17" i="10"/>
  <c r="W17" i="10"/>
  <c r="V17" i="10"/>
  <c r="U17" i="10"/>
  <c r="T17" i="10"/>
  <c r="S17" i="10"/>
  <c r="R17" i="10"/>
  <c r="Q17" i="10"/>
  <c r="AN16" i="10"/>
  <c r="AM16" i="10"/>
  <c r="AL16" i="10"/>
  <c r="AK16" i="10"/>
  <c r="AJ16" i="10"/>
  <c r="AI16" i="10"/>
  <c r="AH16" i="10"/>
  <c r="AG16" i="10"/>
  <c r="AF16" i="10"/>
  <c r="AE16" i="10"/>
  <c r="AD16" i="10"/>
  <c r="AC16" i="10"/>
  <c r="AB16" i="10"/>
  <c r="AA16" i="10"/>
  <c r="Z16" i="10"/>
  <c r="Y16" i="10"/>
  <c r="X16" i="10"/>
  <c r="W16" i="10"/>
  <c r="V16" i="10"/>
  <c r="U16" i="10"/>
  <c r="T16" i="10"/>
  <c r="S16" i="10"/>
  <c r="R16" i="10"/>
  <c r="Q16" i="10"/>
  <c r="AN15" i="10"/>
  <c r="AM15" i="10"/>
  <c r="AL15" i="10"/>
  <c r="AK15" i="10"/>
  <c r="AJ15" i="10"/>
  <c r="AI15" i="10"/>
  <c r="AH15" i="10"/>
  <c r="AG15" i="10"/>
  <c r="AF15" i="10"/>
  <c r="AE15" i="10"/>
  <c r="AD15" i="10"/>
  <c r="AC15" i="10"/>
  <c r="AB15" i="10"/>
  <c r="AA15" i="10"/>
  <c r="Z15" i="10"/>
  <c r="Y15" i="10"/>
  <c r="X15" i="10"/>
  <c r="W15" i="10"/>
  <c r="V15" i="10"/>
  <c r="U15" i="10"/>
  <c r="T15" i="10"/>
  <c r="S15" i="10"/>
  <c r="R15" i="10"/>
  <c r="Q15" i="10"/>
  <c r="AN14" i="10"/>
  <c r="AM14" i="10"/>
  <c r="AL14" i="10"/>
  <c r="AK14" i="10"/>
  <c r="AJ14" i="10"/>
  <c r="AI14" i="10"/>
  <c r="AH14" i="10"/>
  <c r="AG14" i="10"/>
  <c r="AF14" i="10"/>
  <c r="AE14" i="10"/>
  <c r="AD14" i="10"/>
  <c r="AC14" i="10"/>
  <c r="AB14" i="10"/>
  <c r="AA14" i="10"/>
  <c r="Z14" i="10"/>
  <c r="Y14" i="10"/>
  <c r="X14" i="10"/>
  <c r="W14" i="10"/>
  <c r="V14" i="10"/>
  <c r="U14" i="10"/>
  <c r="T14" i="10"/>
  <c r="S14" i="10"/>
  <c r="R14" i="10"/>
  <c r="Q14" i="10"/>
  <c r="AN13" i="10"/>
  <c r="AM13" i="10"/>
  <c r="AL13" i="10"/>
  <c r="AK13" i="10"/>
  <c r="AJ13" i="10"/>
  <c r="AI13" i="10"/>
  <c r="AH13" i="10"/>
  <c r="AG13" i="10"/>
  <c r="AF13" i="10"/>
  <c r="AE13" i="10"/>
  <c r="AD13" i="10"/>
  <c r="AC13" i="10"/>
  <c r="AB13" i="10"/>
  <c r="AA13" i="10"/>
  <c r="Z13" i="10"/>
  <c r="Y13" i="10"/>
  <c r="X13" i="10"/>
  <c r="W13" i="10"/>
  <c r="V13" i="10"/>
  <c r="U13" i="10"/>
  <c r="T13" i="10"/>
  <c r="S13" i="10"/>
  <c r="R13" i="10"/>
  <c r="Q13" i="10"/>
  <c r="AN12" i="10"/>
  <c r="AM12" i="10"/>
  <c r="AL12" i="10"/>
  <c r="AK12" i="10"/>
  <c r="AJ12" i="10"/>
  <c r="AI12" i="10"/>
  <c r="AH12" i="10"/>
  <c r="AG12" i="10"/>
  <c r="AF12" i="10"/>
  <c r="AE12" i="10"/>
  <c r="AD12" i="10"/>
  <c r="AC12" i="10"/>
  <c r="AB12" i="10"/>
  <c r="AA12" i="10"/>
  <c r="Z12" i="10"/>
  <c r="Y12" i="10"/>
  <c r="X12" i="10"/>
  <c r="W12" i="10"/>
  <c r="V12" i="10"/>
  <c r="U12" i="10"/>
  <c r="T12" i="10"/>
  <c r="S12" i="10"/>
  <c r="R12" i="10"/>
  <c r="Q12" i="10"/>
  <c r="AN11" i="10"/>
  <c r="AM11" i="10"/>
  <c r="AL11" i="10"/>
  <c r="AK11" i="10"/>
  <c r="AJ11" i="10"/>
  <c r="AI11" i="10"/>
  <c r="AH11" i="10"/>
  <c r="AG11" i="10"/>
  <c r="AF11" i="10"/>
  <c r="AE11" i="10"/>
  <c r="AD11" i="10"/>
  <c r="AC11" i="10"/>
  <c r="AB11" i="10"/>
  <c r="AA11" i="10"/>
  <c r="Z11" i="10"/>
  <c r="Y11" i="10"/>
  <c r="X11" i="10"/>
  <c r="W11" i="10"/>
  <c r="V11" i="10"/>
  <c r="U11" i="10"/>
  <c r="T11" i="10"/>
  <c r="S11" i="10"/>
  <c r="R11" i="10"/>
  <c r="Q11" i="10"/>
  <c r="AN10" i="10"/>
  <c r="AM10" i="10"/>
  <c r="AL10" i="10"/>
  <c r="AK10" i="10"/>
  <c r="AJ10" i="10"/>
  <c r="AI10" i="10"/>
  <c r="AH10" i="10"/>
  <c r="AG10" i="10"/>
  <c r="AF10" i="10"/>
  <c r="AE10" i="10"/>
  <c r="AD10" i="10"/>
  <c r="AC10" i="10"/>
  <c r="AB10" i="10"/>
  <c r="AA10" i="10"/>
  <c r="Z10" i="10"/>
  <c r="Y10" i="10"/>
  <c r="X10" i="10"/>
  <c r="W10" i="10"/>
  <c r="V10" i="10"/>
  <c r="U10" i="10"/>
  <c r="T10" i="10"/>
  <c r="S10" i="10"/>
  <c r="R10" i="10"/>
  <c r="Q10" i="10"/>
  <c r="AN9" i="10"/>
  <c r="AM9" i="10"/>
  <c r="AL9" i="10"/>
  <c r="AK9" i="10"/>
  <c r="AJ9" i="10"/>
  <c r="AI9" i="10"/>
  <c r="AH9" i="10"/>
  <c r="AG9" i="10"/>
  <c r="AF9" i="10"/>
  <c r="AE9" i="10"/>
  <c r="AD9" i="10"/>
  <c r="AC9" i="10"/>
  <c r="AB9" i="10"/>
  <c r="AA9" i="10"/>
  <c r="Z9" i="10"/>
  <c r="Y9" i="10"/>
  <c r="X9" i="10"/>
  <c r="W9" i="10"/>
  <c r="V9" i="10"/>
  <c r="U9" i="10"/>
  <c r="T9" i="10"/>
  <c r="S9" i="10"/>
  <c r="R9" i="10"/>
  <c r="Q9" i="10"/>
  <c r="AN8" i="10"/>
  <c r="AM8" i="10"/>
  <c r="AL8" i="10"/>
  <c r="AK8" i="10"/>
  <c r="AJ8" i="10"/>
  <c r="AI8" i="10"/>
  <c r="AH8" i="10"/>
  <c r="AG8" i="10"/>
  <c r="AF8" i="10"/>
  <c r="AE8" i="10"/>
  <c r="AD8" i="10"/>
  <c r="AC8" i="10"/>
  <c r="AB8" i="10"/>
  <c r="AA8" i="10"/>
  <c r="Z8" i="10"/>
  <c r="Y8" i="10"/>
  <c r="X8" i="10"/>
  <c r="W8" i="10"/>
  <c r="V8" i="10"/>
  <c r="U8" i="10"/>
  <c r="T8" i="10"/>
  <c r="S8" i="10"/>
  <c r="R8" i="10"/>
  <c r="Q8" i="10"/>
  <c r="AN7" i="10"/>
  <c r="AM7" i="10"/>
  <c r="AL7" i="10"/>
  <c r="AK7" i="10"/>
  <c r="AJ7" i="10"/>
  <c r="AI7" i="10"/>
  <c r="AH7" i="10"/>
  <c r="AG7" i="10"/>
  <c r="AF7" i="10"/>
  <c r="AE7" i="10"/>
  <c r="AD7" i="10"/>
  <c r="AC7" i="10"/>
  <c r="AB7" i="10"/>
  <c r="AA7" i="10"/>
  <c r="Z7" i="10"/>
  <c r="Y7" i="10"/>
  <c r="X7" i="10"/>
  <c r="W7" i="10"/>
  <c r="V7" i="10"/>
  <c r="U7" i="10"/>
  <c r="T7" i="10"/>
  <c r="S7" i="10"/>
  <c r="R7" i="10"/>
  <c r="Q7" i="10"/>
  <c r="AN6" i="10"/>
  <c r="AM6" i="10"/>
  <c r="AL6" i="10"/>
  <c r="AK6" i="10"/>
  <c r="AJ6" i="10"/>
  <c r="AI6" i="10"/>
  <c r="AH6" i="10"/>
  <c r="AG6" i="10"/>
  <c r="AF6" i="10"/>
  <c r="AE6" i="10"/>
  <c r="AD6" i="10"/>
  <c r="AC6" i="10"/>
  <c r="AB6" i="10"/>
  <c r="AA6" i="10"/>
  <c r="Z6" i="10"/>
  <c r="Y6" i="10"/>
  <c r="X6" i="10"/>
  <c r="W6" i="10"/>
  <c r="V6" i="10"/>
  <c r="U6" i="10"/>
  <c r="T6" i="10"/>
  <c r="S6" i="10"/>
  <c r="R6" i="10"/>
  <c r="Q6" i="10"/>
  <c r="AN5" i="10"/>
  <c r="AM5" i="10"/>
  <c r="AL5" i="10"/>
  <c r="AK5" i="10"/>
  <c r="AJ5" i="10"/>
  <c r="AI5" i="10"/>
  <c r="AH5" i="10"/>
  <c r="AG5" i="10"/>
  <c r="AF5" i="10"/>
  <c r="AE5" i="10"/>
  <c r="AD5" i="10"/>
  <c r="AC5" i="10"/>
  <c r="AB5" i="10"/>
  <c r="AA5" i="10"/>
  <c r="Z5" i="10"/>
  <c r="Y5" i="10"/>
  <c r="X5" i="10"/>
  <c r="W5" i="10"/>
  <c r="V5" i="10"/>
  <c r="U5" i="10"/>
  <c r="T5" i="10"/>
  <c r="S5" i="10"/>
  <c r="R5" i="10"/>
  <c r="Q5" i="10"/>
  <c r="AN4" i="10"/>
  <c r="AM4" i="10"/>
  <c r="AL4" i="10"/>
  <c r="AK4" i="10"/>
  <c r="AJ4" i="10"/>
  <c r="AI4" i="10"/>
  <c r="AH4" i="10"/>
  <c r="AG4" i="10"/>
  <c r="AF4" i="10"/>
  <c r="AE4" i="10"/>
  <c r="AD4" i="10"/>
  <c r="AC4" i="10"/>
  <c r="AB4" i="10"/>
  <c r="AA4" i="10"/>
  <c r="Z4" i="10"/>
  <c r="Y4" i="10"/>
  <c r="X4" i="10"/>
  <c r="W4" i="10"/>
  <c r="V4" i="10"/>
  <c r="U4" i="10"/>
  <c r="T4" i="10"/>
  <c r="S4" i="10"/>
  <c r="R4" i="10"/>
  <c r="Q4" i="10"/>
  <c r="AN3" i="10"/>
  <c r="AM3" i="10"/>
  <c r="AL3" i="10"/>
  <c r="AK3" i="10"/>
  <c r="AJ3" i="10"/>
  <c r="AI3" i="10"/>
  <c r="AH3" i="10"/>
  <c r="AG3" i="10"/>
  <c r="AF3" i="10"/>
  <c r="AE3" i="10"/>
  <c r="AD3" i="10"/>
  <c r="AC3" i="10"/>
  <c r="AB3" i="10"/>
  <c r="AA3" i="10"/>
  <c r="Z3" i="10"/>
  <c r="Y3" i="10"/>
  <c r="X3" i="10"/>
  <c r="W3" i="10"/>
  <c r="V3" i="10"/>
  <c r="U3" i="10"/>
  <c r="T3" i="10"/>
  <c r="S3" i="10"/>
  <c r="R3" i="10"/>
  <c r="Q3" i="10"/>
  <c r="AN2" i="10"/>
  <c r="AM2" i="10"/>
  <c r="AL2" i="10"/>
  <c r="AK2" i="10"/>
  <c r="AJ2" i="10"/>
  <c r="AI2" i="10"/>
  <c r="AH2" i="10"/>
  <c r="AG2" i="10"/>
  <c r="AF2" i="10"/>
  <c r="AE2" i="10"/>
  <c r="AD2" i="10"/>
  <c r="AC2" i="10"/>
  <c r="AB2" i="10"/>
  <c r="AA2" i="10"/>
  <c r="Z2" i="10"/>
  <c r="Y2" i="10"/>
  <c r="X2" i="10"/>
  <c r="W2" i="10"/>
  <c r="V2" i="10"/>
  <c r="U2" i="10"/>
  <c r="T2" i="10"/>
  <c r="S2" i="10"/>
  <c r="R2" i="10"/>
  <c r="Q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E4CC69-BFB5-4AF8-B399-ED67354F66A6}" keepAlive="1" name="Consulta - CHL" description="Conexión a la consulta 'CHL' en el libro." type="5" refreshedVersion="8" background="1" saveData="1">
    <dbPr connection="Provider=Microsoft.Mashup.OleDb.1;Data Source=$Workbook$;Location=CHL;Extended Properties=&quot;&quot;" command="SELECT * FROM [CHL]"/>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futureMetadata>
  <cellMetadata count="1">
    <bk>
      <rc t="1" v="0"/>
    </bk>
  </cellMetadata>
  <valueMetadata count="7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valueMetadata>
</metadata>
</file>

<file path=xl/sharedStrings.xml><?xml version="1.0" encoding="utf-8"?>
<sst xmlns="http://schemas.openxmlformats.org/spreadsheetml/2006/main" count="5820" uniqueCount="1106">
  <si>
    <t>ADMIN EXCEL CHAMPIONS LEAGUE 2025-2026</t>
  </si>
  <si>
    <t>Para acceder Click en</t>
  </si>
  <si>
    <t>Español</t>
  </si>
  <si>
    <t>Item</t>
  </si>
  <si>
    <t>Inglés</t>
  </si>
  <si>
    <t>Excel Europa League 2025-2026</t>
  </si>
  <si>
    <t>Excel Conference League 25-26</t>
  </si>
  <si>
    <t>España</t>
  </si>
  <si>
    <t>Excel Premier League 2025-2026</t>
  </si>
  <si>
    <t>Excel Liga 1ª Division 2025-2026</t>
  </si>
  <si>
    <t>Excel Liga 2ª Division 2025-2026</t>
  </si>
  <si>
    <t>ADMIN</t>
  </si>
  <si>
    <t>Excel Liga 1ª Federación (G1 y G2) 2025-2026</t>
  </si>
  <si>
    <t>Excel Liga F. 2025-2026</t>
  </si>
  <si>
    <t>Excel Libertadores/Sudamericana 2025</t>
  </si>
  <si>
    <t>25 Participants</t>
  </si>
  <si>
    <t>Badge</t>
  </si>
  <si>
    <t>P</t>
  </si>
  <si>
    <t>P-O</t>
  </si>
  <si>
    <t>DF-O</t>
  </si>
  <si>
    <t>GF_O</t>
  </si>
  <si>
    <t>Winner</t>
  </si>
  <si>
    <t>Athletic Bilbao</t>
  </si>
  <si>
    <t>Arsenal</t>
  </si>
  <si>
    <t>PSV Eindhoven</t>
  </si>
  <si>
    <t>Union Saint-Gilloise</t>
  </si>
  <si>
    <t>Juventus</t>
  </si>
  <si>
    <t>Borussia Dortmund</t>
  </si>
  <si>
    <t>Real Madrid</t>
  </si>
  <si>
    <t>Marseille</t>
  </si>
  <si>
    <t>Benfica</t>
  </si>
  <si>
    <t>Qarabağ</t>
  </si>
  <si>
    <t>Tottenham</t>
  </si>
  <si>
    <t>Villarreal</t>
  </si>
  <si>
    <t>Olympiakos</t>
  </si>
  <si>
    <t>Pafos</t>
  </si>
  <si>
    <t>Slavia Praha</t>
  </si>
  <si>
    <t>Bodø/Glimt</t>
  </si>
  <si>
    <t>Ajax</t>
  </si>
  <si>
    <t>Inter Milan</t>
  </si>
  <si>
    <t>Puntos</t>
  </si>
  <si>
    <t>Bayern München</t>
  </si>
  <si>
    <t>Chelsea</t>
  </si>
  <si>
    <t>Liverpool</t>
  </si>
  <si>
    <t>Atlético Madrid</t>
  </si>
  <si>
    <t>PSG</t>
  </si>
  <si>
    <t>Atalanta</t>
  </si>
  <si>
    <t>Brugge</t>
  </si>
  <si>
    <t>Monaco</t>
  </si>
  <si>
    <t>Copenhagen</t>
  </si>
  <si>
    <t>Bayer Leverkusen</t>
  </si>
  <si>
    <t>Eintracht Frankfurt</t>
  </si>
  <si>
    <t>Galatasaray</t>
  </si>
  <si>
    <t>Manchester City</t>
  </si>
  <si>
    <t>Napoli</t>
  </si>
  <si>
    <t>Newcastle</t>
  </si>
  <si>
    <t>Barcelona</t>
  </si>
  <si>
    <t>Puntos Oponentes</t>
  </si>
  <si>
    <t>Sporting Portugal</t>
  </si>
  <si>
    <t>Kairat Almaty </t>
  </si>
  <si>
    <t>DG</t>
  </si>
  <si>
    <t>^</t>
  </si>
  <si>
    <t>DG Oponentes</t>
  </si>
  <si>
    <t>GF</t>
  </si>
  <si>
    <t>GF Oponentes</t>
  </si>
  <si>
    <t>If two or more teams are equal on points on completion of the league phase matches, the following criteria are applied, in this order, to determine their rankings:</t>
  </si>
  <si>
    <t>a) Superior goal difference in the league phase</t>
  </si>
  <si>
    <t>b) Higher number of goals scored in the league phase</t>
  </si>
  <si>
    <t>c) Higher number of away goals scored in the league phase</t>
  </si>
  <si>
    <t>d) Higher number of wins in the league phase</t>
  </si>
  <si>
    <t>e) Higher number of away wins in the league phase</t>
  </si>
  <si>
    <t>f) Higher number of points obtained collectively by league phase opponents</t>
  </si>
  <si>
    <t>g) Superior collective goal difference of league phase opponents</t>
  </si>
  <si>
    <t>h) Higher number of goals scored collectively by league phase opponents</t>
  </si>
  <si>
    <t>We don't use i) and j), but if they still in equality, you can choose the order manually at the right of the standing table</t>
  </si>
  <si>
    <t>i)Lower disciplinary points total based only on yellow and red cards received by players and team officials in all league phase matches (red card = 3 points, yellow card = 1 point, expulsion for two yellow cards in one match = 3 points)</t>
  </si>
  <si>
    <t>j) Higher club coefficient</t>
  </si>
  <si>
    <t>LOOSER</t>
  </si>
  <si>
    <t>PO1</t>
  </si>
  <si>
    <t>PO2</t>
  </si>
  <si>
    <t>PO3</t>
  </si>
  <si>
    <t>PO4</t>
  </si>
  <si>
    <t>PO5</t>
  </si>
  <si>
    <t>PO6</t>
  </si>
  <si>
    <t>PO7</t>
  </si>
  <si>
    <t>PO8</t>
  </si>
  <si>
    <t>O1</t>
  </si>
  <si>
    <t>O2</t>
  </si>
  <si>
    <t>O3</t>
  </si>
  <si>
    <t>O4</t>
  </si>
  <si>
    <t>O5</t>
  </si>
  <si>
    <t>O6</t>
  </si>
  <si>
    <t>O7</t>
  </si>
  <si>
    <t>O8</t>
  </si>
  <si>
    <t>C1</t>
  </si>
  <si>
    <t>C2</t>
  </si>
  <si>
    <t>C3</t>
  </si>
  <si>
    <t>C4</t>
  </si>
  <si>
    <t>S1</t>
  </si>
  <si>
    <t>S2</t>
  </si>
  <si>
    <t>F</t>
  </si>
  <si>
    <t>PO R16</t>
  </si>
  <si>
    <t>R16</t>
  </si>
  <si>
    <t>QF</t>
  </si>
  <si>
    <t>SF</t>
  </si>
  <si>
    <t xml:space="preserve"> (11/12 &amp; 18/19 Feb)</t>
  </si>
  <si>
    <t>(4/5 &amp; 11/12 Mar)</t>
  </si>
  <si>
    <t>(8/19 &amp; 15/16 Apr)</t>
  </si>
  <si>
    <t>(29/30 Apr &amp; 6/7 May)</t>
  </si>
  <si>
    <t>(31 May)</t>
  </si>
  <si>
    <t>R1</t>
  </si>
  <si>
    <t>R2</t>
  </si>
  <si>
    <t>G</t>
  </si>
  <si>
    <t>(P)</t>
  </si>
  <si>
    <t>17/18</t>
  </si>
  <si>
    <t>15/16</t>
  </si>
  <si>
    <t>1/2</t>
  </si>
  <si>
    <t>WR16-1</t>
  </si>
  <si>
    <t>23/24</t>
  </si>
  <si>
    <t>WR16-2</t>
  </si>
  <si>
    <t>9/10</t>
  </si>
  <si>
    <t>7/8</t>
  </si>
  <si>
    <t>21/22</t>
  </si>
  <si>
    <t>11/12</t>
  </si>
  <si>
    <t>5/6</t>
  </si>
  <si>
    <t>19/20</t>
  </si>
  <si>
    <t>13/14</t>
  </si>
  <si>
    <t>3/4</t>
  </si>
  <si>
    <t>20/19</t>
  </si>
  <si>
    <t>14/13</t>
  </si>
  <si>
    <t>4/3</t>
  </si>
  <si>
    <t>=SI(Y(O(F20="";F21="";G20="";G21=""));E21&amp;"/"&amp;E20;SI(F20+G20&gt;F21+G21;E20;SI(F20+G20&lt;F21+G21;E21;SI(Y(F20+G20=F21+G21;I20=I21);E21&amp;"/"&amp;E20;SI(Y(F20+G20=F21+G21;O(I20="";I21=""));E21&amp;"/"&amp;E20;SI(Y(F20+G20=F21+G21;I20&gt;I21);E20;E21))))))</t>
  </si>
  <si>
    <t>22/21</t>
  </si>
  <si>
    <t>12/11</t>
  </si>
  <si>
    <t>6/5</t>
  </si>
  <si>
    <t>24/23</t>
  </si>
  <si>
    <t>10/9</t>
  </si>
  <si>
    <t>8/7</t>
  </si>
  <si>
    <t>18/17</t>
  </si>
  <si>
    <t>16/15</t>
  </si>
  <si>
    <t>2/1</t>
  </si>
  <si>
    <t>XAVI</t>
  </si>
  <si>
    <t>CHARLY</t>
  </si>
  <si>
    <t>POTI</t>
  </si>
  <si>
    <t>TONI</t>
  </si>
  <si>
    <t>CHETE</t>
  </si>
  <si>
    <t>LUIS IRISH</t>
  </si>
  <si>
    <t>PEPE</t>
  </si>
  <si>
    <t>PILAR</t>
  </si>
  <si>
    <t>YERAY</t>
  </si>
  <si>
    <t>LUISETE</t>
  </si>
  <si>
    <t>SALME</t>
  </si>
  <si>
    <t>CLAU</t>
  </si>
  <si>
    <t>COPILOT</t>
  </si>
  <si>
    <t>GUILLE</t>
  </si>
  <si>
    <t>PERICO</t>
  </si>
  <si>
    <t>CARLOS</t>
  </si>
  <si>
    <t>2|1-3</t>
  </si>
  <si>
    <t>X|1-1</t>
  </si>
  <si>
    <t>2|0-3</t>
  </si>
  <si>
    <t>X|2-2</t>
  </si>
  <si>
    <t>2|1-2</t>
  </si>
  <si>
    <t>2|0-2</t>
  </si>
  <si>
    <t>1|4-0</t>
  </si>
  <si>
    <t>1|1-0</t>
  </si>
  <si>
    <t>1|3-0</t>
  </si>
  <si>
    <t>1|2-1</t>
  </si>
  <si>
    <t>1|2-0</t>
  </si>
  <si>
    <t>X|0-0</t>
  </si>
  <si>
    <t>1|3-2</t>
  </si>
  <si>
    <t>1|3-1</t>
  </si>
  <si>
    <t>1|4-1</t>
  </si>
  <si>
    <t>1|5-1</t>
  </si>
  <si>
    <t>2|2-3</t>
  </si>
  <si>
    <t>2|0-1</t>
  </si>
  <si>
    <t>2|2-4</t>
  </si>
  <si>
    <t>X|3-3</t>
  </si>
  <si>
    <t>2|1-4</t>
  </si>
  <si>
    <t>2|0-5</t>
  </si>
  <si>
    <t>2|0-4</t>
  </si>
  <si>
    <t>2|1-5</t>
  </si>
  <si>
    <t>2|0-6</t>
  </si>
  <si>
    <t>2|0-8</t>
  </si>
  <si>
    <t>1|4-3</t>
  </si>
  <si>
    <t>1|5-0</t>
  </si>
  <si>
    <t>* Leer las intrucciones que se pueden encontrar en:</t>
  </si>
  <si>
    <t>https://matejero.es/puntuaciones-excel-champions-league/</t>
  </si>
  <si>
    <t>1|4-2</t>
  </si>
  <si>
    <t>MAX. KO</t>
  </si>
  <si>
    <t>MAX. PREDICTOR</t>
  </si>
  <si>
    <t>TOTAL MAX</t>
  </si>
  <si>
    <t>1|6-0</t>
  </si>
  <si>
    <t>1|7-1</t>
  </si>
  <si>
    <t> </t>
  </si>
  <si>
    <t>P
O
S</t>
  </si>
  <si>
    <t xml:space="preserve">Kairat Almaty </t>
  </si>
  <si>
    <t>1/8</t>
  </si>
  <si>
    <t>PO</t>
  </si>
  <si>
    <t>Playoffs</t>
  </si>
  <si>
    <t>KO PHASE</t>
  </si>
  <si>
    <t>PLAYOFFS</t>
  </si>
  <si>
    <t>1/4</t>
  </si>
  <si>
    <t>FINAL</t>
  </si>
  <si>
    <t>W</t>
  </si>
  <si>
    <t>PREDICTOR</t>
  </si>
  <si>
    <t>P
R
E
D
I
C
T
O
R</t>
  </si>
  <si>
    <t>Miguel Angel Tejero</t>
  </si>
  <si>
    <t>Photo: wikipedia</t>
  </si>
  <si>
    <t>Excel Mundial 2026</t>
  </si>
  <si>
    <t>Pos 0</t>
  </si>
  <si>
    <t>Grupo
empate 0</t>
  </si>
  <si>
    <t>Diferencia
de goles
general</t>
  </si>
  <si>
    <t>Pos 1</t>
  </si>
  <si>
    <t>Grupo
empate 1</t>
  </si>
  <si>
    <t>Goles
a favor
general</t>
  </si>
  <si>
    <t>Pos 2</t>
  </si>
  <si>
    <t>Grupo
empate 2</t>
  </si>
  <si>
    <t>Goles
a favor fuera
general</t>
  </si>
  <si>
    <t>Pos 3</t>
  </si>
  <si>
    <t>Grupo
empate 3</t>
  </si>
  <si>
    <t>Victorias General</t>
  </si>
  <si>
    <t>Pos 4</t>
  </si>
  <si>
    <t>Grupo
empate 4</t>
  </si>
  <si>
    <t>Victorias Fuera General</t>
  </si>
  <si>
    <t>Pos 5</t>
  </si>
  <si>
    <t>Grupo
empate 5</t>
  </si>
  <si>
    <t>Pos 6</t>
  </si>
  <si>
    <t>Grupo
empate 6</t>
  </si>
  <si>
    <t>Pos 7</t>
  </si>
  <si>
    <t>Grupo
empate 7</t>
  </si>
  <si>
    <t>Pos 8</t>
  </si>
  <si>
    <t>Grupo
empate 8</t>
  </si>
  <si>
    <t>Orden
alfabético</t>
  </si>
  <si>
    <t>PosiciónF1</t>
  </si>
  <si>
    <t>PosiciónF2</t>
  </si>
  <si>
    <t>CRITERIO/FILA()</t>
  </si>
  <si>
    <t>PosicionF3</t>
  </si>
  <si>
    <t>W OPO</t>
  </si>
  <si>
    <t>Team</t>
  </si>
  <si>
    <t>Escribir el pais en idiomas</t>
  </si>
  <si>
    <t>País</t>
  </si>
  <si>
    <t>UTC</t>
  </si>
  <si>
    <t>en horas</t>
  </si>
  <si>
    <t>Organizador:</t>
  </si>
  <si>
    <t>Num</t>
  </si>
  <si>
    <t>UTC (Verano)</t>
  </si>
  <si>
    <t>UTC en horas</t>
  </si>
  <si>
    <t>Organizador</t>
  </si>
  <si>
    <t>Dif c/ org</t>
  </si>
  <si>
    <t>Dif  en horas</t>
  </si>
  <si>
    <t>+/-</t>
  </si>
  <si>
    <t>Paises</t>
  </si>
  <si>
    <t>Invierno</t>
  </si>
  <si>
    <t>Orden</t>
  </si>
  <si>
    <t>Dif verano invierno</t>
  </si>
  <si>
    <t>https://www.zeitverschiebung.net/es/country/vn</t>
  </si>
  <si>
    <t>UTC -12</t>
  </si>
  <si>
    <t>UTC -11</t>
  </si>
  <si>
    <t>UTC -10</t>
  </si>
  <si>
    <t>UTC -9</t>
  </si>
  <si>
    <t>UTC -8</t>
  </si>
  <si>
    <t>UTC -7</t>
  </si>
  <si>
    <t>UTC -6</t>
  </si>
  <si>
    <t>UTC -5</t>
  </si>
  <si>
    <t>UTC -4</t>
  </si>
  <si>
    <t>UTC -3:30</t>
  </si>
  <si>
    <t>UTC -3</t>
  </si>
  <si>
    <t>UTC -2</t>
  </si>
  <si>
    <t>UTC -1</t>
  </si>
  <si>
    <t>UTC +1</t>
  </si>
  <si>
    <t>UTC +2</t>
  </si>
  <si>
    <t>UTC +3</t>
  </si>
  <si>
    <t>UTC +3:30</t>
  </si>
  <si>
    <t>UTC +4</t>
  </si>
  <si>
    <t>UTC +4:30</t>
  </si>
  <si>
    <t>UTC +5</t>
  </si>
  <si>
    <t>UTC +5:30</t>
  </si>
  <si>
    <t>UTC +5:45</t>
  </si>
  <si>
    <t>UTC +6</t>
  </si>
  <si>
    <t>UTC +6:30</t>
  </si>
  <si>
    <t>UTC +7</t>
  </si>
  <si>
    <t>UTC +8</t>
  </si>
  <si>
    <t>UTC +9</t>
  </si>
  <si>
    <t>UTC +9:30</t>
  </si>
  <si>
    <t>UTC +10</t>
  </si>
  <si>
    <t>UTC +10:30</t>
  </si>
  <si>
    <t>UTC +11</t>
  </si>
  <si>
    <t>UTC +12</t>
  </si>
  <si>
    <t>UTC +12:45</t>
  </si>
  <si>
    <t>UTC +13</t>
  </si>
  <si>
    <t>UTC +14</t>
  </si>
  <si>
    <t>English</t>
  </si>
  <si>
    <t>HOJA</t>
  </si>
  <si>
    <t>Celda</t>
  </si>
  <si>
    <t>Inicio</t>
  </si>
  <si>
    <t>G4</t>
  </si>
  <si>
    <t>Introducir resultados Fase de Liga</t>
  </si>
  <si>
    <t>Introduce Results League Phase</t>
  </si>
  <si>
    <t>Introducir resultados Fase KO</t>
  </si>
  <si>
    <t>Introduce Results KO Phase</t>
  </si>
  <si>
    <t>Predictor Equipos</t>
  </si>
  <si>
    <t>Team Predictor</t>
  </si>
  <si>
    <t>L5</t>
  </si>
  <si>
    <t>Si quieres organizar una porra (quiniela) con tu grupo puedes descargar el archivo para administrarla desde aquí.</t>
  </si>
  <si>
    <t>If you want to organize a pool (betting game) with your group, you can download the file to manage it from here.</t>
  </si>
  <si>
    <t>F12</t>
  </si>
  <si>
    <t>Selecciona idioma -&gt;</t>
  </si>
  <si>
    <t>Select languaje -&gt;</t>
  </si>
  <si>
    <t>B7</t>
  </si>
  <si>
    <t>L7</t>
  </si>
  <si>
    <t>Versiones para más participantes</t>
  </si>
  <si>
    <t>Versions for more participants</t>
  </si>
  <si>
    <t>CAMBIAR ENLACE AL ARCHIVO DEL 2024</t>
  </si>
  <si>
    <t>https://matejero.es/excel-champions-league/</t>
  </si>
  <si>
    <t>https://matejero.com/excel-euro-administrator</t>
  </si>
  <si>
    <t>cambiar numero</t>
  </si>
  <si>
    <t>Esta versión para un máximo de 500 participantes</t>
  </si>
  <si>
    <t>This version is for maximum 500 participants</t>
  </si>
  <si>
    <t xml:space="preserve">Si en la hoja League, no ves los escudos de los equipos </t>
  </si>
  <si>
    <t>If you don't see the team logos in the League sheet</t>
  </si>
  <si>
    <t>utiliza el otro archivo que venia en el archivo .zip</t>
  </si>
  <si>
    <t>use the other file that came in the .zip file</t>
  </si>
  <si>
    <t>Clasificación</t>
  </si>
  <si>
    <t>Standings</t>
  </si>
  <si>
    <t>World Cup 2026 Excel Schedule</t>
  </si>
  <si>
    <t>EUROCOPA</t>
  </si>
  <si>
    <t>E1</t>
  </si>
  <si>
    <t>Selecciona Horario -&gt;</t>
  </si>
  <si>
    <t>Select timetable -&gt;</t>
  </si>
  <si>
    <t>I1</t>
  </si>
  <si>
    <t>Rellenar los cuadros grises</t>
  </si>
  <si>
    <t>Fill in the grey cells</t>
  </si>
  <si>
    <t>F3</t>
  </si>
  <si>
    <t>Fecha</t>
  </si>
  <si>
    <t>Date</t>
  </si>
  <si>
    <t>G3</t>
  </si>
  <si>
    <t>Hora</t>
  </si>
  <si>
    <t>Hour</t>
  </si>
  <si>
    <t>H3</t>
  </si>
  <si>
    <t>Jor.</t>
  </si>
  <si>
    <t>R</t>
  </si>
  <si>
    <t>I3</t>
  </si>
  <si>
    <t>Equipo Local</t>
  </si>
  <si>
    <t>Home</t>
  </si>
  <si>
    <t>K3</t>
  </si>
  <si>
    <t>Gol</t>
  </si>
  <si>
    <t>Goals</t>
  </si>
  <si>
    <t>N3</t>
  </si>
  <si>
    <t>Equipo Visitante</t>
  </si>
  <si>
    <t>Away</t>
  </si>
  <si>
    <t>CAMPEÓN CHAMPIONS 25-26:</t>
  </si>
  <si>
    <t>WINNER CHAMPIONS 25-26:</t>
  </si>
  <si>
    <t>Q3</t>
  </si>
  <si>
    <t>Grupo</t>
  </si>
  <si>
    <t>Group</t>
  </si>
  <si>
    <t>AB3</t>
  </si>
  <si>
    <t>¡EMPATE! Puedes seleccionar el orden de los empatados.</t>
  </si>
  <si>
    <t>IT'S A DRAW! Choose the order of the teams to determine their rankings.</t>
  </si>
  <si>
    <t>P52</t>
  </si>
  <si>
    <t>¡EMPATE! Puedes seleccionar el orden de los empatados entre los terceros.</t>
  </si>
  <si>
    <t>IT'S A DRAW! Choose the order of the Nations to determine their rankings.</t>
  </si>
  <si>
    <t>E53</t>
  </si>
  <si>
    <t>E63</t>
  </si>
  <si>
    <t>Octavos de final</t>
  </si>
  <si>
    <t>Round of 16</t>
  </si>
  <si>
    <t>E74</t>
  </si>
  <si>
    <t>Cuartos de final</t>
  </si>
  <si>
    <t>Quarterfinals</t>
  </si>
  <si>
    <t>E80</t>
  </si>
  <si>
    <t>Semifinales</t>
  </si>
  <si>
    <t>Semifinals</t>
  </si>
  <si>
    <t>E84</t>
  </si>
  <si>
    <t>Final</t>
  </si>
  <si>
    <t>I88</t>
  </si>
  <si>
    <t>CUADRO DE HONOR</t>
  </si>
  <si>
    <t>HONOR BOX</t>
  </si>
  <si>
    <t>E89</t>
  </si>
  <si>
    <t>Campeón</t>
  </si>
  <si>
    <t>E90</t>
  </si>
  <si>
    <t>Subcampeón</t>
  </si>
  <si>
    <t>Runner-up</t>
  </si>
  <si>
    <t>E93</t>
  </si>
  <si>
    <t>Goleador del torneo</t>
  </si>
  <si>
    <t>Top Scorer</t>
  </si>
  <si>
    <t>E94</t>
  </si>
  <si>
    <t>Mejor jugador del torneo</t>
  </si>
  <si>
    <t>Best Tournament player</t>
  </si>
  <si>
    <t>Propia Admin, diferente a la del jugador</t>
  </si>
  <si>
    <t>I93</t>
  </si>
  <si>
    <t>Escribe el nombre máximo goleador</t>
  </si>
  <si>
    <t>Write the top scorer name.</t>
  </si>
  <si>
    <t>I94</t>
  </si>
  <si>
    <t>Escribe el nombre del mejor jugador</t>
  </si>
  <si>
    <t>Write the best player name</t>
  </si>
  <si>
    <t>E97</t>
  </si>
  <si>
    <t>Escribe tu nombre -&gt;</t>
  </si>
  <si>
    <t>Write your name -&gt;</t>
  </si>
  <si>
    <t>I97</t>
  </si>
  <si>
    <t>ADMINISTRADOR</t>
  </si>
  <si>
    <t>ADMINISTRATOR</t>
  </si>
  <si>
    <t>R86</t>
  </si>
  <si>
    <t>CHAMPIONS EN PROCESO</t>
  </si>
  <si>
    <t>CHAMPIONS IN PROGRESS</t>
  </si>
  <si>
    <t>S86</t>
  </si>
  <si>
    <t>Todavía queda torneo</t>
  </si>
  <si>
    <t>The tournament is still ongoing.</t>
  </si>
  <si>
    <t>R87</t>
  </si>
  <si>
    <t>CHAMPIONS FINALIZADA</t>
  </si>
  <si>
    <t>CHAMPIONS COMPLETED</t>
  </si>
  <si>
    <t>S87</t>
  </si>
  <si>
    <t>¿Quién habrá ganado?</t>
  </si>
  <si>
    <t>Who has won the pool?</t>
  </si>
  <si>
    <t>Selecciona un primero</t>
  </si>
  <si>
    <t>Select a 1st</t>
  </si>
  <si>
    <t>Selecciona un Playoff</t>
  </si>
  <si>
    <t>Select a Playoff</t>
  </si>
  <si>
    <t>CLAS</t>
  </si>
  <si>
    <t>Q5</t>
  </si>
  <si>
    <t>Pos</t>
  </si>
  <si>
    <t>R5</t>
  </si>
  <si>
    <t>Equipo</t>
  </si>
  <si>
    <t>S5</t>
  </si>
  <si>
    <t>Pts</t>
  </si>
  <si>
    <t>T5</t>
  </si>
  <si>
    <t>J</t>
  </si>
  <si>
    <t>U5</t>
  </si>
  <si>
    <t>V5</t>
  </si>
  <si>
    <t>E</t>
  </si>
  <si>
    <t>D</t>
  </si>
  <si>
    <t>W5</t>
  </si>
  <si>
    <t>L</t>
  </si>
  <si>
    <t>X5</t>
  </si>
  <si>
    <t>Y5</t>
  </si>
  <si>
    <t>GC</t>
  </si>
  <si>
    <t>A</t>
  </si>
  <si>
    <t>Z5</t>
  </si>
  <si>
    <t>GD</t>
  </si>
  <si>
    <t>C</t>
  </si>
  <si>
    <t>H</t>
  </si>
  <si>
    <t>Puntos penalizados</t>
  </si>
  <si>
    <t>Deducted Points</t>
  </si>
  <si>
    <t>Seleccionar el orden de los empatados.</t>
  </si>
  <si>
    <t>Choose the order of the drawing teams.</t>
  </si>
  <si>
    <t>Clasificado</t>
  </si>
  <si>
    <t>Qualified</t>
  </si>
  <si>
    <r>
      <t xml:space="preserve">Para ver los enfrentamientos de las eliminatorias tendrás que ir a la pestaña </t>
    </r>
    <r>
      <rPr>
        <b/>
        <sz val="12"/>
        <color theme="0"/>
        <rFont val="Calibri"/>
        <family val="2"/>
        <scheme val="minor"/>
      </rPr>
      <t>Datos → Actualizar todo</t>
    </r>
    <r>
      <rPr>
        <sz val="12"/>
        <color theme="0"/>
        <rFont val="Calibri"/>
        <family val="2"/>
        <scheme val="minor"/>
      </rPr>
      <t xml:space="preserve"> cada vez que se realice el sorteo o finalice una ronda.</t>
    </r>
  </si>
  <si>
    <r>
      <t xml:space="preserve">To see the knockout stage matchups, you will need to go to the </t>
    </r>
    <r>
      <rPr>
        <b/>
        <sz val="12"/>
        <color theme="0"/>
        <rFont val="Calibri"/>
        <family val="2"/>
        <scheme val="minor"/>
      </rPr>
      <t>Data → Refresh All</t>
    </r>
    <r>
      <rPr>
        <sz val="12"/>
        <color theme="0"/>
        <rFont val="Calibri"/>
        <family val="2"/>
        <scheme val="minor"/>
      </rPr>
      <t xml:space="preserve"> tab each time the draw is made or a round ends.</t>
    </r>
  </si>
  <si>
    <t>Creditos</t>
  </si>
  <si>
    <t>B3</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</si>
  <si>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</si>
  <si>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</si>
  <si>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B14</t>
  </si>
  <si>
    <t>Autor:</t>
  </si>
  <si>
    <t>Author:</t>
  </si>
  <si>
    <t>B15</t>
  </si>
  <si>
    <t>Útima versión</t>
  </si>
  <si>
    <t>Last version:</t>
  </si>
  <si>
    <t>B2</t>
  </si>
  <si>
    <t>Limitación de responsabilidad:</t>
  </si>
  <si>
    <t>Disclaimer:</t>
  </si>
  <si>
    <t>No exist en admin esta hoja</t>
  </si>
  <si>
    <t>Pool</t>
  </si>
  <si>
    <t>Para el administrador de la porra</t>
  </si>
  <si>
    <t>For the administrator of the pool</t>
  </si>
  <si>
    <t>PARTICIPANTE</t>
  </si>
  <si>
    <t>PLAYER</t>
  </si>
  <si>
    <t>Nombre</t>
  </si>
  <si>
    <t>Name</t>
  </si>
  <si>
    <t>¡No tocar nada, se rellena solo!</t>
  </si>
  <si>
    <t>PLAYER: DO NOT TOUCH, IT'S AUTOMATIC!</t>
  </si>
  <si>
    <t>EL ADMINISTRADOR DE LA PORRA SEGUIRÁ LAS INSTRUCCIONES DE AQUÍ ABAJO</t>
  </si>
  <si>
    <t xml:space="preserve">THE POOL ADMINISTRATOR SHOULD FOLLOW THE INSTRUCTIONS BELOW				</t>
  </si>
  <si>
    <t>E3</t>
  </si>
  <si>
    <t>·Si haceis toda la Eurocopa de golpe copiar de la C6 a la 134 y pegar valores en la plantilla de Administrador.</t>
  </si>
  <si>
    <t xml:space="preserve">·If you play the whole tournament at once de golpe select from C6 to C134 and paste in the Administrator template.			</t>
  </si>
  <si>
    <t>E4</t>
  </si>
  <si>
    <t>·Si haceis toda la fase de grupos de golpe, en vez de jornada a jornada selecciona de la C6 a la C188 y pega valores en la plantilla de Administrador</t>
  </si>
  <si>
    <t>If you do the whole League Phase at once, instead of round by round, select from C6 to C188 and paste the values into the Administrator template.</t>
  </si>
  <si>
    <t>E5</t>
  </si>
  <si>
    <t>·Si haceis jornada a jornada seguir las instrucciones de cada jornada</t>
  </si>
  <si>
    <t>·If you play by Rounds, follow de instuctions of every round.</t>
  </si>
  <si>
    <t>E6</t>
  </si>
  <si>
    <t>·Si haceis jornada a jornada, para la primera jornada selecciona de la C6 a la C24 y pega valores en la plantilla de administrador</t>
  </si>
  <si>
    <t>·If you do it round by round, for the first round select from C6 to C24 and paste the values into the administrator template.</t>
  </si>
  <si>
    <t>E18</t>
  </si>
  <si>
    <t>·Para la 2ª jornada selecciona de la C25 a la C42 y pega valores en la plantilla de administrador</t>
  </si>
  <si>
    <t>·For the 2nd round, select from C25 to C42 and paste the values into the administrator template.</t>
  </si>
  <si>
    <t>E30</t>
  </si>
  <si>
    <t>·Para la 3ª jornada selecciona de la C43 a la C60 y pega valores en la plantilla de administrador</t>
  </si>
  <si>
    <t>·For the 3rd round, select from C43 to C60 and paste the values into the administrator template.</t>
  </si>
  <si>
    <t>·Para la 4ª jornada selecciona de la C61 a la C78 y pega valores en la plantilla de administrador</t>
  </si>
  <si>
    <t>·For the 4th round, select from C61 to C78 and paste the values into the administrator template.</t>
  </si>
  <si>
    <t>·Para la 5ª jornada selecciona de la C79 a la C96 y pega valores en la plantilla de administrador</t>
  </si>
  <si>
    <t>·For the 5th round, select from C79 to C96 and paste the values into the administrator template.</t>
  </si>
  <si>
    <t>·Para la 6ª jornada selecciona de la C97 a la C114 y pega valores en la plantilla de administrador</t>
  </si>
  <si>
    <t>·For the 6th round, select from C97 to C114 and paste the values into the administrator template.</t>
  </si>
  <si>
    <t>·Para la 7ª jornada selecciona de la C115 a la C132 y pega valores en la plantilla de administrador</t>
  </si>
  <si>
    <t>·For the 7th round, select from C115 to C132 and paste the values into the administrator template.</t>
  </si>
  <si>
    <t>·Para la 8ª jornada selecciona de la C133 a la C188 y pega valores en la plantilla de administrador</t>
  </si>
  <si>
    <t>·For the 8th round, select from C133 to C188 and paste the values into the administrator template.</t>
  </si>
  <si>
    <t>·Copiar de la C6 a la C41 y pegarlo en el administrador donde el Predictor</t>
  </si>
  <si>
    <t>·Copy from C6 to C41 and paste it in the administrator where the Predictor is.</t>
  </si>
  <si>
    <t>E86</t>
  </si>
  <si>
    <t>·Si haceis todas las eliminatorias de golpe, copiar de la C88 a la C132 y pegar valores en la plantilla de Administrador.</t>
  </si>
  <si>
    <t>·If you play the KO rounds at once select from C88 to C132 and paste in the Administrator template.</t>
  </si>
  <si>
    <t>E87</t>
  </si>
  <si>
    <t>·Para los Playoffs selecciona de la C6 a la C21 y pega valores en la plantilla de administrador.</t>
  </si>
  <si>
    <t>·For de round of Playoff  matches, copy from C6 to C21 and paste in the administrator template in "Paste Values Round of 16"</t>
  </si>
  <si>
    <t>E88</t>
  </si>
  <si>
    <t>·Para los octavos selecciona de la C24 a la C40 y pega valores en la plantilla de administrador.</t>
  </si>
  <si>
    <t>·For de round of 16 matches, copy from C24 to C40 and paste in the administrator template in "Paste Values Round of 16"</t>
  </si>
  <si>
    <t>E108</t>
  </si>
  <si>
    <t>·Para los cuartos selecciona de la C43 a la C49 y pega valores en la plantilla de administrador.</t>
  </si>
  <si>
    <t>·For the round of Quarter-Finals matches, copy from C43 to C49 and paste in the administrator template in "Paste Values Quarterfinals"</t>
  </si>
  <si>
    <t>E120</t>
  </si>
  <si>
    <t>·Para las semifinales selecciona de la C52 a la C55 y pega valores en la plantilla de administrador.</t>
  </si>
  <si>
    <t>·For the round of Semi-Finals matches, copy from C52 to C55 and paste in the administrator template in "Paste Values Semifinals"</t>
  </si>
  <si>
    <t>E128</t>
  </si>
  <si>
    <t>·Para la final selecciona la C58 y pega valores en la plantilla de administrador.</t>
  </si>
  <si>
    <t>·For the Final match, copy C58 and paste in the administrator template in "Paste Values Final"</t>
  </si>
  <si>
    <t>E133</t>
  </si>
  <si>
    <t>·Al inicio de la competición si se hace por fases copiar de la C132 a la C134 y pegarla al final del jugador en el archivo de administrador.</t>
  </si>
  <si>
    <t>·At the beginning of the competition, if it is done in phases, copy from C132 to C134 and paste it at the end of the player in the administrator file.</t>
  </si>
  <si>
    <t>D6</t>
  </si>
  <si>
    <t>J1</t>
  </si>
  <si>
    <t>D18</t>
  </si>
  <si>
    <t>J2</t>
  </si>
  <si>
    <t>D30</t>
  </si>
  <si>
    <t>J3</t>
  </si>
  <si>
    <t>R3</t>
  </si>
  <si>
    <t>J4</t>
  </si>
  <si>
    <t>R4</t>
  </si>
  <si>
    <t>J5</t>
  </si>
  <si>
    <t>J6</t>
  </si>
  <si>
    <t>R6</t>
  </si>
  <si>
    <t>J7</t>
  </si>
  <si>
    <t>R7</t>
  </si>
  <si>
    <t>J8</t>
  </si>
  <si>
    <t>R8</t>
  </si>
  <si>
    <t>B5</t>
  </si>
  <si>
    <t>FASE DE LIGA</t>
  </si>
  <si>
    <t>LEAGUE PHASE</t>
  </si>
  <si>
    <t>B43</t>
  </si>
  <si>
    <t>POSICIÓN LIGA</t>
  </si>
  <si>
    <t>GROUP STANDINGS</t>
  </si>
  <si>
    <t>B69</t>
  </si>
  <si>
    <t>CLASIFICADOS PARA OCTAVOS</t>
  </si>
  <si>
    <t>QUALIFIED FOR ROUND OF 16</t>
  </si>
  <si>
    <t>B87</t>
  </si>
  <si>
    <t>OCTAVOS DE FINAL</t>
  </si>
  <si>
    <t>ROUND OF 16</t>
  </si>
  <si>
    <t>B97</t>
  </si>
  <si>
    <t>CLASIFICADOS PARA CUARTOS</t>
  </si>
  <si>
    <t>QUARTER-FINALISTS</t>
  </si>
  <si>
    <t>B107</t>
  </si>
  <si>
    <t>CUARTOS DE FINAL</t>
  </si>
  <si>
    <t>QUARTERFINALS</t>
  </si>
  <si>
    <t>B113</t>
  </si>
  <si>
    <t>CLASIFICADOS PARA SEMIFINALES</t>
  </si>
  <si>
    <t>QUALIFIED FOR SEMIFINALS</t>
  </si>
  <si>
    <t>B119</t>
  </si>
  <si>
    <t>SEMIFINALES</t>
  </si>
  <si>
    <t>SEMIFINALS</t>
  </si>
  <si>
    <t>B123</t>
  </si>
  <si>
    <t>CLASIFICADOS PARA LA FINAL</t>
  </si>
  <si>
    <t>QUALIFIED FOR THE FINAL</t>
  </si>
  <si>
    <t>B127</t>
  </si>
  <si>
    <t>B130</t>
  </si>
  <si>
    <t>Horarios</t>
  </si>
  <si>
    <t>K2</t>
  </si>
  <si>
    <t>Albania</t>
  </si>
  <si>
    <t>Alemania</t>
  </si>
  <si>
    <t>Germany</t>
  </si>
  <si>
    <t>K4</t>
  </si>
  <si>
    <t>Andorra</t>
  </si>
  <si>
    <t>K5</t>
  </si>
  <si>
    <t>Armenia</t>
  </si>
  <si>
    <t>K6</t>
  </si>
  <si>
    <t>Austria</t>
  </si>
  <si>
    <t>K7</t>
  </si>
  <si>
    <t>Azerbaiyán</t>
  </si>
  <si>
    <t>Azerbaijan</t>
  </si>
  <si>
    <t>K8</t>
  </si>
  <si>
    <t>Bélgica</t>
  </si>
  <si>
    <t>Belgium</t>
  </si>
  <si>
    <t>K9</t>
  </si>
  <si>
    <t>Bielorrusia</t>
  </si>
  <si>
    <t>Belarus</t>
  </si>
  <si>
    <t>K10</t>
  </si>
  <si>
    <t>Bosnia y Herzegovina</t>
  </si>
  <si>
    <t>Bosnia and Herzegovina</t>
  </si>
  <si>
    <t>K11</t>
  </si>
  <si>
    <t>Bulgaria</t>
  </si>
  <si>
    <t>Bulgary</t>
  </si>
  <si>
    <t>K12</t>
  </si>
  <si>
    <t>Chipre</t>
  </si>
  <si>
    <t>Cyprus</t>
  </si>
  <si>
    <t>K13</t>
  </si>
  <si>
    <t>Croacia</t>
  </si>
  <si>
    <t>Croatia</t>
  </si>
  <si>
    <t>K14</t>
  </si>
  <si>
    <t>Dinamarca</t>
  </si>
  <si>
    <t>Denmark</t>
  </si>
  <si>
    <t>K15</t>
  </si>
  <si>
    <t>Escocia</t>
  </si>
  <si>
    <t>Scotland</t>
  </si>
  <si>
    <t>K16</t>
  </si>
  <si>
    <t>Eslovaquia</t>
  </si>
  <si>
    <t>Slovakia</t>
  </si>
  <si>
    <t>K17</t>
  </si>
  <si>
    <t>Eslovenia</t>
  </si>
  <si>
    <t>Slovenia</t>
  </si>
  <si>
    <t>K18</t>
  </si>
  <si>
    <t>Spain</t>
  </si>
  <si>
    <t>K19</t>
  </si>
  <si>
    <t>Estonia</t>
  </si>
  <si>
    <t>K20</t>
  </si>
  <si>
    <t>Finlandia</t>
  </si>
  <si>
    <t>Finland</t>
  </si>
  <si>
    <t>K21</t>
  </si>
  <si>
    <t>Francia</t>
  </si>
  <si>
    <t>France</t>
  </si>
  <si>
    <t>K22</t>
  </si>
  <si>
    <t>Gales</t>
  </si>
  <si>
    <t>Wales</t>
  </si>
  <si>
    <t>K23</t>
  </si>
  <si>
    <t>Georgia</t>
  </si>
  <si>
    <t>K24</t>
  </si>
  <si>
    <t>Gibraltar</t>
  </si>
  <si>
    <t>K25</t>
  </si>
  <si>
    <t>Grecia</t>
  </si>
  <si>
    <t>Greece</t>
  </si>
  <si>
    <t>K26</t>
  </si>
  <si>
    <t>Hungría</t>
  </si>
  <si>
    <t>Hungary</t>
  </si>
  <si>
    <t>K27</t>
  </si>
  <si>
    <t>Inglaterra</t>
  </si>
  <si>
    <t>England</t>
  </si>
  <si>
    <t>K28</t>
  </si>
  <si>
    <t>Irlanda</t>
  </si>
  <si>
    <t>Ireland</t>
  </si>
  <si>
    <t>K29</t>
  </si>
  <si>
    <t>Irlanda del Norte</t>
  </si>
  <si>
    <t>Northern Ireland</t>
  </si>
  <si>
    <t>K30</t>
  </si>
  <si>
    <t>Islandia</t>
  </si>
  <si>
    <t>Iceland</t>
  </si>
  <si>
    <t>K31</t>
  </si>
  <si>
    <t>Islas Feroe</t>
  </si>
  <si>
    <t>Faroe Islands</t>
  </si>
  <si>
    <t>K32</t>
  </si>
  <si>
    <t>Israel</t>
  </si>
  <si>
    <t>K33</t>
  </si>
  <si>
    <t>Italia</t>
  </si>
  <si>
    <t>Italy</t>
  </si>
  <si>
    <t>K34</t>
  </si>
  <si>
    <t>Kazajistán</t>
  </si>
  <si>
    <t>Kazakhstan</t>
  </si>
  <si>
    <t>K35</t>
  </si>
  <si>
    <t>Kosovo</t>
  </si>
  <si>
    <t>K36</t>
  </si>
  <si>
    <t>Letonia</t>
  </si>
  <si>
    <t>Latvia</t>
  </si>
  <si>
    <t>K37</t>
  </si>
  <si>
    <t>Liechtenstein</t>
  </si>
  <si>
    <t>K38</t>
  </si>
  <si>
    <t>Lituania</t>
  </si>
  <si>
    <t>Lithuania</t>
  </si>
  <si>
    <t>K39</t>
  </si>
  <si>
    <t>Luxemburgo</t>
  </si>
  <si>
    <t>Luxembourg</t>
  </si>
  <si>
    <t>K40</t>
  </si>
  <si>
    <t>Macedonia del Norte</t>
  </si>
  <si>
    <t>North Macedonia</t>
  </si>
  <si>
    <t>K41</t>
  </si>
  <si>
    <t>Malta</t>
  </si>
  <si>
    <t>K42</t>
  </si>
  <si>
    <t>Moldavia</t>
  </si>
  <si>
    <t>Moldova</t>
  </si>
  <si>
    <t>K43</t>
  </si>
  <si>
    <t>Montenegro</t>
  </si>
  <si>
    <t>K44</t>
  </si>
  <si>
    <t>Noruega</t>
  </si>
  <si>
    <t>Norway</t>
  </si>
  <si>
    <t>K45</t>
  </si>
  <si>
    <t>Países Bajos</t>
  </si>
  <si>
    <t>Netherlands</t>
  </si>
  <si>
    <t>K46</t>
  </si>
  <si>
    <t>Polonia</t>
  </si>
  <si>
    <t>Poland</t>
  </si>
  <si>
    <t>K47</t>
  </si>
  <si>
    <t>Portugal</t>
  </si>
  <si>
    <t>K48</t>
  </si>
  <si>
    <t>República Checa</t>
  </si>
  <si>
    <t>Czech Republic</t>
  </si>
  <si>
    <t>K49</t>
  </si>
  <si>
    <t>Rumanía</t>
  </si>
  <si>
    <t>Romania</t>
  </si>
  <si>
    <t>K50</t>
  </si>
  <si>
    <t>Rusia</t>
  </si>
  <si>
    <t>Russia</t>
  </si>
  <si>
    <t>K51</t>
  </si>
  <si>
    <t>San Marino</t>
  </si>
  <si>
    <t>K52</t>
  </si>
  <si>
    <t>Serbia</t>
  </si>
  <si>
    <t>K53</t>
  </si>
  <si>
    <t>Suecia</t>
  </si>
  <si>
    <t>Sweden</t>
  </si>
  <si>
    <t>K54</t>
  </si>
  <si>
    <t>Suiza</t>
  </si>
  <si>
    <t>Switzerland</t>
  </si>
  <si>
    <t>K55</t>
  </si>
  <si>
    <t>Turquía</t>
  </si>
  <si>
    <t>Turkey</t>
  </si>
  <si>
    <t>K56</t>
  </si>
  <si>
    <t>Ucrania</t>
  </si>
  <si>
    <t>Ukraine</t>
  </si>
  <si>
    <t>Tambien en columna F de ADMINS</t>
  </si>
  <si>
    <t>Equipos/ADMIN</t>
  </si>
  <si>
    <t>P15</t>
  </si>
  <si>
    <t>Round Of 16</t>
  </si>
  <si>
    <t>P16</t>
  </si>
  <si>
    <t>P17</t>
  </si>
  <si>
    <t>P18</t>
  </si>
  <si>
    <t>PAIS ORGANIZADOR (ESCRIBIR) en las columnas de los idiomas</t>
  </si>
  <si>
    <t>W2</t>
  </si>
  <si>
    <t>Selecciona el Nº de Jugadores</t>
  </si>
  <si>
    <t>Select the number of players:</t>
  </si>
  <si>
    <t>↓↓ Resultados reales ↓↓</t>
  </si>
  <si>
    <t>↓↓ Results ↓↓</t>
  </si>
  <si>
    <t>C7</t>
  </si>
  <si>
    <t>Regla*</t>
  </si>
  <si>
    <t>Rule*</t>
  </si>
  <si>
    <t>D7</t>
  </si>
  <si>
    <t>Points</t>
  </si>
  <si>
    <t>C8</t>
  </si>
  <si>
    <t>FASE DE LIGA - Signo 1X2* (local, empate, visitante)</t>
  </si>
  <si>
    <t>LEAGUE PHASE - 1X2* (home, draw, away)</t>
  </si>
  <si>
    <t>C9</t>
  </si>
  <si>
    <t>FASE DE LIGA -Diferencia de goles</t>
  </si>
  <si>
    <t>LEAGUE PHASE - Goal Difference (with 1X2 correct)</t>
  </si>
  <si>
    <t>C10</t>
  </si>
  <si>
    <t>FASE DE LIGA - Resultado exacto</t>
  </si>
  <si>
    <t>LEAGUE PHASE - Exact result</t>
  </si>
  <si>
    <t>C11</t>
  </si>
  <si>
    <t>FASE DE LIGA - Posición exacta</t>
  </si>
  <si>
    <t>LEAGUE PHASE - Exact position</t>
  </si>
  <si>
    <t>C15</t>
  </si>
  <si>
    <t>Equipo clasificado para PLAYOFFS</t>
  </si>
  <si>
    <t>Team Qualified for PLAYOFFS</t>
  </si>
  <si>
    <t>Equipo clasificado para OCTAVOS (Desde Fase de Liga)</t>
  </si>
  <si>
    <t>Team Qualified for ROUND OF 16 (From League Phase)</t>
  </si>
  <si>
    <t>Equipo clasificado para OCTAVOS (Desde Playoffs)</t>
  </si>
  <si>
    <t>Team Qualified for ROUND OF 16 (From Playoffs)</t>
  </si>
  <si>
    <t>Equipo clasificado para OCTAVOS</t>
  </si>
  <si>
    <t>Team Qualified for ROUND OF 16</t>
  </si>
  <si>
    <t>C16</t>
  </si>
  <si>
    <t>PLAYOFFS - Signo 1X2  (local, empate, visitante)</t>
  </si>
  <si>
    <t>PLAYOFFS - 1X2* (home, draw, away)</t>
  </si>
  <si>
    <t>C17</t>
  </si>
  <si>
    <t>PLAYOFFS -Diferencia de goles</t>
  </si>
  <si>
    <t>PLAYOFFS - Goal Difference (with 1X2 correct)</t>
  </si>
  <si>
    <t>C18</t>
  </si>
  <si>
    <t>PLAYOFFS - Resultado exacto</t>
  </si>
  <si>
    <t>PLAYOFFS - Exact Result</t>
  </si>
  <si>
    <t>OCTAVOS - Signo 1X2  (local, empate, visitante)</t>
  </si>
  <si>
    <t>ROUND OF 16- 1X2* (home, draw, away)</t>
  </si>
  <si>
    <t>OCTAVOS -Diferencia de goles</t>
  </si>
  <si>
    <t>ROUND OF 16 - Goal Difference (with 1X2 correct)</t>
  </si>
  <si>
    <t>OCTAVOS - Resultado exacto</t>
  </si>
  <si>
    <t>ROUND OF 16 - Exact Result</t>
  </si>
  <si>
    <t>C19</t>
  </si>
  <si>
    <t>Equipo clasificado para CUARTOS</t>
  </si>
  <si>
    <t>Team Qualified for QUARTERFINALS</t>
  </si>
  <si>
    <t>C20</t>
  </si>
  <si>
    <t>CUARTOS - Signo 1X2  (local, empate, visitante)</t>
  </si>
  <si>
    <t>QUARTERFINALS- 1X2* (home, draw, away)</t>
  </si>
  <si>
    <t>C21</t>
  </si>
  <si>
    <t>CUARTOS -Diferencia de goles</t>
  </si>
  <si>
    <t>QUARTERFINALS - Goal Difference (with 1X2 correct)</t>
  </si>
  <si>
    <t>C22</t>
  </si>
  <si>
    <t>CUARTOS - Resultado exacto</t>
  </si>
  <si>
    <t>QUARTERFINALS - Exact Result</t>
  </si>
  <si>
    <t>C23</t>
  </si>
  <si>
    <t>Equipo clasificado para SEMIFINALES</t>
  </si>
  <si>
    <t>Team Qualified for SEMIFINALS</t>
  </si>
  <si>
    <t>C24</t>
  </si>
  <si>
    <t>SEMIFINALES - Signo 1X2  (local, empate, visitante)</t>
  </si>
  <si>
    <t>SEMIFINALS- 1X2* (home, draw, away)</t>
  </si>
  <si>
    <t>C25</t>
  </si>
  <si>
    <t>SEMIFINALES -Diferencia de goles</t>
  </si>
  <si>
    <t>SEMIFINALS - Goal Difference (with 1X2 correct)</t>
  </si>
  <si>
    <t>C26</t>
  </si>
  <si>
    <t>SEMIFINALES - Resultado exacto</t>
  </si>
  <si>
    <t>SEMIFINALS - Exact Result</t>
  </si>
  <si>
    <t>C27</t>
  </si>
  <si>
    <t>Equipo clasificado para LA FINAL</t>
  </si>
  <si>
    <t>Nation Qualified for the FINAL</t>
  </si>
  <si>
    <t>C28</t>
  </si>
  <si>
    <t>FINAL - Signo 1X2  (local, empate, visitante)</t>
  </si>
  <si>
    <t>FINAL- 1X2* (home, draw, away)</t>
  </si>
  <si>
    <t>C29</t>
  </si>
  <si>
    <t>FINAL - Diferencia de goles</t>
  </si>
  <si>
    <t>FINAL - Goal Difference (with 1X2 correct)</t>
  </si>
  <si>
    <t>C30</t>
  </si>
  <si>
    <t>FINAL - Resultado exacto</t>
  </si>
  <si>
    <t>FINAL - Exact Result</t>
  </si>
  <si>
    <t>C31</t>
  </si>
  <si>
    <t>C32</t>
  </si>
  <si>
    <t>C33</t>
  </si>
  <si>
    <t>Tops Scorer</t>
  </si>
  <si>
    <t>C34</t>
  </si>
  <si>
    <t>Best Player</t>
  </si>
  <si>
    <t>H7</t>
  </si>
  <si>
    <t>Fase de grupos</t>
  </si>
  <si>
    <t>Group Stage</t>
  </si>
  <si>
    <t>H45</t>
  </si>
  <si>
    <t>Posición grupos</t>
  </si>
  <si>
    <t>Group Position</t>
  </si>
  <si>
    <t>CLASIFICADOS PARA PLAYOFFS</t>
  </si>
  <si>
    <t>QUALIFIED FOR PLAYOFFS</t>
  </si>
  <si>
    <t>CLASIFICADOS PARA OCTAVOS (Desde Fase Liga)</t>
  </si>
  <si>
    <t>QUALIFIED FOR ROUND OF 16 (From League Phase)</t>
  </si>
  <si>
    <t>CLASIFICADOS PARA OCTAVOS (DESDE PLAYOFFS)</t>
  </si>
  <si>
    <t>QUALIFIED FOR ROUND OF 16 (From Playoffs)</t>
  </si>
  <si>
    <t>H71</t>
  </si>
  <si>
    <t>Clasificados para Octavos de Final</t>
  </si>
  <si>
    <t>Qualified For Round Of 16</t>
  </si>
  <si>
    <t>Tambien en equipos !p15</t>
  </si>
  <si>
    <t>H89</t>
  </si>
  <si>
    <t>Enfrentamientos Octavos de Final</t>
  </si>
  <si>
    <t>H115</t>
  </si>
  <si>
    <t>Clasificados para Cuartos de Final</t>
  </si>
  <si>
    <t>Qualified for Quarterfinals</t>
  </si>
  <si>
    <t>H99</t>
  </si>
  <si>
    <t>Quarter-Finalists</t>
  </si>
  <si>
    <t>Tambien en equipos !p16</t>
  </si>
  <si>
    <t>H109</t>
  </si>
  <si>
    <t>Enfrentamientos Cuartos de Final</t>
  </si>
  <si>
    <t>Clasificados para Semifinales</t>
  </si>
  <si>
    <t>Qualified For Semifinals</t>
  </si>
  <si>
    <t>Tambien en equipos !p17</t>
  </si>
  <si>
    <t>H121</t>
  </si>
  <si>
    <t>Enfrentamientos Semifinales</t>
  </si>
  <si>
    <t>H125</t>
  </si>
  <si>
    <t>Clasificados para la Final</t>
  </si>
  <si>
    <t>Qualified For The Final</t>
  </si>
  <si>
    <t>Tambien en equipos !p18</t>
  </si>
  <si>
    <t>H129</t>
  </si>
  <si>
    <t>Partido Final</t>
  </si>
  <si>
    <t>H132</t>
  </si>
  <si>
    <t>Cuadro de honor</t>
  </si>
  <si>
    <t>Honor Box</t>
  </si>
  <si>
    <t>H133</t>
  </si>
  <si>
    <t>H134</t>
  </si>
  <si>
    <t>H135</t>
  </si>
  <si>
    <t>H136</t>
  </si>
  <si>
    <t>Nombre J</t>
  </si>
  <si>
    <t>Name P</t>
  </si>
  <si>
    <t>Pegar Valores (J1)</t>
  </si>
  <si>
    <t>Paste Values (R1)</t>
  </si>
  <si>
    <t>Pegar Valores (J2)</t>
  </si>
  <si>
    <t>Paste Values (R2)</t>
  </si>
  <si>
    <t>Pegar Valores (J3)</t>
  </si>
  <si>
    <t>Paste Values (R3)</t>
  </si>
  <si>
    <t>Pegar Valores (J4)</t>
  </si>
  <si>
    <t>Paste Values (R4)</t>
  </si>
  <si>
    <t>Pegar Valores (J5)</t>
  </si>
  <si>
    <t>Paste Values (R5)</t>
  </si>
  <si>
    <t>Pegar Valores (J6)</t>
  </si>
  <si>
    <t>Paste Values (R6)</t>
  </si>
  <si>
    <t>Pegar Valores (J7)</t>
  </si>
  <si>
    <t>Paste Values (R7)</t>
  </si>
  <si>
    <t>Pegar Valores (J8)</t>
  </si>
  <si>
    <t>Paste Values (R8)</t>
  </si>
  <si>
    <t>Pegar Valores Playoffs</t>
  </si>
  <si>
    <t>Paste Values Plaoyffs</t>
  </si>
  <si>
    <t>Pegar Valores Octavos</t>
  </si>
  <si>
    <t>Paste Values Round of 16'</t>
  </si>
  <si>
    <t>Pegar valores Cuartos</t>
  </si>
  <si>
    <t>Paste Values Quarterfinals</t>
  </si>
  <si>
    <t>Pegar valores Semifinales</t>
  </si>
  <si>
    <t>Paste Values Semifinals</t>
  </si>
  <si>
    <t>Pegar valores Final</t>
  </si>
  <si>
    <t>Paste Values Final</t>
  </si>
  <si>
    <t>Pegar valores Predictor</t>
  </si>
  <si>
    <t>Paste Predictor Values</t>
  </si>
  <si>
    <t>H46</t>
  </si>
  <si>
    <t>1º GRUPO A</t>
  </si>
  <si>
    <t>1st GROUP A</t>
  </si>
  <si>
    <t>H47</t>
  </si>
  <si>
    <t>2º GRUPO A</t>
  </si>
  <si>
    <t>2nd GROUP A</t>
  </si>
  <si>
    <t>H48</t>
  </si>
  <si>
    <t>3º GRUPO A</t>
  </si>
  <si>
    <t>3rd GROUP A</t>
  </si>
  <si>
    <t>H49</t>
  </si>
  <si>
    <t>4º GRUPO A</t>
  </si>
  <si>
    <t>4th GROUP A</t>
  </si>
  <si>
    <t>H50</t>
  </si>
  <si>
    <t>1º GRUPO B</t>
  </si>
  <si>
    <t>1st GROUP B</t>
  </si>
  <si>
    <t>H51</t>
  </si>
  <si>
    <t>2º GRUPO B</t>
  </si>
  <si>
    <t>2nd GROUP B</t>
  </si>
  <si>
    <t>H52</t>
  </si>
  <si>
    <t>3º GRUPO B</t>
  </si>
  <si>
    <t>3rd GROUP B</t>
  </si>
  <si>
    <t>H53</t>
  </si>
  <si>
    <t>4º GRUPO B</t>
  </si>
  <si>
    <t>4th GROUP B</t>
  </si>
  <si>
    <t>H54</t>
  </si>
  <si>
    <t>1º GRUPO C</t>
  </si>
  <si>
    <t>1st GROUP C</t>
  </si>
  <si>
    <t>H55</t>
  </si>
  <si>
    <t>2º GRUPO C</t>
  </si>
  <si>
    <t>2nd GROUP C</t>
  </si>
  <si>
    <t>H56</t>
  </si>
  <si>
    <t>3º GRUPO C</t>
  </si>
  <si>
    <t>3rd GROUP C</t>
  </si>
  <si>
    <t>H57</t>
  </si>
  <si>
    <t>4º GRUPO C</t>
  </si>
  <si>
    <t>4th GROUP C</t>
  </si>
  <si>
    <t>H58</t>
  </si>
  <si>
    <t>1º GRUPO D</t>
  </si>
  <si>
    <t>1st GROUP D</t>
  </si>
  <si>
    <t>H59</t>
  </si>
  <si>
    <t>2º GRUPO D</t>
  </si>
  <si>
    <t>2nd GROUP D</t>
  </si>
  <si>
    <t>H60</t>
  </si>
  <si>
    <t>3º GRUPO D</t>
  </si>
  <si>
    <t>3rd GROUP D</t>
  </si>
  <si>
    <t>H61</t>
  </si>
  <si>
    <t>4º GRUPO D</t>
  </si>
  <si>
    <t>4th GROUP D</t>
  </si>
  <si>
    <t>H62</t>
  </si>
  <si>
    <t>1º GRUPO E</t>
  </si>
  <si>
    <t>1st GROUP E</t>
  </si>
  <si>
    <t>H63</t>
  </si>
  <si>
    <t>2º GRUPO E</t>
  </si>
  <si>
    <t>2nd GROUP E</t>
  </si>
  <si>
    <t>H64</t>
  </si>
  <si>
    <t>3º GRUPO E</t>
  </si>
  <si>
    <t>3rd GROUP E</t>
  </si>
  <si>
    <t>H65</t>
  </si>
  <si>
    <t>4º GRUPO E</t>
  </si>
  <si>
    <t>4th GROUP E</t>
  </si>
  <si>
    <t>H66</t>
  </si>
  <si>
    <t>1º GRUPO F</t>
  </si>
  <si>
    <t>1st GROUP F</t>
  </si>
  <si>
    <t>H67</t>
  </si>
  <si>
    <t>2º GRUPO F</t>
  </si>
  <si>
    <t>2nd GROUP F</t>
  </si>
  <si>
    <t>H68</t>
  </si>
  <si>
    <t>3º GRUPO F</t>
  </si>
  <si>
    <t>3rd GROUP F</t>
  </si>
  <si>
    <t>H69</t>
  </si>
  <si>
    <t>4º GRUPO F</t>
  </si>
  <si>
    <t>4th GROUP F</t>
  </si>
  <si>
    <t>H72</t>
  </si>
  <si>
    <t>Octavofinalista</t>
  </si>
  <si>
    <t>8-Finalist</t>
  </si>
  <si>
    <t>H100</t>
  </si>
  <si>
    <t>Cuartofinalista</t>
  </si>
  <si>
    <t>Quarterfinalist</t>
  </si>
  <si>
    <t>H116</t>
  </si>
  <si>
    <t>Semifinalista</t>
  </si>
  <si>
    <t>Semifinalist</t>
  </si>
  <si>
    <t>H126</t>
  </si>
  <si>
    <t>Finalista</t>
  </si>
  <si>
    <t>Finalist</t>
  </si>
  <si>
    <t>F8</t>
  </si>
  <si>
    <t>F20</t>
  </si>
  <si>
    <t>F32</t>
  </si>
  <si>
    <t>C36</t>
  </si>
  <si>
    <t>* Explicación del sistema de puntuación</t>
  </si>
  <si>
    <t>* How the scoring system works</t>
  </si>
  <si>
    <t>PONER URLS CORRECTAS</t>
  </si>
  <si>
    <t>C37</t>
  </si>
  <si>
    <t xml:space="preserve">https://matejero.es/puntuaciones-excel-euro-2024/
	</t>
  </si>
  <si>
    <t xml:space="preserve">https://matejero.com/scoring-system-excel-euro-2024/	
	</t>
  </si>
  <si>
    <t>PREDICTOR - Campeón</t>
  </si>
  <si>
    <t>PREDICTOR - Winner</t>
  </si>
  <si>
    <t>PREDICTOR - Final</t>
  </si>
  <si>
    <t>PREDICTOR - Semifinales</t>
  </si>
  <si>
    <t>PREDICTOR - Semifinals</t>
  </si>
  <si>
    <t>PREDICTOR - Cuartos de final</t>
  </si>
  <si>
    <t>PREDICTOR - Quartefinals</t>
  </si>
  <si>
    <t>PREDICTOR - Octavos de final</t>
  </si>
  <si>
    <t>PREDICTOR - Round of 16</t>
  </si>
  <si>
    <t>PREDICTOR - Playoffs</t>
  </si>
  <si>
    <t>PREDICTOR- Fase de Liga</t>
  </si>
  <si>
    <t>PREDICTOR - League Phase</t>
  </si>
  <si>
    <t>En Objeto</t>
  </si>
  <si>
    <t>CLASIFICACIÓN CHAMPIONS 2025-2026</t>
  </si>
  <si>
    <t>STANDINGS CHAMPIONS 2025-2026</t>
  </si>
  <si>
    <t>Jugador</t>
  </si>
  <si>
    <t>Player</t>
  </si>
  <si>
    <t>D3</t>
  </si>
  <si>
    <t>Puntos Totales</t>
  </si>
  <si>
    <t>Total points</t>
  </si>
  <si>
    <t>Fase Liga</t>
  </si>
  <si>
    <t>League Phase</t>
  </si>
  <si>
    <t>Posición Liga</t>
  </si>
  <si>
    <t>League position</t>
  </si>
  <si>
    <t>Equipos 1/8 (L)</t>
  </si>
  <si>
    <t>R16 Teams (L)</t>
  </si>
  <si>
    <t>Equipos PO</t>
  </si>
  <si>
    <t>PO Teams</t>
  </si>
  <si>
    <t>Partidos PO</t>
  </si>
  <si>
    <t>PO Match-ups</t>
  </si>
  <si>
    <t>Equipos 1/8 (PO)</t>
  </si>
  <si>
    <t>R16 Teams (PO)</t>
  </si>
  <si>
    <t>Partidos 1/8</t>
  </si>
  <si>
    <t>R16 Match-ups</t>
  </si>
  <si>
    <t>Equipos 1/4</t>
  </si>
  <si>
    <t>QF Teams</t>
  </si>
  <si>
    <t>Partidos 1/4</t>
  </si>
  <si>
    <t>QF Match-ups</t>
  </si>
  <si>
    <t>Equipos 1/2</t>
  </si>
  <si>
    <t>SF Teams</t>
  </si>
  <si>
    <t>L3</t>
  </si>
  <si>
    <t>Partidos 1/2</t>
  </si>
  <si>
    <t>SF Match-ups</t>
  </si>
  <si>
    <t>M3</t>
  </si>
  <si>
    <t>Equipos Final</t>
  </si>
  <si>
    <t>Final Teams</t>
  </si>
  <si>
    <t>Final Match-up</t>
  </si>
  <si>
    <t>Predictor</t>
  </si>
  <si>
    <t>Pronostico Diario</t>
  </si>
  <si>
    <t>D1</t>
  </si>
  <si>
    <t>Selecciona día:</t>
  </si>
  <si>
    <t>Select day:</t>
  </si>
  <si>
    <t>ClasificacionDiaria</t>
  </si>
  <si>
    <t>H1</t>
  </si>
  <si>
    <t>Puntos Día / Eliminatoria</t>
  </si>
  <si>
    <t>Points Day / Round</t>
  </si>
  <si>
    <t>Equipos</t>
  </si>
  <si>
    <t>NombreEquipo</t>
  </si>
  <si>
    <t>NameTeam</t>
  </si>
  <si>
    <t>Escudo</t>
  </si>
  <si>
    <r>
      <t>Kairat Almaty</t>
    </r>
    <r>
      <rPr>
        <sz val="16"/>
        <color theme="0"/>
        <rFont val="Arial"/>
        <family val="2"/>
      </rPr>
      <t> </t>
    </r>
  </si>
  <si>
    <t>Fase de Liga</t>
  </si>
  <si>
    <t>Pronóstica la ronda</t>
  </si>
  <si>
    <t>Predict the round</t>
  </si>
  <si>
    <t>Predice el equipo</t>
  </si>
  <si>
    <t>Predict team</t>
  </si>
  <si>
    <t>Ronda</t>
  </si>
  <si>
    <t>Round</t>
  </si>
  <si>
    <t>·Selecciona para cada ronda el equipo o los equipos que crees que van a llegar hasta esa ronda.</t>
  </si>
  <si>
    <t>·Select for each round the team or teams that you think will reach that round.</t>
  </si>
  <si>
    <t>·Una vez selecciones un equipo, dejará de aparecer en el selector</t>
  </si>
  <si>
    <t>·Once you select a team, it will no longer appear in the selector.</t>
  </si>
  <si>
    <t xml:space="preserve">·Si has rellenado todos y quieres hacer un cambio, </t>
  </si>
  <si>
    <t>·If you've filled everything out and want to make a change,</t>
  </si>
  <si>
    <t xml:space="preserve"> borra los equipos que quieras cambiar y podrás volver a seleccionarlos</t>
  </si>
  <si>
    <t xml:space="preserve"> delete the teams you want to change and you can select them again.</t>
  </si>
  <si>
    <t>Rellenar antes del comienzo de la Champions</t>
  </si>
  <si>
    <t>Complete before Champions League begins</t>
  </si>
  <si>
    <t>Goals_1</t>
  </si>
  <si>
    <t>P_2</t>
  </si>
  <si>
    <t>Badge_3</t>
  </si>
  <si>
    <t>FechaHora</t>
  </si>
  <si>
    <t>Aston Villa</t>
  </si>
  <si>
    <t>Leipzig</t>
  </si>
  <si>
    <t>Atlético de Madrid</t>
  </si>
  <si>
    <t>Lille</t>
  </si>
  <si>
    <t>Malmö</t>
  </si>
  <si>
    <t>Bayern Munich</t>
  </si>
  <si>
    <t>Midtjylland</t>
  </si>
  <si>
    <t>Milan</t>
  </si>
  <si>
    <t>Bologna</t>
  </si>
  <si>
    <t>Brest</t>
  </si>
  <si>
    <t>Celtic</t>
  </si>
  <si>
    <t>Shakhtar Donetsk</t>
  </si>
  <si>
    <t>Dinamo Kiev</t>
  </si>
  <si>
    <t>Dinamo Zagreb</t>
  </si>
  <si>
    <t>Sturm Graz</t>
  </si>
  <si>
    <t>Feyenoord</t>
  </si>
  <si>
    <t>Stuttgart</t>
  </si>
  <si>
    <t>Girona</t>
  </si>
  <si>
    <t>Young Boys</t>
  </si>
  <si>
    <t>Playoffs Round of 16</t>
  </si>
  <si>
    <t>WPO1</t>
  </si>
  <si>
    <t>WPO2</t>
  </si>
  <si>
    <t>WPO3</t>
  </si>
  <si>
    <t>WPO4</t>
  </si>
  <si>
    <t>WPO5</t>
  </si>
  <si>
    <t>WPO6</t>
  </si>
  <si>
    <t>WPO7</t>
  </si>
  <si>
    <t>WPO8</t>
  </si>
  <si>
    <t>WO1</t>
  </si>
  <si>
    <t>WO2</t>
  </si>
  <si>
    <t>WO3</t>
  </si>
  <si>
    <t>WO4</t>
  </si>
  <si>
    <t>WO5</t>
  </si>
  <si>
    <t>WO6</t>
  </si>
  <si>
    <t>WO7</t>
  </si>
  <si>
    <t>WO8</t>
  </si>
  <si>
    <t>WQ1</t>
  </si>
  <si>
    <t>WQ2</t>
  </si>
  <si>
    <t>WQ3</t>
  </si>
  <si>
    <t>WQ4</t>
  </si>
  <si>
    <t>WS1</t>
  </si>
  <si>
    <t>WS2</t>
  </si>
  <si>
    <t>WF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</si>
</sst>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dd/mm/yy"/>
    <numFmt numFmtId="166" formatCode=";;;"/>
    <numFmt numFmtId="167" formatCode="&quot;€&quot;#,##0.00_);[Red]\(&quot;€&quot;#,##0.00\)"/>
  </numFmts>
  <fonts count="67">
    <font>
      <sz val="12"/>
      <color theme="1"/>
      <name val="Calibri"/>
      <family val="2"/>
      <scheme val="minor"/>
    </font>
    <font>
      <sz val="11"/>
      <color theme="1"/>
      <name val="Calibri"/>
      <family val="2"/>
      <scheme val="minor"/>
    </font>
    <font>
      <sz val="11"/>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1"/>
      <color theme="1"/>
      <name val="Calibri"/>
      <family val="2"/>
      <scheme val="minor"/>
    </font>
    <font>
      <sz val="11"/>
      <color theme="0" tint="-0.14999847407452621"/>
      <name val="Calibri"/>
      <family val="2"/>
      <scheme val="minor"/>
    </font>
    <font>
      <sz val="8"/>
      <name val="Calibri"/>
      <family val="2"/>
      <scheme val="minor"/>
    </font>
    <font>
      <sz val="10"/>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18"/>
      <color theme="0"/>
      <name val="Calibri"/>
      <family val="2"/>
      <scheme val="minor"/>
    </font>
    <font>
      <b/>
      <sz val="14"/>
      <color theme="0"/>
      <name val="Calibri"/>
      <family val="2"/>
      <scheme val="minor"/>
    </font>
    <font>
      <sz val="12"/>
      <name val="Calibri"/>
      <family val="2"/>
      <scheme val="minor"/>
    </font>
    <font>
      <b/>
      <sz val="12"/>
      <name val="Calibri"/>
      <family val="2"/>
      <scheme val="minor"/>
    </font>
    <font>
      <b/>
      <sz val="16"/>
      <color theme="1"/>
      <name val="Calibri"/>
      <family val="2"/>
      <scheme val="minor"/>
    </font>
    <font>
      <u/>
      <sz val="11"/>
      <name val="Calibri"/>
      <family val="2"/>
      <scheme val="minor"/>
    </font>
    <font>
      <sz val="12"/>
      <color rgb="FF000000"/>
      <name val="Calibri"/>
      <family val="2"/>
      <scheme val="minor"/>
    </font>
    <font>
      <u/>
      <sz val="12"/>
      <color theme="10"/>
      <name val="Calibri"/>
      <family val="2"/>
      <scheme val="minor"/>
    </font>
    <font>
      <sz val="10"/>
      <color rgb="FF000000"/>
      <name val="Tahoma"/>
      <family val="2"/>
    </font>
    <font>
      <sz val="12"/>
      <color theme="1"/>
      <name val="Calibri"/>
      <family val="2"/>
      <scheme val="minor"/>
    </font>
    <font>
      <b/>
      <sz val="12"/>
      <color theme="0" tint="-0.249977111117893"/>
      <name val="Calibri"/>
      <family val="2"/>
      <scheme val="minor"/>
    </font>
    <font>
      <b/>
      <sz val="14"/>
      <color theme="0" tint="-0.249977111117893"/>
      <name val="Calibri"/>
      <family val="2"/>
      <scheme val="minor"/>
    </font>
    <font>
      <sz val="14"/>
      <color theme="1"/>
      <name val="Calibri"/>
      <family val="2"/>
      <scheme val="minor"/>
    </font>
    <font>
      <b/>
      <sz val="14"/>
      <color theme="1"/>
      <name val="Calibri"/>
      <family val="2"/>
      <scheme val="minor"/>
    </font>
    <font>
      <sz val="5"/>
      <color theme="0" tint="-0.34998626667073579"/>
      <name val="Calibri"/>
      <family val="2"/>
      <scheme val="minor"/>
    </font>
    <font>
      <sz val="11"/>
      <color theme="0" tint="-0.34998626667073579"/>
      <name val="Calibri"/>
      <family val="2"/>
      <scheme val="minor"/>
    </font>
    <font>
      <sz val="11"/>
      <color theme="4"/>
      <name val="Calibri"/>
      <family val="2"/>
      <scheme val="minor"/>
    </font>
    <font>
      <sz val="11"/>
      <color theme="0" tint="-0.34998626667073579"/>
      <name val="Arial"/>
      <family val="2"/>
    </font>
    <font>
      <b/>
      <sz val="9"/>
      <color theme="0"/>
      <name val="Calibri"/>
      <family val="2"/>
      <scheme val="minor"/>
    </font>
    <font>
      <b/>
      <sz val="11"/>
      <color theme="0"/>
      <name val="Calibri"/>
      <family val="2"/>
      <scheme val="minor"/>
    </font>
    <font>
      <b/>
      <sz val="12"/>
      <color rgb="FFBFBFBF"/>
      <name val="Calibri"/>
      <family val="2"/>
      <scheme val="minor"/>
    </font>
    <font>
      <sz val="12"/>
      <color theme="0" tint="-0.14999847407452621"/>
      <name val="Calibri"/>
      <family val="2"/>
      <scheme val="minor"/>
    </font>
    <font>
      <sz val="11"/>
      <color theme="0"/>
      <name val="Calibri"/>
      <family val="2"/>
      <scheme val="minor"/>
    </font>
    <font>
      <b/>
      <sz val="9"/>
      <color theme="1"/>
      <name val="Calibri"/>
      <family val="2"/>
      <scheme val="minor"/>
    </font>
    <font>
      <b/>
      <sz val="16"/>
      <color theme="0"/>
      <name val="Calibri"/>
      <family val="2"/>
      <scheme val="minor"/>
    </font>
    <font>
      <sz val="11"/>
      <color rgb="FF0056A3"/>
      <name val="Calibri"/>
      <family val="2"/>
      <scheme val="minor"/>
    </font>
    <font>
      <sz val="11"/>
      <color rgb="FFFF0000"/>
      <name val="Calibri"/>
      <family val="2"/>
      <scheme val="minor"/>
    </font>
    <font>
      <b/>
      <sz val="11"/>
      <color rgb="FFFF0000"/>
      <name val="Calibri"/>
      <family val="2"/>
      <scheme val="minor"/>
    </font>
    <font>
      <sz val="8"/>
      <color theme="1"/>
      <name val="Calibri"/>
      <family val="2"/>
      <scheme val="minor"/>
    </font>
    <font>
      <sz val="11"/>
      <color rgb="FFD9D9D9"/>
      <name val="Calibri"/>
      <family val="2"/>
      <scheme val="minor"/>
    </font>
    <font>
      <b/>
      <sz val="11"/>
      <name val="Calibri"/>
      <family val="2"/>
      <scheme val="minor"/>
    </font>
    <font>
      <b/>
      <sz val="48"/>
      <name val="Calibri"/>
      <family val="2"/>
      <scheme val="minor"/>
    </font>
    <font>
      <b/>
      <sz val="28"/>
      <name val="Calibri"/>
      <family val="2"/>
      <scheme val="minor"/>
    </font>
    <font>
      <b/>
      <sz val="16"/>
      <name val="Calibri"/>
      <family val="2"/>
      <scheme val="minor"/>
    </font>
    <font>
      <sz val="11"/>
      <color theme="0" tint="-4.9989318521683403E-2"/>
      <name val="Calibri"/>
      <family val="2"/>
      <scheme val="minor"/>
    </font>
    <font>
      <b/>
      <sz val="12"/>
      <color theme="0" tint="-0.14999847407452621"/>
      <name val="Calibri"/>
      <family val="2"/>
      <scheme val="minor"/>
    </font>
    <font>
      <sz val="14"/>
      <color theme="0" tint="-0.14999847407452621"/>
      <name val="Calibri"/>
      <family val="2"/>
      <scheme val="minor"/>
    </font>
    <font>
      <b/>
      <sz val="13"/>
      <color theme="1"/>
      <name val="Calibri"/>
      <family val="2"/>
      <scheme val="minor"/>
    </font>
    <font>
      <u/>
      <sz val="12"/>
      <name val="Calibri"/>
      <family val="2"/>
      <scheme val="minor"/>
    </font>
    <font>
      <sz val="12"/>
      <name val="Arial"/>
      <family val="2"/>
    </font>
    <font>
      <b/>
      <sz val="13"/>
      <name val="Arial"/>
      <family val="2"/>
    </font>
    <font>
      <sz val="13"/>
      <name val="Arial"/>
      <family val="2"/>
    </font>
    <font>
      <b/>
      <sz val="28"/>
      <color rgb="FF0F70BA"/>
      <name val="Calibri"/>
      <family val="2"/>
      <scheme val="minor"/>
    </font>
    <font>
      <sz val="14"/>
      <name val="Calibri"/>
      <family val="2"/>
      <scheme val="minor"/>
    </font>
    <font>
      <sz val="16"/>
      <color theme="1"/>
      <name val="Calibri"/>
      <family val="2"/>
      <scheme val="minor"/>
    </font>
    <font>
      <sz val="11"/>
      <color rgb="FF000000"/>
      <name val="Google Sans Text"/>
    </font>
    <font>
      <b/>
      <sz val="36"/>
      <color rgb="FFD9D9D9"/>
      <name val="Calibri"/>
      <family val="2"/>
      <scheme val="minor"/>
    </font>
    <font>
      <sz val="11"/>
      <color theme="0"/>
      <name val="Arial"/>
      <family val="2"/>
    </font>
    <font>
      <sz val="5"/>
      <color theme="0"/>
      <name val="Calibri"/>
      <family val="2"/>
      <scheme val="minor"/>
    </font>
    <font>
      <sz val="10"/>
      <color theme="0"/>
      <name val="Calibri"/>
      <family val="2"/>
      <scheme val="minor"/>
    </font>
    <font>
      <sz val="16"/>
      <color theme="0"/>
      <name val="Arial"/>
      <family val="2"/>
    </font>
    <font>
      <sz val="11"/>
      <color rgb="FF000000"/>
      <name val="Calibri"/>
      <charset val="134"/>
    </font>
    <font>
      <sz val="11"/>
      <name val="Calibri"/>
      <family val="2"/>
    </font>
    <font>
      <sz val="11"/>
      <color rgb="FF000000"/>
      <name val="Calibri"/>
      <family val="2"/>
    </font>
  </fonts>
  <fills count="2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C1C0"/>
        <bgColor indexed="64"/>
      </patternFill>
    </fill>
    <fill>
      <patternFill patternType="solid">
        <fgColor rgb="FFFFFF00"/>
        <bgColor indexed="64"/>
      </patternFill>
    </fill>
    <fill>
      <patternFill patternType="solid">
        <fgColor theme="1"/>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2"/>
        <bgColor indexed="64"/>
      </patternFill>
    </fill>
    <fill>
      <patternFill patternType="solid">
        <fgColor rgb="FFBFBFBF"/>
        <bgColor indexed="64"/>
      </patternFill>
    </fill>
    <fill>
      <patternFill patternType="solid">
        <fgColor rgb="FFE8E6E6"/>
        <bgColor indexed="64"/>
      </patternFill>
    </fill>
    <fill>
      <patternFill patternType="solid">
        <fgColor theme="0" tint="-4.9989318521683403E-2"/>
        <bgColor indexed="64"/>
      </patternFill>
    </fill>
    <fill>
      <patternFill patternType="solid">
        <fgColor rgb="FFE9E6E6"/>
        <bgColor indexed="64"/>
      </patternFill>
    </fill>
    <fill>
      <patternFill patternType="solid">
        <fgColor rgb="FFD9D9D9"/>
        <bgColor indexed="64"/>
      </patternFill>
    </fill>
    <fill>
      <patternFill patternType="solid">
        <fgColor theme="0" tint="-0.14996795556505021"/>
        <bgColor indexed="64"/>
      </patternFill>
    </fill>
    <fill>
      <patternFill patternType="solid">
        <fgColor rgb="FFE7E5E5"/>
        <bgColor indexed="64"/>
      </patternFill>
    </fill>
    <fill>
      <patternFill patternType="solid">
        <fgColor theme="7" tint="0.79998168889431442"/>
        <bgColor indexed="64"/>
      </patternFill>
    </fill>
    <fill>
      <patternFill patternType="solid">
        <fgColor theme="9" tint="0.39997558519241921"/>
        <bgColor indexed="64"/>
      </patternFill>
    </fill>
  </fills>
  <borders count="205">
    <border>
      <left/>
      <right/>
      <top/>
      <bottom/>
      <diagonal/>
    </border>
    <border>
      <left style="thin">
        <color theme="0"/>
      </left>
      <right style="thin">
        <color theme="0"/>
      </right>
      <top/>
      <bottom style="thin">
        <color theme="0"/>
      </bottom>
      <diagonal/>
    </border>
    <border>
      <left/>
      <right/>
      <top/>
      <bottom style="thin">
        <color rgb="FFD4D4D4"/>
      </bottom>
      <diagonal/>
    </border>
    <border>
      <left style="thin">
        <color rgb="FFD4D4D4"/>
      </left>
      <right style="thin">
        <color rgb="FFD4D4D4"/>
      </right>
      <top/>
      <bottom style="thin">
        <color rgb="FFD4D4D4"/>
      </bottom>
      <diagonal/>
    </border>
    <border>
      <left/>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right style="thin">
        <color rgb="FFD4D4D4"/>
      </right>
      <top style="thin">
        <color rgb="FFD4D4D4"/>
      </top>
      <bottom style="thin">
        <color rgb="FFD4D4D4"/>
      </bottom>
      <diagonal/>
    </border>
    <border>
      <left/>
      <right/>
      <top/>
      <bottom style="medium">
        <color theme="0"/>
      </bottom>
      <diagonal/>
    </border>
    <border>
      <left style="thin">
        <color indexed="64"/>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top/>
      <bottom style="medium">
        <color rgb="FF963533"/>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D9D9D9"/>
      </left>
      <right style="thin">
        <color rgb="FFD9D9D9"/>
      </right>
      <top style="thin">
        <color rgb="FFD9D9D9"/>
      </top>
      <bottom style="thin">
        <color rgb="FFD9D9D9"/>
      </bottom>
      <diagonal/>
    </border>
    <border>
      <left style="medium">
        <color theme="2"/>
      </left>
      <right/>
      <top style="medium">
        <color theme="2"/>
      </top>
      <bottom/>
      <diagonal/>
    </border>
    <border>
      <left/>
      <right/>
      <top style="medium">
        <color theme="2"/>
      </top>
      <bottom/>
      <diagonal/>
    </border>
    <border>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medium">
        <color indexed="64"/>
      </left>
      <right/>
      <top/>
      <bottom style="thin">
        <color theme="1"/>
      </bottom>
      <diagonal/>
    </border>
    <border>
      <left/>
      <right/>
      <top/>
      <bottom style="thin">
        <color theme="1"/>
      </bottom>
      <diagonal/>
    </border>
    <border>
      <left/>
      <right style="thick">
        <color rgb="FFD4D4D4"/>
      </right>
      <top style="thin">
        <color rgb="FFD4D4D4"/>
      </top>
      <bottom style="thin">
        <color rgb="FFD4D4D4"/>
      </bottom>
      <diagonal/>
    </border>
    <border>
      <left/>
      <right style="thick">
        <color rgb="FFD4D4D4"/>
      </right>
      <top/>
      <bottom style="thin">
        <color rgb="FFD4D4D4"/>
      </bottom>
      <diagonal/>
    </border>
    <border>
      <left style="thin">
        <color rgb="FFD4D4D4"/>
      </left>
      <right style="thick">
        <color rgb="FFD4D4D4"/>
      </right>
      <top style="thin">
        <color rgb="FFD4D4D4"/>
      </top>
      <bottom style="thin">
        <color rgb="FFD4D4D4"/>
      </bottom>
      <diagonal/>
    </border>
    <border>
      <left style="thin">
        <color rgb="FFD4D4D4"/>
      </left>
      <right style="thick">
        <color rgb="FFD4D4D4"/>
      </right>
      <top/>
      <bottom style="thin">
        <color rgb="FFD4D4D4"/>
      </bottom>
      <diagonal/>
    </border>
    <border>
      <left style="thick">
        <color rgb="FFD4D4D4"/>
      </left>
      <right/>
      <top style="thick">
        <color rgb="FFD4D4D4"/>
      </top>
      <bottom style="thin">
        <color rgb="FFD4D4D4"/>
      </bottom>
      <diagonal/>
    </border>
    <border>
      <left/>
      <right/>
      <top style="thick">
        <color rgb="FFD4D4D4"/>
      </top>
      <bottom style="thin">
        <color rgb="FFD4D4D4"/>
      </bottom>
      <diagonal/>
    </border>
    <border>
      <left style="thick">
        <color rgb="FFD4D4D4"/>
      </left>
      <right style="thin">
        <color rgb="FFD4D4D4"/>
      </right>
      <top style="thin">
        <color rgb="FFD4D4D4"/>
      </top>
      <bottom style="thin">
        <color rgb="FFD4D4D4"/>
      </bottom>
      <diagonal/>
    </border>
    <border>
      <left style="thick">
        <color rgb="FFD4D4D4"/>
      </left>
      <right style="thin">
        <color rgb="FFD4D4D4"/>
      </right>
      <top/>
      <bottom style="thin">
        <color rgb="FFD4D4D4"/>
      </bottom>
      <diagonal/>
    </border>
    <border>
      <left style="thick">
        <color rgb="FFD4D4D4"/>
      </left>
      <right style="thin">
        <color rgb="FFD4D4D4"/>
      </right>
      <top/>
      <bottom style="thick">
        <color rgb="FFD4D4D4"/>
      </bottom>
      <diagonal/>
    </border>
    <border>
      <left/>
      <right/>
      <top/>
      <bottom style="thick">
        <color rgb="FFD4D4D4"/>
      </bottom>
      <diagonal/>
    </border>
    <border>
      <left style="thin">
        <color rgb="FFD4D4D4"/>
      </left>
      <right style="thick">
        <color rgb="FFD4D4D4"/>
      </right>
      <top style="thin">
        <color rgb="FFD4D4D4"/>
      </top>
      <bottom style="thick">
        <color rgb="FFD4D4D4"/>
      </bottom>
      <diagonal/>
    </border>
    <border>
      <left/>
      <right/>
      <top style="thin">
        <color rgb="FFD4D4D4"/>
      </top>
      <bottom style="thick">
        <color rgb="FFD4D4D4"/>
      </bottom>
      <diagonal/>
    </border>
    <border>
      <left style="thin">
        <color rgb="FFD4D4D4"/>
      </left>
      <right style="thin">
        <color rgb="FFD4D4D4"/>
      </right>
      <top style="thin">
        <color rgb="FFD4D4D4"/>
      </top>
      <bottom style="thick">
        <color rgb="FFD4D4D4"/>
      </bottom>
      <diagonal/>
    </border>
    <border>
      <left/>
      <right style="thin">
        <color rgb="FFD4D4D4"/>
      </right>
      <top style="thin">
        <color rgb="FFD4D4D4"/>
      </top>
      <bottom style="thick">
        <color rgb="FFD4D4D4"/>
      </bottom>
      <diagonal/>
    </border>
    <border>
      <left/>
      <right style="thick">
        <color rgb="FFD4D4D4"/>
      </right>
      <top style="thin">
        <color rgb="FFD4D4D4"/>
      </top>
      <bottom style="thick">
        <color rgb="FFD4D4D4"/>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BFBFBF"/>
      </left>
      <right style="thin">
        <color theme="0"/>
      </right>
      <top style="thin">
        <color theme="0"/>
      </top>
      <bottom style="thin">
        <color theme="0"/>
      </bottom>
      <diagonal/>
    </border>
    <border>
      <left/>
      <right style="medium">
        <color rgb="FFBFBFBF"/>
      </right>
      <top style="thin">
        <color theme="0"/>
      </top>
      <bottom style="thin">
        <color theme="0"/>
      </bottom>
      <diagonal/>
    </border>
    <border>
      <left style="medium">
        <color rgb="FFBFBFBF"/>
      </left>
      <right style="thin">
        <color theme="0"/>
      </right>
      <top style="thin">
        <color theme="0"/>
      </top>
      <bottom style="medium">
        <color rgb="FFBFBFBF"/>
      </bottom>
      <diagonal/>
    </border>
    <border>
      <left style="thin">
        <color theme="0"/>
      </left>
      <right/>
      <top style="thin">
        <color theme="0"/>
      </top>
      <bottom style="medium">
        <color rgb="FFBFBFBF"/>
      </bottom>
      <diagonal/>
    </border>
    <border>
      <left/>
      <right style="thin">
        <color theme="0"/>
      </right>
      <top style="thin">
        <color theme="0"/>
      </top>
      <bottom style="medium">
        <color rgb="FFBFBFBF"/>
      </bottom>
      <diagonal/>
    </border>
    <border>
      <left style="thin">
        <color theme="0"/>
      </left>
      <right style="thin">
        <color theme="0"/>
      </right>
      <top style="thin">
        <color theme="0"/>
      </top>
      <bottom style="medium">
        <color rgb="FFBFBFBF"/>
      </bottom>
      <diagonal/>
    </border>
    <border>
      <left/>
      <right style="medium">
        <color rgb="FFBFBFBF"/>
      </right>
      <top style="thin">
        <color theme="0"/>
      </top>
      <bottom style="medium">
        <color rgb="FFBFBFBF"/>
      </bottom>
      <diagonal/>
    </border>
    <border>
      <left/>
      <right style="thin">
        <color theme="0"/>
      </right>
      <top style="thin">
        <color theme="0"/>
      </top>
      <bottom/>
      <diagonal/>
    </border>
    <border>
      <left/>
      <right style="thin">
        <color theme="2"/>
      </right>
      <top/>
      <bottom style="thin">
        <color rgb="FFE8E6E6"/>
      </bottom>
      <diagonal/>
    </border>
    <border>
      <left style="thin">
        <color theme="2"/>
      </left>
      <right style="thin">
        <color theme="2"/>
      </right>
      <top/>
      <bottom style="thin">
        <color rgb="FFE8E6E6"/>
      </bottom>
      <diagonal/>
    </border>
    <border>
      <left/>
      <right style="medium">
        <color rgb="FFBFBFBF"/>
      </right>
      <top/>
      <bottom style="thin">
        <color rgb="FFE8E6E6"/>
      </bottom>
      <diagonal/>
    </border>
    <border>
      <left/>
      <right/>
      <top style="medium">
        <color rgb="FFBFBFBF"/>
      </top>
      <bottom style="thin">
        <color rgb="FFE8E6E6"/>
      </bottom>
      <diagonal/>
    </border>
    <border>
      <left/>
      <right style="thin">
        <color theme="2"/>
      </right>
      <top style="thin">
        <color rgb="FFE8E6E6"/>
      </top>
      <bottom style="thin">
        <color rgb="FFE8E6E6"/>
      </bottom>
      <diagonal/>
    </border>
    <border>
      <left style="thin">
        <color theme="2"/>
      </left>
      <right style="thin">
        <color theme="2"/>
      </right>
      <top style="thin">
        <color rgb="FFE8E6E6"/>
      </top>
      <bottom style="thin">
        <color rgb="FFE8E6E6"/>
      </bottom>
      <diagonal/>
    </border>
    <border>
      <left/>
      <right style="medium">
        <color rgb="FFBFBFBF"/>
      </right>
      <top style="thin">
        <color rgb="FFE8E6E6"/>
      </top>
      <bottom style="thin">
        <color rgb="FFE8E6E6"/>
      </bottom>
      <diagonal/>
    </border>
    <border>
      <left/>
      <right/>
      <top style="thin">
        <color rgb="FFE8E6E6"/>
      </top>
      <bottom style="thin">
        <color rgb="FFE8E6E6"/>
      </bottom>
      <diagonal/>
    </border>
    <border>
      <left/>
      <right/>
      <top/>
      <bottom style="thin">
        <color rgb="FFE8E6E6"/>
      </bottom>
      <diagonal/>
    </border>
    <border>
      <left/>
      <right style="thin">
        <color rgb="FFE8E6E6"/>
      </right>
      <top style="thin">
        <color rgb="FFE8E6E6"/>
      </top>
      <bottom style="thin">
        <color rgb="FFE8E6E6"/>
      </bottom>
      <diagonal/>
    </border>
    <border>
      <left/>
      <right style="thin">
        <color rgb="FFE8E6E6"/>
      </right>
      <top/>
      <bottom style="thin">
        <color rgb="FFE8E6E6"/>
      </bottom>
      <diagonal/>
    </border>
    <border>
      <left style="medium">
        <color rgb="FFBFBFBF"/>
      </left>
      <right style="thin">
        <color rgb="FFE8E6E6"/>
      </right>
      <top style="thin">
        <color rgb="FFE8E6E6"/>
      </top>
      <bottom style="thin">
        <color rgb="FFE8E6E6"/>
      </bottom>
      <diagonal/>
    </border>
    <border>
      <left style="medium">
        <color rgb="FFBFBFBF"/>
      </left>
      <right style="thin">
        <color rgb="FFE8E6E6"/>
      </right>
      <top/>
      <bottom style="thin">
        <color rgb="FFE8E6E6"/>
      </bottom>
      <diagonal/>
    </border>
    <border>
      <left style="thin">
        <color theme="2"/>
      </left>
      <right style="thin">
        <color rgb="FFE8E6E6"/>
      </right>
      <top style="thin">
        <color rgb="FFE8E6E6"/>
      </top>
      <bottom style="thin">
        <color rgb="FFE8E6E6"/>
      </bottom>
      <diagonal/>
    </border>
    <border>
      <left style="thin">
        <color theme="2"/>
      </left>
      <right style="thin">
        <color rgb="FFE8E6E6"/>
      </right>
      <top/>
      <bottom style="thin">
        <color rgb="FFE8E6E6"/>
      </bottom>
      <diagonal/>
    </border>
    <border>
      <left style="medium">
        <color rgb="FFBFBFBF"/>
      </left>
      <right style="thin">
        <color rgb="FFE8E6E6"/>
      </right>
      <top style="medium">
        <color rgb="FFBFBFBF"/>
      </top>
      <bottom style="thin">
        <color rgb="FFE8E6E6"/>
      </bottom>
      <diagonal/>
    </border>
    <border>
      <left/>
      <right style="thin">
        <color rgb="FFE8E6E6"/>
      </right>
      <top style="medium">
        <color rgb="FFBFBFBF"/>
      </top>
      <bottom style="thin">
        <color rgb="FFE8E6E6"/>
      </bottom>
      <diagonal/>
    </border>
    <border>
      <left/>
      <right style="thin">
        <color theme="2"/>
      </right>
      <top style="medium">
        <color rgb="FFBFBFBF"/>
      </top>
      <bottom style="thin">
        <color rgb="FFE8E6E6"/>
      </bottom>
      <diagonal/>
    </border>
    <border>
      <left/>
      <right style="medium">
        <color rgb="FFBFBFBF"/>
      </right>
      <top style="medium">
        <color rgb="FFBFBFBF"/>
      </top>
      <bottom style="thin">
        <color rgb="FFE8E6E6"/>
      </bottom>
      <diagonal/>
    </border>
    <border>
      <left style="medium">
        <color rgb="FFBFBFBF"/>
      </left>
      <right style="thin">
        <color theme="0"/>
      </right>
      <top style="thin">
        <color rgb="FFE8E6E6"/>
      </top>
      <bottom style="thin">
        <color theme="0"/>
      </bottom>
      <diagonal/>
    </border>
    <border>
      <left style="thin">
        <color theme="0"/>
      </left>
      <right/>
      <top style="thin">
        <color rgb="FFE8E6E6"/>
      </top>
      <bottom style="thin">
        <color theme="0"/>
      </bottom>
      <diagonal/>
    </border>
    <border>
      <left style="thin">
        <color rgb="FFE8E6E6"/>
      </left>
      <right/>
      <top/>
      <bottom style="thin">
        <color rgb="FFE8E6E6"/>
      </bottom>
      <diagonal/>
    </border>
    <border>
      <left style="thin">
        <color rgb="FFE8E6E6"/>
      </left>
      <right/>
      <top style="thin">
        <color rgb="FFE8E6E6"/>
      </top>
      <bottom style="thin">
        <color rgb="FFE8E6E6"/>
      </bottom>
      <diagonal/>
    </border>
    <border>
      <left/>
      <right/>
      <top style="medium">
        <color rgb="FFBFBFBF"/>
      </top>
      <bottom style="medium">
        <color rgb="FFBFBFBF"/>
      </bottom>
      <diagonal/>
    </border>
    <border>
      <left/>
      <right/>
      <top style="thin">
        <color theme="0"/>
      </top>
      <bottom style="medium">
        <color rgb="FFBFBFBF"/>
      </bottom>
      <diagonal/>
    </border>
    <border>
      <left style="medium">
        <color rgb="FFBFBFBF"/>
      </left>
      <right style="thin">
        <color theme="0"/>
      </right>
      <top style="thin">
        <color theme="0"/>
      </top>
      <bottom style="thin">
        <color rgb="FFE8E6E6"/>
      </bottom>
      <diagonal/>
    </border>
    <border>
      <left style="thin">
        <color theme="0"/>
      </left>
      <right/>
      <top style="thin">
        <color theme="0"/>
      </top>
      <bottom/>
      <diagonal/>
    </border>
    <border>
      <left style="medium">
        <color rgb="FFBFBFBF"/>
      </left>
      <right style="thin">
        <color theme="0"/>
      </right>
      <top style="thin">
        <color theme="0"/>
      </top>
      <bottom/>
      <diagonal/>
    </border>
    <border>
      <left/>
      <right style="medium">
        <color rgb="FFBFBFBF"/>
      </right>
      <top style="thin">
        <color theme="0"/>
      </top>
      <bottom/>
      <diagonal/>
    </border>
    <border>
      <left style="medium">
        <color rgb="FFBFBFBF"/>
      </left>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thin">
        <color rgb="FFE8E6E6"/>
      </right>
      <top style="medium">
        <color rgb="FFBFBFBF"/>
      </top>
      <bottom style="medium">
        <color rgb="FFBFBFBF"/>
      </bottom>
      <diagonal/>
    </border>
    <border>
      <left style="thin">
        <color rgb="FFE8E6E6"/>
      </left>
      <right/>
      <top style="medium">
        <color rgb="FFBFBFBF"/>
      </top>
      <bottom style="medium">
        <color rgb="FFBFBFBF"/>
      </bottom>
      <diagonal/>
    </border>
    <border>
      <left/>
      <right style="thin">
        <color rgb="FFE8E6E6"/>
      </right>
      <top style="medium">
        <color rgb="FFBFBFBF"/>
      </top>
      <bottom style="medium">
        <color rgb="FFBFBFBF"/>
      </bottom>
      <diagonal/>
    </border>
    <border>
      <left/>
      <right style="thin">
        <color theme="2"/>
      </right>
      <top style="medium">
        <color rgb="FFBFBFBF"/>
      </top>
      <bottom style="medium">
        <color rgb="FFBFBFBF"/>
      </bottom>
      <diagonal/>
    </border>
    <border>
      <left style="thin">
        <color theme="2"/>
      </left>
      <right style="thin">
        <color theme="2"/>
      </right>
      <top style="medium">
        <color rgb="FFBFBFBF"/>
      </top>
      <bottom style="medium">
        <color rgb="FFBFBFBF"/>
      </bottom>
      <diagonal/>
    </border>
    <border>
      <left style="thin">
        <color theme="2"/>
      </left>
      <right style="thin">
        <color rgb="FFE8E6E6"/>
      </right>
      <top style="medium">
        <color rgb="FFBFBFBF"/>
      </top>
      <bottom style="medium">
        <color rgb="FFBFBFBF"/>
      </bottom>
      <diagonal/>
    </border>
    <border>
      <left/>
      <right/>
      <top/>
      <bottom style="thin">
        <color theme="0"/>
      </bottom>
      <diagonal/>
    </border>
    <border>
      <left style="thin">
        <color theme="2"/>
      </left>
      <right/>
      <top style="medium">
        <color rgb="FFBFBFBF"/>
      </top>
      <bottom style="thin">
        <color rgb="FFE8E6E6"/>
      </bottom>
      <diagonal/>
    </border>
    <border>
      <left style="thin">
        <color theme="2"/>
      </left>
      <right/>
      <top/>
      <bottom style="thin">
        <color rgb="FFE8E6E6"/>
      </bottom>
      <diagonal/>
    </border>
    <border>
      <left style="thin">
        <color theme="2"/>
      </left>
      <right/>
      <top style="thin">
        <color rgb="FFE8E6E6"/>
      </top>
      <bottom style="thin">
        <color rgb="FFE8E6E6"/>
      </bottom>
      <diagonal/>
    </border>
    <border>
      <left style="thin">
        <color rgb="FFE8E6E6"/>
      </left>
      <right style="thin">
        <color rgb="FFE9E6E6"/>
      </right>
      <top style="medium">
        <color rgb="FFBFBFBF"/>
      </top>
      <bottom style="thin">
        <color rgb="FFE8E6E6"/>
      </bottom>
      <diagonal/>
    </border>
    <border>
      <left style="thin">
        <color rgb="FFE8E6E6"/>
      </left>
      <right style="thin">
        <color rgb="FFE9E6E6"/>
      </right>
      <top/>
      <bottom style="thin">
        <color rgb="FFE8E6E6"/>
      </bottom>
      <diagonal/>
    </border>
    <border>
      <left style="thin">
        <color rgb="FFE8E6E6"/>
      </left>
      <right style="thin">
        <color rgb="FFE9E6E6"/>
      </right>
      <top style="thin">
        <color rgb="FFE8E6E6"/>
      </top>
      <bottom style="thin">
        <color rgb="FFE8E6E6"/>
      </bottom>
      <diagonal/>
    </border>
    <border>
      <left/>
      <right style="thin">
        <color rgb="FFE9E6E6"/>
      </right>
      <top style="medium">
        <color rgb="FFBFBFBF"/>
      </top>
      <bottom style="thin">
        <color rgb="FFE8E6E6"/>
      </bottom>
      <diagonal/>
    </border>
    <border>
      <left/>
      <right style="thin">
        <color rgb="FFE9E6E6"/>
      </right>
      <top/>
      <bottom style="thin">
        <color rgb="FFE8E6E6"/>
      </bottom>
      <diagonal/>
    </border>
    <border>
      <left/>
      <right style="thin">
        <color rgb="FFE9E6E6"/>
      </right>
      <top style="thin">
        <color rgb="FFE8E6E6"/>
      </top>
      <bottom style="thin">
        <color rgb="FFE8E6E6"/>
      </bottom>
      <diagonal/>
    </border>
    <border>
      <left style="thin">
        <color theme="0"/>
      </left>
      <right/>
      <top style="thin">
        <color theme="0"/>
      </top>
      <bottom style="thin">
        <color rgb="FFE8E6E6"/>
      </bottom>
      <diagonal/>
    </border>
    <border>
      <left/>
      <right/>
      <top style="thin">
        <color theme="0"/>
      </top>
      <bottom/>
      <diagonal/>
    </border>
    <border>
      <left style="thin">
        <color rgb="FFE8E6E6"/>
      </left>
      <right style="thin">
        <color rgb="FFE9E6E6"/>
      </right>
      <top style="medium">
        <color rgb="FFBFBFBF"/>
      </top>
      <bottom style="medium">
        <color rgb="FFBFBFBF"/>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ck">
        <color indexed="64"/>
      </bottom>
      <diagonal/>
    </border>
    <border>
      <left/>
      <right style="thick">
        <color indexed="64"/>
      </right>
      <top style="thick">
        <color indexed="64"/>
      </top>
      <bottom/>
      <diagonal/>
    </border>
    <border>
      <left/>
      <right style="thick">
        <color indexed="64"/>
      </right>
      <top/>
      <bottom/>
      <diagonal/>
    </border>
    <border>
      <left style="thick">
        <color indexed="64"/>
      </left>
      <right style="thin">
        <color indexed="64"/>
      </right>
      <top/>
      <bottom style="thick">
        <color indexed="64"/>
      </bottom>
      <diagonal/>
    </border>
    <border>
      <left style="thin">
        <color indexed="64"/>
      </left>
      <right style="thin">
        <color indexed="64"/>
      </right>
      <top style="thin">
        <color indexed="64"/>
      </top>
      <bottom/>
      <diagonal/>
    </border>
    <border>
      <left style="thin">
        <color indexed="64"/>
      </left>
      <right/>
      <top/>
      <bottom style="thick">
        <color theme="1"/>
      </bottom>
      <diagonal/>
    </border>
    <border>
      <left/>
      <right/>
      <top/>
      <bottom style="thick">
        <color indexed="64"/>
      </bottom>
      <diagonal/>
    </border>
    <border>
      <left/>
      <right style="thick">
        <color indexed="64"/>
      </right>
      <top/>
      <bottom style="thick">
        <color indexed="64"/>
      </bottom>
      <diagonal/>
    </border>
    <border>
      <left style="thick">
        <color indexed="64"/>
      </left>
      <right style="thin">
        <color indexed="64"/>
      </right>
      <top/>
      <bottom style="thick">
        <color theme="1"/>
      </bottom>
      <diagonal/>
    </border>
    <border>
      <left style="thin">
        <color indexed="64"/>
      </left>
      <right/>
      <top/>
      <bottom style="thick">
        <color indexed="64"/>
      </bottom>
      <diagonal/>
    </border>
    <border>
      <left/>
      <right/>
      <top style="thin">
        <color indexed="64"/>
      </top>
      <bottom/>
      <diagonal/>
    </border>
    <border>
      <left style="thin">
        <color indexed="64"/>
      </left>
      <right/>
      <top style="thick">
        <color indexed="64"/>
      </top>
      <bottom/>
      <diagonal/>
    </border>
    <border>
      <left/>
      <right style="thin">
        <color indexed="64"/>
      </right>
      <top style="thick">
        <color theme="1"/>
      </top>
      <bottom/>
      <diagonal/>
    </border>
    <border>
      <left style="thick">
        <color theme="1"/>
      </left>
      <right style="thin">
        <color indexed="64"/>
      </right>
      <top/>
      <bottom style="thick">
        <color theme="1"/>
      </bottom>
      <diagonal/>
    </border>
    <border>
      <left/>
      <right/>
      <top/>
      <bottom style="thick">
        <color theme="1"/>
      </bottom>
      <diagonal/>
    </border>
    <border>
      <left/>
      <right style="thick">
        <color theme="1"/>
      </right>
      <top style="thick">
        <color theme="1"/>
      </top>
      <bottom/>
      <diagonal/>
    </border>
    <border>
      <left/>
      <right style="medium">
        <color rgb="FFBFBFBF"/>
      </right>
      <top/>
      <bottom style="medium">
        <color rgb="FFBFBFBF"/>
      </bottom>
      <diagonal/>
    </border>
    <border>
      <left style="medium">
        <color rgb="FFBFBFBF"/>
      </left>
      <right/>
      <top style="medium">
        <color rgb="FFBFBFBF"/>
      </top>
      <bottom/>
      <diagonal/>
    </border>
    <border>
      <left/>
      <right style="medium">
        <color rgb="FFBFBFBF"/>
      </right>
      <top style="medium">
        <color rgb="FFBFBFBF"/>
      </top>
      <bottom/>
      <diagonal/>
    </border>
    <border>
      <left style="medium">
        <color rgb="FFBFBFBF"/>
      </left>
      <right/>
      <top/>
      <bottom style="medium">
        <color rgb="FFBFBFBF"/>
      </bottom>
      <diagonal/>
    </border>
    <border>
      <left/>
      <right style="thin">
        <color rgb="FFFF0000"/>
      </right>
      <top/>
      <bottom style="thin">
        <color rgb="FFFF0000"/>
      </bottom>
      <diagonal/>
    </border>
    <border>
      <left style="thin">
        <color rgb="FFFF0000"/>
      </left>
      <right/>
      <top/>
      <bottom style="thin">
        <color rgb="FFFF0000"/>
      </bottom>
      <diagonal/>
    </border>
    <border>
      <left/>
      <right style="thin">
        <color rgb="FFFF0000"/>
      </right>
      <top/>
      <bottom/>
      <diagonal/>
    </border>
    <border>
      <left style="thin">
        <color rgb="FFFF0000"/>
      </left>
      <right/>
      <top/>
      <bottom/>
      <diagonal/>
    </border>
    <border>
      <left/>
      <right style="thin">
        <color rgb="FFFF0000"/>
      </right>
      <top style="thin">
        <color rgb="FFFF0000"/>
      </top>
      <bottom/>
      <diagonal/>
    </border>
    <border>
      <left style="thin">
        <color rgb="FFFF0000"/>
      </left>
      <right/>
      <top style="thin">
        <color rgb="FFFF0000"/>
      </top>
      <bottom/>
      <diagonal/>
    </border>
    <border>
      <left/>
      <right/>
      <top style="thin">
        <color rgb="FFE8E6E6"/>
      </top>
      <bottom/>
      <diagonal/>
    </border>
    <border>
      <left style="thin">
        <color rgb="FFD9D9D9"/>
      </left>
      <right style="thin">
        <color rgb="FFD9D9D9"/>
      </right>
      <top/>
      <bottom/>
      <diagonal/>
    </border>
    <border>
      <left style="thin">
        <color rgb="FFD9D9D9"/>
      </left>
      <right/>
      <top/>
      <bottom/>
      <diagonal/>
    </border>
    <border>
      <left style="medium">
        <color theme="1"/>
      </left>
      <right style="medium">
        <color theme="1"/>
      </right>
      <top style="medium">
        <color theme="1"/>
      </top>
      <bottom style="medium">
        <color theme="1"/>
      </bottom>
      <diagonal/>
    </border>
    <border>
      <left style="thin">
        <color indexed="64"/>
      </left>
      <right/>
      <top style="thin">
        <color indexed="64"/>
      </top>
      <bottom/>
      <diagonal/>
    </border>
    <border>
      <left/>
      <right style="thin">
        <color indexed="64"/>
      </right>
      <top style="thin">
        <color indexed="64"/>
      </top>
      <bottom/>
      <diagonal/>
    </border>
    <border>
      <left/>
      <right/>
      <top style="thin">
        <color rgb="FFE8E6E6"/>
      </top>
      <bottom style="thin">
        <color indexed="64"/>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indexed="64"/>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indexed="64"/>
      </bottom>
      <diagonal/>
    </border>
    <border>
      <left style="thin">
        <color theme="0" tint="-0.14999847407452621"/>
      </left>
      <right/>
      <top/>
      <bottom style="thin">
        <color theme="0" tint="-0.14999847407452621"/>
      </bottom>
      <diagonal/>
    </border>
    <border>
      <left/>
      <right style="thin">
        <color rgb="FFE9E6E6"/>
      </right>
      <top style="thin">
        <color rgb="FFE8E6E6"/>
      </top>
      <bottom style="thin">
        <color indexed="64"/>
      </bottom>
      <diagonal/>
    </border>
    <border>
      <left style="thin">
        <color rgb="FFE9E6E6"/>
      </left>
      <right style="thin">
        <color rgb="FFE9E6E6"/>
      </right>
      <top style="thin">
        <color rgb="FFE9E6E6"/>
      </top>
      <bottom style="thin">
        <color rgb="FFE8E6E6"/>
      </bottom>
      <diagonal/>
    </border>
    <border>
      <left style="thin">
        <color rgb="FFE9E6E6"/>
      </left>
      <right style="thin">
        <color rgb="FFE9E6E6"/>
      </right>
      <top/>
      <bottom style="thin">
        <color rgb="FFE8E6E6"/>
      </bottom>
      <diagonal/>
    </border>
    <border>
      <left style="thin">
        <color rgb="FFD9D9D9"/>
      </left>
      <right style="thin">
        <color rgb="FFE9E6E6"/>
      </right>
      <top/>
      <bottom/>
      <diagonal/>
    </border>
    <border>
      <left style="thin">
        <color rgb="FFD9D9D9"/>
      </left>
      <right style="thin">
        <color rgb="FFE9E6E6"/>
      </right>
      <top/>
      <bottom style="thin">
        <color rgb="FFE8E6E6"/>
      </bottom>
      <diagonal/>
    </border>
    <border>
      <left style="thin">
        <color rgb="FFD9D9D9"/>
      </left>
      <right style="thin">
        <color rgb="FFE9E6E6"/>
      </right>
      <top style="thin">
        <color rgb="FFE8E6E6"/>
      </top>
      <bottom style="thin">
        <color rgb="FFE8E6E6"/>
      </bottom>
      <diagonal/>
    </border>
    <border>
      <left style="thin">
        <color rgb="FFD9D9D9"/>
      </left>
      <right style="thin">
        <color rgb="FFE9E6E6"/>
      </right>
      <top style="thin">
        <color rgb="FFE8E6E6"/>
      </top>
      <bottom/>
      <diagonal/>
    </border>
    <border>
      <left style="thin">
        <color rgb="FFD9D9D9"/>
      </left>
      <right style="thin">
        <color rgb="FFE9E6E6"/>
      </right>
      <top style="thin">
        <color rgb="FFD9D9D9"/>
      </top>
      <bottom style="thin">
        <color rgb="FFE8E6E6"/>
      </bottom>
      <diagonal/>
    </border>
    <border>
      <left style="thin">
        <color rgb="FFD9D9D9"/>
      </left>
      <right style="thin">
        <color rgb="FFE9E6E6"/>
      </right>
      <top style="thin">
        <color rgb="FFE8E6E6"/>
      </top>
      <bottom style="thin">
        <color theme="1"/>
      </bottom>
      <diagonal/>
    </border>
    <border>
      <left/>
      <right/>
      <top style="thin">
        <color rgb="FFE8E6E6"/>
      </top>
      <bottom style="thin">
        <color theme="1"/>
      </bottom>
      <diagonal/>
    </border>
    <border>
      <left/>
      <right style="thin">
        <color theme="1"/>
      </right>
      <top/>
      <bottom/>
      <diagonal/>
    </border>
    <border>
      <left style="thin">
        <color indexed="64"/>
      </left>
      <right/>
      <top/>
      <bottom style="thin">
        <color theme="1"/>
      </bottom>
      <diagonal/>
    </border>
    <border>
      <left/>
      <right style="thin">
        <color indexed="64"/>
      </right>
      <top/>
      <bottom style="thin">
        <color theme="1"/>
      </bottom>
      <diagonal/>
    </border>
    <border>
      <left style="thin">
        <color rgb="FFD9D9D9"/>
      </left>
      <right/>
      <top style="thin">
        <color rgb="FFE8E6E6"/>
      </top>
      <bottom style="thin">
        <color theme="1"/>
      </bottom>
      <diagonal/>
    </border>
    <border>
      <left style="thin">
        <color rgb="FFE9E6E6"/>
      </left>
      <right style="thin">
        <color rgb="FFE9E6E6"/>
      </right>
      <top style="thin">
        <color rgb="FFE8E6E6"/>
      </top>
      <bottom style="thin">
        <color theme="1"/>
      </bottom>
      <diagonal/>
    </border>
    <border>
      <left/>
      <right style="thin">
        <color theme="0" tint="-0.14999847407452621"/>
      </right>
      <top style="thin">
        <color theme="0" tint="-0.14999847407452621"/>
      </top>
      <bottom style="thin">
        <color theme="1"/>
      </bottom>
      <diagonal/>
    </border>
    <border>
      <left style="thin">
        <color theme="0" tint="-0.14999847407452621"/>
      </left>
      <right/>
      <top style="thin">
        <color theme="0" tint="-0.14999847407452621"/>
      </top>
      <bottom style="thin">
        <color theme="1"/>
      </bottom>
      <diagonal/>
    </border>
    <border>
      <left/>
      <right style="thin">
        <color theme="0" tint="-0.14999847407452621"/>
      </right>
      <top style="thin">
        <color theme="0" tint="-0.14999847407452621"/>
      </top>
      <bottom/>
      <diagonal/>
    </border>
    <border>
      <left/>
      <right/>
      <top style="medium">
        <color rgb="FFBFBFBF"/>
      </top>
      <bottom/>
      <diagonal/>
    </border>
    <border>
      <left/>
      <right style="thin">
        <color rgb="FFE9E6E6"/>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rgb="FFBFBFBF"/>
      </bottom>
      <diagonal/>
    </border>
    <border>
      <left/>
      <right style="medium">
        <color rgb="FFBFBFBF"/>
      </right>
      <top/>
      <bottom/>
      <diagonal/>
    </border>
    <border>
      <left style="thin">
        <color theme="0" tint="-4.9989318521683403E-2"/>
      </left>
      <right style="medium">
        <color theme="0" tint="-0.34998626667073579"/>
      </right>
      <top style="thin">
        <color theme="0" tint="-4.9989318521683403E-2"/>
      </top>
      <bottom/>
      <diagonal/>
    </border>
    <border>
      <left style="thin">
        <color rgb="FFB2BFBE"/>
      </left>
      <right style="thin">
        <color rgb="FFB2BFBE"/>
      </right>
      <top style="thin">
        <color rgb="FFB2BFBE"/>
      </top>
      <bottom style="thin">
        <color rgb="FFB2BFBE"/>
      </bottom>
      <diagonal/>
    </border>
    <border>
      <left style="thin">
        <color theme="0" tint="-4.9989318521683403E-2"/>
      </left>
      <right style="medium">
        <color theme="0" tint="-0.34998626667073579"/>
      </right>
      <top/>
      <bottom style="medium">
        <color theme="0" tint="-0.34998626667073579"/>
      </bottom>
      <diagonal/>
    </border>
    <border>
      <left style="thin">
        <color rgb="FFB2BFBE"/>
      </left>
      <right style="thin">
        <color rgb="FFB2BFBE"/>
      </right>
      <top style="thin">
        <color rgb="FFB2BFBE"/>
      </top>
      <bottom/>
      <diagonal/>
    </border>
    <border>
      <left style="thin">
        <color rgb="FFB2BFBE"/>
      </left>
      <right/>
      <top style="thin">
        <color rgb="FFB2BFBE"/>
      </top>
      <bottom style="thin">
        <color rgb="FFB2BFBE"/>
      </bottom>
      <diagonal/>
    </border>
    <border>
      <left/>
      <right style="thin">
        <color rgb="FFB2BFBE"/>
      </right>
      <top style="thin">
        <color rgb="FFB2BFBE"/>
      </top>
      <bottom style="thin">
        <color rgb="FFB2BFBE"/>
      </bottom>
      <diagonal/>
    </border>
    <border>
      <left style="thin">
        <color rgb="FFB2BFBE"/>
      </left>
      <right style="thin">
        <color rgb="FFB2BFBE"/>
      </right>
      <top/>
      <bottom style="thin">
        <color rgb="FFB2BFBE"/>
      </bottom>
      <diagonal/>
    </border>
    <border>
      <left style="thick">
        <color theme="0"/>
      </left>
      <right/>
      <top style="thick">
        <color theme="0"/>
      </top>
      <bottom/>
      <diagonal/>
    </border>
    <border>
      <left/>
      <right/>
      <top style="thick">
        <color theme="0"/>
      </top>
      <bottom/>
      <diagonal/>
    </border>
    <border>
      <left/>
      <right style="medium">
        <color theme="9" tint="-0.249977111117893"/>
      </right>
      <top style="thick">
        <color theme="0"/>
      </top>
      <bottom/>
      <diagonal/>
    </border>
    <border>
      <left style="thick">
        <color theme="0"/>
      </left>
      <right/>
      <top/>
      <bottom/>
      <diagonal/>
    </border>
    <border>
      <left/>
      <right style="medium">
        <color theme="9" tint="-0.249977111117893"/>
      </right>
      <top/>
      <bottom/>
      <diagonal/>
    </border>
    <border>
      <left style="thick">
        <color theme="0"/>
      </left>
      <right/>
      <top/>
      <bottom style="medium">
        <color theme="9" tint="-0.249977111117893"/>
      </bottom>
      <diagonal/>
    </border>
    <border>
      <left/>
      <right/>
      <top/>
      <bottom style="medium">
        <color theme="9" tint="-0.249977111117893"/>
      </bottom>
      <diagonal/>
    </border>
    <border>
      <left/>
      <right style="medium">
        <color theme="9" tint="-0.249977111117893"/>
      </right>
      <top/>
      <bottom style="medium">
        <color theme="9" tint="-0.249977111117893"/>
      </bottom>
      <diagonal/>
    </border>
    <border>
      <left/>
      <right/>
      <top/>
      <bottom style="thick">
        <color theme="0"/>
      </bottom>
      <diagonal/>
    </border>
    <border>
      <left style="thick">
        <color rgb="FFD9D9D9"/>
      </left>
      <right/>
      <top style="thick">
        <color rgb="FFD9D9D9"/>
      </top>
      <bottom style="thick">
        <color rgb="FFD9D9D9"/>
      </bottom>
      <diagonal/>
    </border>
    <border>
      <left/>
      <right/>
      <top style="thick">
        <color rgb="FFD9D9D9"/>
      </top>
      <bottom style="thick">
        <color rgb="FFD9D9D9"/>
      </bottom>
      <diagonal/>
    </border>
    <border>
      <left/>
      <right style="thick">
        <color rgb="FFD9D9D9"/>
      </right>
      <top style="thick">
        <color rgb="FFD9D9D9"/>
      </top>
      <bottom style="thick">
        <color rgb="FFD9D9D9"/>
      </bottom>
      <diagonal/>
    </border>
    <border>
      <left/>
      <right style="medium">
        <color rgb="FFE8E6E6"/>
      </right>
      <top/>
      <bottom style="thin">
        <color rgb="FFE8E6E6"/>
      </bottom>
      <diagonal/>
    </border>
    <border>
      <left/>
      <right style="medium">
        <color rgb="FFE8E6E6"/>
      </right>
      <top style="thin">
        <color rgb="FFE8E6E6"/>
      </top>
      <bottom style="medium">
        <color rgb="FFE9E6E6"/>
      </bottom>
      <diagonal/>
    </border>
    <border>
      <left/>
      <right style="medium">
        <color rgb="FFE8E6E6"/>
      </right>
      <top style="thin">
        <color rgb="FFE8E6E6"/>
      </top>
      <bottom style="medium">
        <color rgb="FFBFBFBF"/>
      </bottom>
      <diagonal/>
    </border>
    <border>
      <left/>
      <right style="medium">
        <color rgb="FFE8E6E6"/>
      </right>
      <top/>
      <bottom style="medium">
        <color rgb="FFE9E6E6"/>
      </bottom>
      <diagonal/>
    </border>
    <border>
      <left/>
      <right/>
      <top/>
      <bottom style="medium">
        <color rgb="FFE9E6E6"/>
      </bottom>
      <diagonal/>
    </border>
    <border>
      <left/>
      <right style="medium">
        <color rgb="FFE8E6E6"/>
      </right>
      <top/>
      <bottom style="medium">
        <color rgb="FFBFBFBF"/>
      </bottom>
      <diagonal/>
    </border>
  </borders>
  <cellStyleXfs count="7">
    <xf numFmtId="0" fontId="0" fillId="0" borderId="0"/>
    <xf numFmtId="0" fontId="6" fillId="0" borderId="0"/>
    <xf numFmtId="0" fontId="11" fillId="0" borderId="0" applyNumberFormat="0" applyFill="0" applyBorder="0" applyAlignment="0" applyProtection="0"/>
    <xf numFmtId="0" fontId="20" fillId="0" borderId="0" applyNumberFormat="0" applyFill="0" applyBorder="0" applyAlignment="0" applyProtection="0"/>
    <xf numFmtId="0" fontId="2" fillId="0" borderId="0"/>
    <xf numFmtId="0" fontId="1" fillId="0" borderId="0"/>
    <xf numFmtId="0" fontId="1" fillId="0" borderId="0"/>
  </cellStyleXfs>
  <cellXfs count="573">
    <xf numFmtId="0" fontId="0" fillId="0" borderId="0" xfId="0"/>
    <xf numFmtId="0" fontId="6" fillId="2" borderId="0" xfId="1" applyFill="1" applyProtection="1">
      <protection hidden="1"/>
    </xf>
    <xf numFmtId="0" fontId="6" fillId="2" borderId="0" xfId="1" applyFill="1" applyAlignment="1" applyProtection="1">
      <alignment vertical="top" wrapText="1"/>
      <protection hidden="1"/>
    </xf>
    <xf numFmtId="0" fontId="10" fillId="2" borderId="0" xfId="1" applyFont="1" applyFill="1" applyAlignment="1" applyProtection="1">
      <alignment vertical="top"/>
      <protection hidden="1"/>
    </xf>
    <xf numFmtId="0" fontId="6" fillId="2" borderId="0" xfId="1" applyFill="1" applyAlignment="1" applyProtection="1">
      <alignment vertical="top"/>
      <protection hidden="1"/>
    </xf>
    <xf numFmtId="0" fontId="6" fillId="2" borderId="0" xfId="1" applyFill="1" applyAlignment="1" applyProtection="1">
      <alignment vertical="center" wrapText="1"/>
      <protection hidden="1"/>
    </xf>
    <xf numFmtId="0" fontId="12" fillId="2" borderId="0" xfId="2" applyFont="1" applyFill="1" applyAlignment="1" applyProtection="1">
      <alignment vertical="center"/>
      <protection hidden="1"/>
    </xf>
    <xf numFmtId="0" fontId="6" fillId="2" borderId="0" xfId="1" applyFill="1" applyAlignment="1" applyProtection="1">
      <alignment vertical="center"/>
      <protection hidden="1"/>
    </xf>
    <xf numFmtId="0" fontId="12" fillId="2" borderId="0" xfId="2" applyFont="1" applyFill="1" applyProtection="1">
      <protection hidden="1"/>
    </xf>
    <xf numFmtId="0" fontId="5" fillId="0" borderId="0" xfId="0" applyFont="1"/>
    <xf numFmtId="0" fontId="10" fillId="0" borderId="0" xfId="0" applyFont="1" applyAlignment="1">
      <alignment vertical="top"/>
    </xf>
    <xf numFmtId="0" fontId="12" fillId="0" borderId="0" xfId="0" applyFont="1" applyAlignment="1">
      <alignment horizontal="left"/>
    </xf>
    <xf numFmtId="0" fontId="6" fillId="0" borderId="0" xfId="0" applyFont="1" applyAlignment="1">
      <alignment horizontal="center"/>
    </xf>
    <xf numFmtId="0" fontId="12" fillId="0" borderId="0" xfId="0" applyFont="1"/>
    <xf numFmtId="0" fontId="6" fillId="0" borderId="0" xfId="0" applyFont="1"/>
    <xf numFmtId="22" fontId="0" fillId="0" borderId="0" xfId="0" applyNumberFormat="1"/>
    <xf numFmtId="0" fontId="16" fillId="0" borderId="0" xfId="0" applyFont="1" applyAlignment="1" applyProtection="1">
      <alignment vertical="center"/>
      <protection hidden="1"/>
    </xf>
    <xf numFmtId="0" fontId="16" fillId="0" borderId="7" xfId="0" applyFont="1" applyBorder="1" applyAlignment="1" applyProtection="1">
      <alignment vertical="center"/>
      <protection hidden="1"/>
    </xf>
    <xf numFmtId="0" fontId="15" fillId="0" borderId="0" xfId="0" applyFont="1" applyAlignment="1" applyProtection="1">
      <alignment vertical="center"/>
      <protection hidden="1"/>
    </xf>
    <xf numFmtId="22" fontId="19" fillId="0" borderId="0" xfId="0" applyNumberFormat="1" applyFont="1"/>
    <xf numFmtId="0" fontId="21" fillId="0" borderId="0" xfId="0" applyFont="1"/>
    <xf numFmtId="0" fontId="3" fillId="12" borderId="26" xfId="0" applyFont="1" applyFill="1" applyBorder="1" applyAlignment="1">
      <alignment horizontal="center" vertical="center"/>
    </xf>
    <xf numFmtId="0" fontId="3" fillId="12" borderId="27" xfId="0" applyFont="1" applyFill="1" applyBorder="1" applyAlignment="1">
      <alignment horizontal="center" vertical="center"/>
    </xf>
    <xf numFmtId="0" fontId="23" fillId="12" borderId="27" xfId="0" applyFont="1" applyFill="1" applyBorder="1" applyAlignment="1">
      <alignment horizontal="center" vertical="center"/>
    </xf>
    <xf numFmtId="0" fontId="12" fillId="13" borderId="28" xfId="0" applyFont="1" applyFill="1" applyBorder="1" applyAlignment="1">
      <alignment horizontal="center" vertical="center"/>
    </xf>
    <xf numFmtId="0" fontId="12" fillId="13" borderId="30" xfId="0" applyFont="1" applyFill="1" applyBorder="1" applyAlignment="1">
      <alignment horizontal="center" vertical="center"/>
    </xf>
    <xf numFmtId="0" fontId="12" fillId="13" borderId="10" xfId="0" applyFont="1" applyFill="1" applyBorder="1" applyAlignment="1">
      <alignment horizontal="center" vertical="center"/>
    </xf>
    <xf numFmtId="0" fontId="14" fillId="12" borderId="37" xfId="0" applyFont="1" applyFill="1" applyBorder="1" applyAlignment="1" applyProtection="1">
      <alignment vertical="top"/>
      <protection hidden="1"/>
    </xf>
    <xf numFmtId="0" fontId="24" fillId="12" borderId="38" xfId="0" applyFont="1" applyFill="1" applyBorder="1" applyAlignment="1" applyProtection="1">
      <alignment vertical="top"/>
      <protection hidden="1"/>
    </xf>
    <xf numFmtId="0" fontId="14" fillId="12" borderId="38" xfId="0" applyFont="1" applyFill="1" applyBorder="1" applyAlignment="1" applyProtection="1">
      <alignment vertical="top"/>
      <protection hidden="1"/>
    </xf>
    <xf numFmtId="0" fontId="14" fillId="12" borderId="38" xfId="0" applyFont="1" applyFill="1" applyBorder="1" applyAlignment="1" applyProtection="1">
      <alignment horizontal="center" vertical="center"/>
      <protection hidden="1"/>
    </xf>
    <xf numFmtId="0" fontId="25" fillId="9" borderId="2" xfId="0" applyFont="1" applyFill="1" applyBorder="1" applyAlignment="1" applyProtection="1">
      <alignment horizontal="center" vertical="center"/>
      <protection hidden="1"/>
    </xf>
    <xf numFmtId="0" fontId="25" fillId="9" borderId="33" xfId="0" applyFont="1" applyFill="1" applyBorder="1" applyProtection="1">
      <protection hidden="1"/>
    </xf>
    <xf numFmtId="0" fontId="26" fillId="9" borderId="2" xfId="0" applyFont="1" applyFill="1" applyBorder="1" applyAlignment="1" applyProtection="1">
      <alignment horizontal="center"/>
      <protection hidden="1"/>
    </xf>
    <xf numFmtId="0" fontId="25" fillId="9" borderId="3" xfId="0" applyFont="1" applyFill="1" applyBorder="1" applyAlignment="1" applyProtection="1">
      <alignment horizontal="center"/>
      <protection hidden="1"/>
    </xf>
    <xf numFmtId="0" fontId="25" fillId="9" borderId="35" xfId="0" applyFont="1" applyFill="1" applyBorder="1" applyAlignment="1" applyProtection="1">
      <alignment horizontal="center"/>
      <protection hidden="1"/>
    </xf>
    <xf numFmtId="0" fontId="25" fillId="9" borderId="34" xfId="0" applyFont="1" applyFill="1" applyBorder="1" applyAlignment="1" applyProtection="1">
      <alignment horizontal="center"/>
      <protection hidden="1"/>
    </xf>
    <xf numFmtId="0" fontId="26" fillId="9" borderId="4" xfId="0" applyFont="1" applyFill="1" applyBorder="1" applyAlignment="1" applyProtection="1">
      <alignment horizontal="center"/>
      <protection hidden="1"/>
    </xf>
    <xf numFmtId="0" fontId="25" fillId="9" borderId="5" xfId="0" applyFont="1" applyFill="1" applyBorder="1" applyAlignment="1" applyProtection="1">
      <alignment horizontal="center"/>
      <protection hidden="1"/>
    </xf>
    <xf numFmtId="0" fontId="25" fillId="9" borderId="33" xfId="0" applyFont="1" applyFill="1" applyBorder="1" applyAlignment="1" applyProtection="1">
      <alignment horizontal="center"/>
      <protection hidden="1"/>
    </xf>
    <xf numFmtId="0" fontId="25" fillId="9" borderId="34" xfId="0" applyFont="1" applyFill="1" applyBorder="1" applyProtection="1">
      <protection hidden="1"/>
    </xf>
    <xf numFmtId="0" fontId="25" fillId="9" borderId="36" xfId="0" applyFont="1" applyFill="1" applyBorder="1" applyAlignment="1" applyProtection="1">
      <alignment horizontal="center"/>
      <protection hidden="1"/>
    </xf>
    <xf numFmtId="0" fontId="25" fillId="5" borderId="2" xfId="0" applyFont="1" applyFill="1" applyBorder="1" applyAlignment="1" applyProtection="1">
      <alignment horizontal="center" vertical="center"/>
      <protection hidden="1"/>
    </xf>
    <xf numFmtId="0" fontId="25" fillId="5" borderId="33" xfId="0" applyFont="1" applyFill="1" applyBorder="1" applyProtection="1">
      <protection hidden="1"/>
    </xf>
    <xf numFmtId="0" fontId="26" fillId="5" borderId="4" xfId="0" applyFont="1" applyFill="1" applyBorder="1" applyAlignment="1" applyProtection="1">
      <alignment horizontal="center"/>
      <protection hidden="1"/>
    </xf>
    <xf numFmtId="0" fontId="25" fillId="5" borderId="5" xfId="0" applyFont="1" applyFill="1" applyBorder="1" applyAlignment="1" applyProtection="1">
      <alignment horizontal="center"/>
      <protection hidden="1"/>
    </xf>
    <xf numFmtId="0" fontId="25" fillId="5" borderId="35" xfId="0" applyFont="1" applyFill="1" applyBorder="1" applyAlignment="1" applyProtection="1">
      <alignment horizontal="center"/>
      <protection hidden="1"/>
    </xf>
    <xf numFmtId="0" fontId="25" fillId="5" borderId="33" xfId="0" applyFont="1" applyFill="1" applyBorder="1" applyAlignment="1" applyProtection="1">
      <alignment horizontal="center"/>
      <protection hidden="1"/>
    </xf>
    <xf numFmtId="0" fontId="25" fillId="4" borderId="2" xfId="0" applyFont="1" applyFill="1" applyBorder="1" applyAlignment="1" applyProtection="1">
      <alignment horizontal="center" vertical="center"/>
      <protection hidden="1"/>
    </xf>
    <xf numFmtId="0" fontId="25" fillId="4" borderId="33" xfId="0" applyFont="1" applyFill="1" applyBorder="1" applyProtection="1">
      <protection hidden="1"/>
    </xf>
    <xf numFmtId="0" fontId="26" fillId="4" borderId="4" xfId="0" applyFont="1" applyFill="1" applyBorder="1" applyAlignment="1" applyProtection="1">
      <alignment horizontal="center"/>
      <protection hidden="1"/>
    </xf>
    <xf numFmtId="0" fontId="25" fillId="4" borderId="5" xfId="0" applyFont="1" applyFill="1" applyBorder="1" applyAlignment="1" applyProtection="1">
      <alignment horizontal="center"/>
      <protection hidden="1"/>
    </xf>
    <xf numFmtId="0" fontId="25" fillId="4" borderId="35" xfId="0" applyFont="1" applyFill="1" applyBorder="1" applyAlignment="1" applyProtection="1">
      <alignment horizontal="center"/>
      <protection hidden="1"/>
    </xf>
    <xf numFmtId="0" fontId="25" fillId="4" borderId="33" xfId="0" applyFont="1" applyFill="1" applyBorder="1" applyAlignment="1" applyProtection="1">
      <alignment horizontal="center"/>
      <protection hidden="1"/>
    </xf>
    <xf numFmtId="0" fontId="25" fillId="6" borderId="2" xfId="0" applyFont="1" applyFill="1" applyBorder="1" applyAlignment="1" applyProtection="1">
      <alignment horizontal="center" vertical="center"/>
      <protection hidden="1"/>
    </xf>
    <xf numFmtId="0" fontId="25" fillId="6" borderId="33" xfId="0" applyFont="1" applyFill="1" applyBorder="1" applyProtection="1">
      <protection hidden="1"/>
    </xf>
    <xf numFmtId="0" fontId="26" fillId="6" borderId="4" xfId="0" applyFont="1" applyFill="1" applyBorder="1" applyAlignment="1" applyProtection="1">
      <alignment horizontal="center"/>
      <protection hidden="1"/>
    </xf>
    <xf numFmtId="0" fontId="25" fillId="6" borderId="5" xfId="0" applyFont="1" applyFill="1" applyBorder="1" applyAlignment="1" applyProtection="1">
      <alignment horizontal="center"/>
      <protection hidden="1"/>
    </xf>
    <xf numFmtId="0" fontId="25" fillId="6" borderId="35" xfId="0" applyFont="1" applyFill="1" applyBorder="1" applyAlignment="1" applyProtection="1">
      <alignment horizontal="center"/>
      <protection hidden="1"/>
    </xf>
    <xf numFmtId="0" fontId="26" fillId="6" borderId="6" xfId="0" applyFont="1" applyFill="1" applyBorder="1" applyAlignment="1" applyProtection="1">
      <alignment horizontal="center"/>
      <protection hidden="1"/>
    </xf>
    <xf numFmtId="0" fontId="25" fillId="6" borderId="33" xfId="0" applyFont="1" applyFill="1" applyBorder="1" applyAlignment="1" applyProtection="1">
      <alignment horizontal="center"/>
      <protection hidden="1"/>
    </xf>
    <xf numFmtId="0" fontId="25" fillId="6" borderId="42" xfId="0" applyFont="1" applyFill="1" applyBorder="1" applyAlignment="1" applyProtection="1">
      <alignment horizontal="center" vertical="center"/>
      <protection hidden="1"/>
    </xf>
    <xf numFmtId="0" fontId="25" fillId="6" borderId="43" xfId="0" applyFont="1" applyFill="1" applyBorder="1" applyProtection="1">
      <protection hidden="1"/>
    </xf>
    <xf numFmtId="0" fontId="26" fillId="6" borderId="44" xfId="0" applyFont="1" applyFill="1" applyBorder="1" applyAlignment="1" applyProtection="1">
      <alignment horizontal="center"/>
      <protection hidden="1"/>
    </xf>
    <xf numFmtId="0" fontId="25" fillId="6" borderId="45" xfId="0" applyFont="1" applyFill="1" applyBorder="1" applyAlignment="1" applyProtection="1">
      <alignment horizontal="center"/>
      <protection hidden="1"/>
    </xf>
    <xf numFmtId="0" fontId="25" fillId="6" borderId="43" xfId="0" applyFont="1" applyFill="1" applyBorder="1" applyAlignment="1" applyProtection="1">
      <alignment horizontal="center"/>
      <protection hidden="1"/>
    </xf>
    <xf numFmtId="0" fontId="26" fillId="6" borderId="46" xfId="0" applyFont="1" applyFill="1" applyBorder="1" applyAlignment="1" applyProtection="1">
      <alignment horizontal="center"/>
      <protection hidden="1"/>
    </xf>
    <xf numFmtId="0" fontId="25" fillId="6" borderId="47" xfId="0" applyFont="1" applyFill="1" applyBorder="1" applyAlignment="1" applyProtection="1">
      <alignment horizontal="center"/>
      <protection hidden="1"/>
    </xf>
    <xf numFmtId="0" fontId="3" fillId="12" borderId="48" xfId="0" applyFont="1" applyFill="1" applyBorder="1" applyAlignment="1">
      <alignment horizontal="left" vertical="center"/>
    </xf>
    <xf numFmtId="0" fontId="3" fillId="12" borderId="49" xfId="0" applyFont="1" applyFill="1" applyBorder="1" applyAlignment="1">
      <alignment horizontal="center" vertical="center"/>
    </xf>
    <xf numFmtId="0" fontId="0" fillId="0" borderId="50" xfId="0" applyBorder="1" applyAlignment="1">
      <alignment horizontal="left" vertical="center"/>
    </xf>
    <xf numFmtId="0" fontId="0" fillId="13" borderId="50" xfId="0" applyFill="1" applyBorder="1" applyAlignment="1">
      <alignment horizontal="left" vertical="center"/>
    </xf>
    <xf numFmtId="0" fontId="0" fillId="13" borderId="52" xfId="0" applyFill="1" applyBorder="1" applyAlignment="1">
      <alignment horizontal="left" vertical="center"/>
    </xf>
    <xf numFmtId="0" fontId="3" fillId="0" borderId="0" xfId="0" applyFont="1" applyAlignment="1">
      <alignment horizontal="left" vertical="center"/>
    </xf>
    <xf numFmtId="0" fontId="12" fillId="0" borderId="0" xfId="0" applyFont="1" applyAlignment="1">
      <alignment vertical="center"/>
    </xf>
    <xf numFmtId="0" fontId="12" fillId="0" borderId="0" xfId="0" applyFont="1" applyAlignment="1">
      <alignment horizontal="center"/>
    </xf>
    <xf numFmtId="0" fontId="12" fillId="13" borderId="58" xfId="0" applyFont="1" applyFill="1" applyBorder="1" applyAlignment="1">
      <alignment horizontal="center" vertical="center"/>
    </xf>
    <xf numFmtId="0" fontId="12" fillId="13" borderId="57" xfId="0" applyFont="1" applyFill="1" applyBorder="1" applyAlignment="1">
      <alignment horizontal="center" vertical="center"/>
    </xf>
    <xf numFmtId="0" fontId="12" fillId="13" borderId="61" xfId="0" applyFont="1" applyFill="1" applyBorder="1" applyAlignment="1">
      <alignment horizontal="center" vertical="center"/>
    </xf>
    <xf numFmtId="0" fontId="12" fillId="0" borderId="62" xfId="0" applyFont="1" applyBorder="1" applyAlignment="1">
      <alignment horizontal="center" vertical="center"/>
    </xf>
    <xf numFmtId="0" fontId="12" fillId="0" borderId="66" xfId="0" applyFont="1" applyBorder="1" applyAlignment="1">
      <alignment horizontal="center" vertical="center"/>
    </xf>
    <xf numFmtId="0" fontId="12" fillId="0" borderId="69" xfId="0" applyFont="1" applyBorder="1" applyAlignment="1">
      <alignment horizontal="center" vertical="center"/>
    </xf>
    <xf numFmtId="0" fontId="12" fillId="0" borderId="70" xfId="0" applyFont="1" applyBorder="1" applyAlignment="1">
      <alignment horizontal="center" vertical="center"/>
    </xf>
    <xf numFmtId="0" fontId="12" fillId="0" borderId="79" xfId="0" applyFont="1" applyBorder="1" applyAlignment="1">
      <alignment horizontal="center" vertical="center"/>
    </xf>
    <xf numFmtId="0" fontId="12" fillId="0" borderId="65" xfId="0" applyFont="1" applyBorder="1" applyAlignment="1">
      <alignment horizontal="center" vertical="center"/>
    </xf>
    <xf numFmtId="0" fontId="12" fillId="13" borderId="88" xfId="0" applyFont="1" applyFill="1" applyBorder="1" applyAlignment="1">
      <alignment horizontal="center" vertical="center"/>
    </xf>
    <xf numFmtId="0" fontId="3" fillId="12" borderId="91" xfId="0" applyFont="1" applyFill="1" applyBorder="1" applyAlignment="1">
      <alignment horizontal="left" vertical="center"/>
    </xf>
    <xf numFmtId="0" fontId="3" fillId="12" borderId="85" xfId="0" applyFont="1" applyFill="1" applyBorder="1" applyAlignment="1">
      <alignment horizontal="center" vertical="center"/>
    </xf>
    <xf numFmtId="0" fontId="12" fillId="0" borderId="96" xfId="0" applyFont="1" applyBorder="1" applyAlignment="1">
      <alignment horizontal="center" vertical="center"/>
    </xf>
    <xf numFmtId="0" fontId="12" fillId="0" borderId="85" xfId="0" applyFont="1" applyBorder="1" applyAlignment="1">
      <alignment horizontal="center" vertical="center"/>
    </xf>
    <xf numFmtId="0" fontId="25" fillId="9" borderId="39" xfId="0" applyFont="1" applyFill="1" applyBorder="1" applyAlignment="1" applyProtection="1">
      <alignment horizontal="center" vertical="center"/>
      <protection hidden="1"/>
    </xf>
    <xf numFmtId="0" fontId="25" fillId="5" borderId="39" xfId="0" applyFont="1" applyFill="1" applyBorder="1" applyAlignment="1" applyProtection="1">
      <alignment horizontal="center" vertical="center"/>
      <protection hidden="1"/>
    </xf>
    <xf numFmtId="0" fontId="25" fillId="4" borderId="39" xfId="0" applyFont="1" applyFill="1" applyBorder="1" applyAlignment="1" applyProtection="1">
      <alignment horizontal="center" vertical="center"/>
      <protection hidden="1"/>
    </xf>
    <xf numFmtId="0" fontId="25" fillId="6" borderId="40" xfId="0" applyFont="1" applyFill="1" applyBorder="1" applyAlignment="1" applyProtection="1">
      <alignment horizontal="center" vertical="center"/>
      <protection hidden="1"/>
    </xf>
    <xf numFmtId="0" fontId="25" fillId="6" borderId="39" xfId="0" applyFont="1" applyFill="1" applyBorder="1" applyAlignment="1" applyProtection="1">
      <alignment horizontal="center" vertical="center"/>
      <protection hidden="1"/>
    </xf>
    <xf numFmtId="0" fontId="25" fillId="6" borderId="41" xfId="0" applyFont="1" applyFill="1" applyBorder="1" applyAlignment="1" applyProtection="1">
      <alignment horizontal="center" vertical="center"/>
      <protection hidden="1"/>
    </xf>
    <xf numFmtId="0" fontId="27" fillId="0" borderId="0" xfId="0" applyFont="1" applyAlignment="1">
      <alignment vertical="center"/>
    </xf>
    <xf numFmtId="0" fontId="28" fillId="0" borderId="0" xfId="0" applyFont="1" applyAlignment="1">
      <alignment horizontal="left" vertical="center"/>
    </xf>
    <xf numFmtId="0" fontId="2" fillId="0" borderId="0" xfId="0" applyFont="1" applyAlignment="1">
      <alignment horizontal="center"/>
    </xf>
    <xf numFmtId="0" fontId="29" fillId="0" borderId="0" xfId="0" applyFont="1" applyAlignment="1">
      <alignment vertical="center"/>
    </xf>
    <xf numFmtId="0" fontId="30" fillId="0" borderId="0" xfId="0" applyFont="1" applyAlignment="1">
      <alignment vertical="center"/>
    </xf>
    <xf numFmtId="0" fontId="12" fillId="0" borderId="100" xfId="0" applyFont="1" applyBorder="1" applyAlignment="1">
      <alignment horizontal="center" vertical="center"/>
    </xf>
    <xf numFmtId="0" fontId="12" fillId="0" borderId="101" xfId="0" applyFont="1" applyBorder="1" applyAlignment="1">
      <alignment horizontal="center" vertical="center"/>
    </xf>
    <xf numFmtId="0" fontId="12" fillId="0" borderId="102" xfId="0" applyFont="1" applyBorder="1" applyAlignment="1">
      <alignment horizontal="center" vertical="center"/>
    </xf>
    <xf numFmtId="0" fontId="12" fillId="13" borderId="82" xfId="0" applyFont="1" applyFill="1" applyBorder="1" applyAlignment="1">
      <alignment horizontal="center" vertical="center"/>
    </xf>
    <xf numFmtId="0" fontId="12" fillId="13" borderId="109" xfId="0" applyFont="1" applyFill="1" applyBorder="1" applyAlignment="1">
      <alignment horizontal="center" vertical="center"/>
    </xf>
    <xf numFmtId="0" fontId="12" fillId="13" borderId="11" xfId="0" applyFont="1" applyFill="1" applyBorder="1" applyAlignment="1">
      <alignment horizontal="center" vertical="center"/>
    </xf>
    <xf numFmtId="0" fontId="12" fillId="13" borderId="99" xfId="0" applyFont="1" applyFill="1" applyBorder="1" applyAlignment="1">
      <alignment horizontal="center" vertical="center"/>
    </xf>
    <xf numFmtId="0" fontId="12" fillId="13" borderId="86" xfId="0" applyFont="1" applyFill="1" applyBorder="1" applyAlignment="1">
      <alignment horizontal="center" vertical="center"/>
    </xf>
    <xf numFmtId="0" fontId="33" fillId="12" borderId="0" xfId="0" applyFont="1" applyFill="1" applyAlignment="1">
      <alignment horizontal="center" vertical="center"/>
    </xf>
    <xf numFmtId="0" fontId="33" fillId="12" borderId="85" xfId="0" applyFont="1" applyFill="1" applyBorder="1" applyAlignment="1">
      <alignment horizontal="center" vertical="center"/>
    </xf>
    <xf numFmtId="0" fontId="12" fillId="13" borderId="110" xfId="0" applyFont="1" applyFill="1" applyBorder="1" applyAlignment="1">
      <alignment horizontal="center" vertical="center"/>
    </xf>
    <xf numFmtId="0" fontId="10" fillId="0" borderId="0" xfId="0" applyFont="1" applyAlignment="1">
      <alignment horizontal="left"/>
    </xf>
    <xf numFmtId="0" fontId="10" fillId="0" borderId="0" xfId="0" applyFont="1"/>
    <xf numFmtId="0" fontId="21" fillId="0" borderId="0" xfId="0" applyFont="1" applyAlignment="1">
      <alignment horizontal="left" indent="1"/>
    </xf>
    <xf numFmtId="0" fontId="0" fillId="0" borderId="0" xfId="0" applyAlignment="1">
      <alignment horizontal="left" indent="1"/>
    </xf>
    <xf numFmtId="0" fontId="0" fillId="0" borderId="0" xfId="0" applyAlignment="1">
      <alignment horizontal="center" vertical="center"/>
    </xf>
    <xf numFmtId="0" fontId="0" fillId="0" borderId="112" xfId="0" applyBorder="1"/>
    <xf numFmtId="0" fontId="0" fillId="0" borderId="115" xfId="0" applyBorder="1"/>
    <xf numFmtId="0" fontId="0" fillId="0" borderId="116" xfId="0" applyBorder="1"/>
    <xf numFmtId="0" fontId="0" fillId="0" borderId="117" xfId="0" applyBorder="1"/>
    <xf numFmtId="0" fontId="4" fillId="13" borderId="113" xfId="0" applyFont="1" applyFill="1" applyBorder="1" applyAlignment="1">
      <alignment horizontal="center" vertical="center"/>
    </xf>
    <xf numFmtId="0" fontId="4" fillId="13" borderId="114" xfId="0" applyFont="1" applyFill="1" applyBorder="1" applyAlignment="1">
      <alignment horizontal="center" vertical="center"/>
    </xf>
    <xf numFmtId="0" fontId="0" fillId="0" borderId="121" xfId="0" applyBorder="1"/>
    <xf numFmtId="0" fontId="0" fillId="0" borderId="122" xfId="0" applyBorder="1"/>
    <xf numFmtId="0" fontId="5" fillId="0" borderId="0" xfId="0" applyFont="1" applyAlignment="1">
      <alignment horizontal="center" vertical="center"/>
    </xf>
    <xf numFmtId="0" fontId="0" fillId="13" borderId="113" xfId="0" applyFill="1" applyBorder="1" applyAlignment="1" applyProtection="1">
      <alignment horizontal="center" vertical="center"/>
      <protection locked="0" hidden="1"/>
    </xf>
    <xf numFmtId="0" fontId="0" fillId="13" borderId="114" xfId="0" applyFill="1" applyBorder="1" applyAlignment="1" applyProtection="1">
      <alignment horizontal="center" vertical="center"/>
      <protection locked="0" hidden="1"/>
    </xf>
    <xf numFmtId="0" fontId="0" fillId="13" borderId="113" xfId="0" applyFill="1" applyBorder="1" applyProtection="1">
      <protection locked="0" hidden="1"/>
    </xf>
    <xf numFmtId="0" fontId="0" fillId="13" borderId="114" xfId="0" applyFill="1" applyBorder="1" applyProtection="1">
      <protection locked="0" hidden="1"/>
    </xf>
    <xf numFmtId="0" fontId="4" fillId="0" borderId="0" xfId="0" applyFont="1" applyAlignment="1">
      <alignment horizontal="center" vertical="center"/>
    </xf>
    <xf numFmtId="0" fontId="5" fillId="0" borderId="0" xfId="0" quotePrefix="1" applyFont="1"/>
    <xf numFmtId="0" fontId="5" fillId="0" borderId="115" xfId="0" applyFont="1" applyBorder="1"/>
    <xf numFmtId="0" fontId="0" fillId="3" borderId="0" xfId="0" applyFill="1"/>
    <xf numFmtId="0" fontId="0" fillId="3" borderId="0" xfId="0" applyFill="1" applyAlignment="1">
      <alignment horizontal="center" vertical="center"/>
    </xf>
    <xf numFmtId="0" fontId="34" fillId="3" borderId="0" xfId="0" applyFont="1" applyFill="1"/>
    <xf numFmtId="0" fontId="34" fillId="0" borderId="0" xfId="0" applyFont="1"/>
    <xf numFmtId="0" fontId="0" fillId="0" borderId="0" xfId="0" quotePrefix="1"/>
    <xf numFmtId="0" fontId="4" fillId="13" borderId="113" xfId="0" applyFont="1" applyFill="1" applyBorder="1" applyAlignment="1" applyProtection="1">
      <alignment horizontal="center" vertical="center"/>
      <protection locked="0" hidden="1"/>
    </xf>
    <xf numFmtId="0" fontId="4" fillId="13" borderId="114" xfId="0" applyFont="1" applyFill="1" applyBorder="1" applyAlignment="1" applyProtection="1">
      <alignment horizontal="center" vertical="center"/>
      <protection locked="0" hidden="1"/>
    </xf>
    <xf numFmtId="0" fontId="5" fillId="0" borderId="120" xfId="0" applyFont="1" applyBorder="1" applyAlignment="1" applyProtection="1">
      <alignment horizontal="center" vertical="center"/>
      <protection locked="0" hidden="1"/>
    </xf>
    <xf numFmtId="0" fontId="5" fillId="0" borderId="8" xfId="0" applyFont="1" applyBorder="1" applyAlignment="1" applyProtection="1">
      <alignment horizontal="center" vertical="center"/>
      <protection locked="0" hidden="1"/>
    </xf>
    <xf numFmtId="0" fontId="5" fillId="0" borderId="118" xfId="0" applyFont="1" applyBorder="1"/>
    <xf numFmtId="0" fontId="5" fillId="0" borderId="123" xfId="0" applyFont="1" applyBorder="1"/>
    <xf numFmtId="0" fontId="32" fillId="12" borderId="38" xfId="0" applyFont="1" applyFill="1" applyBorder="1" applyAlignment="1" applyProtection="1">
      <alignment horizontal="center" vertical="center"/>
      <protection hidden="1"/>
    </xf>
    <xf numFmtId="0" fontId="4" fillId="3" borderId="0" xfId="0" applyFont="1" applyFill="1"/>
    <xf numFmtId="0" fontId="31" fillId="0" borderId="0" xfId="0" applyFont="1" applyAlignment="1">
      <alignment horizontal="left" vertical="center"/>
    </xf>
    <xf numFmtId="166" fontId="34" fillId="3" borderId="0" xfId="0" applyNumberFormat="1" applyFont="1" applyFill="1"/>
    <xf numFmtId="166" fontId="34" fillId="3" borderId="0" xfId="0" quotePrefix="1" applyNumberFormat="1" applyFont="1" applyFill="1"/>
    <xf numFmtId="0" fontId="35" fillId="0" borderId="0" xfId="0" applyFont="1" applyAlignment="1">
      <alignment vertical="center"/>
    </xf>
    <xf numFmtId="0" fontId="17" fillId="3" borderId="0" xfId="0" applyFont="1" applyFill="1" applyAlignment="1">
      <alignment vertical="center"/>
    </xf>
    <xf numFmtId="0" fontId="0" fillId="13" borderId="113" xfId="0" applyFill="1" applyBorder="1" applyProtection="1">
      <protection hidden="1"/>
    </xf>
    <xf numFmtId="0" fontId="5" fillId="0" borderId="0" xfId="0" applyFont="1" applyAlignment="1" applyProtection="1">
      <alignment horizontal="center" vertical="center"/>
      <protection locked="0" hidden="1"/>
    </xf>
    <xf numFmtId="0" fontId="0" fillId="0" borderId="125" xfId="0" applyBorder="1" applyAlignment="1">
      <alignment horizontal="center" vertical="center"/>
    </xf>
    <xf numFmtId="0" fontId="17" fillId="0" borderId="0" xfId="0" applyFont="1" applyAlignment="1">
      <alignment vertical="center"/>
    </xf>
    <xf numFmtId="0" fontId="4" fillId="0" borderId="0" xfId="0" applyFont="1"/>
    <xf numFmtId="0" fontId="5" fillId="0" borderId="126" xfId="0" applyFont="1" applyBorder="1" applyAlignment="1" applyProtection="1">
      <alignment horizontal="center" vertical="center"/>
      <protection locked="0" hidden="1"/>
    </xf>
    <xf numFmtId="0" fontId="5" fillId="0" borderId="124" xfId="0" applyFont="1" applyBorder="1" applyAlignment="1" applyProtection="1">
      <alignment horizontal="center" vertical="center"/>
      <protection locked="0" hidden="1"/>
    </xf>
    <xf numFmtId="0" fontId="12" fillId="0" borderId="78" xfId="0" applyFont="1" applyBorder="1" applyAlignment="1">
      <alignment horizontal="center" vertical="center"/>
    </xf>
    <xf numFmtId="0" fontId="12" fillId="0" borderId="71" xfId="0" applyFont="1" applyBorder="1" applyAlignment="1">
      <alignment horizontal="center" vertical="center"/>
    </xf>
    <xf numFmtId="0" fontId="5" fillId="0" borderId="112" xfId="0" applyFont="1" applyBorder="1"/>
    <xf numFmtId="0" fontId="5" fillId="0" borderId="127" xfId="0" quotePrefix="1" applyFont="1" applyBorder="1"/>
    <xf numFmtId="0" fontId="5" fillId="0" borderId="128" xfId="0" applyFont="1" applyBorder="1"/>
    <xf numFmtId="0" fontId="5" fillId="0" borderId="129" xfId="0" applyFont="1" applyBorder="1"/>
    <xf numFmtId="0" fontId="5" fillId="0" borderId="130" xfId="0" applyFont="1" applyBorder="1"/>
    <xf numFmtId="0" fontId="0" fillId="0" borderId="130" xfId="0" applyBorder="1"/>
    <xf numFmtId="0" fontId="32" fillId="12" borderId="91" xfId="0" applyFont="1" applyFill="1" applyBorder="1" applyAlignment="1">
      <alignment horizontal="left" vertical="center"/>
    </xf>
    <xf numFmtId="0" fontId="12" fillId="0" borderId="0" xfId="0" applyFont="1" applyAlignment="1">
      <alignment horizontal="left" vertical="center"/>
    </xf>
    <xf numFmtId="0" fontId="36" fillId="3" borderId="0" xfId="0" applyFont="1" applyFill="1" applyAlignment="1">
      <alignment vertical="center"/>
    </xf>
    <xf numFmtId="0" fontId="6" fillId="0" borderId="0" xfId="0" applyFont="1" applyAlignment="1">
      <alignment vertical="center"/>
    </xf>
    <xf numFmtId="0" fontId="13" fillId="14" borderId="0" xfId="0" applyFont="1" applyFill="1" applyAlignment="1">
      <alignment horizontal="center" vertical="center"/>
    </xf>
    <xf numFmtId="0" fontId="13" fillId="14" borderId="0" xfId="0" applyFont="1" applyFill="1" applyAlignment="1">
      <alignment horizontal="left" vertical="center"/>
    </xf>
    <xf numFmtId="0" fontId="23" fillId="12" borderId="0" xfId="0" applyFont="1" applyFill="1" applyAlignment="1">
      <alignment horizontal="center" vertical="center"/>
    </xf>
    <xf numFmtId="0" fontId="12" fillId="0" borderId="96" xfId="0" applyFont="1" applyBorder="1" applyAlignment="1" applyProtection="1">
      <alignment horizontal="center" vertical="center"/>
      <protection locked="0" hidden="1"/>
    </xf>
    <xf numFmtId="0" fontId="12" fillId="0" borderId="62" xfId="0" applyFont="1" applyBorder="1" applyAlignment="1" applyProtection="1">
      <alignment horizontal="center" vertical="center"/>
      <protection locked="0" hidden="1"/>
    </xf>
    <xf numFmtId="0" fontId="12" fillId="13" borderId="58" xfId="0" applyFont="1" applyFill="1" applyBorder="1" applyAlignment="1" applyProtection="1">
      <alignment horizontal="center" vertical="center"/>
      <protection locked="0" hidden="1"/>
    </xf>
    <xf numFmtId="0" fontId="12" fillId="13" borderId="30" xfId="0" applyFont="1" applyFill="1" applyBorder="1" applyAlignment="1" applyProtection="1">
      <alignment horizontal="center" vertical="center"/>
      <protection locked="0" hidden="1"/>
    </xf>
    <xf numFmtId="0" fontId="15" fillId="0" borderId="0" xfId="0" applyFont="1" applyAlignment="1" applyProtection="1">
      <alignment horizontal="center" vertical="center"/>
      <protection locked="0" hidden="1"/>
    </xf>
    <xf numFmtId="0" fontId="0" fillId="0" borderId="51" xfId="0" applyBorder="1" applyAlignment="1" applyProtection="1">
      <alignment horizontal="center" vertical="center"/>
      <protection locked="0" hidden="1"/>
    </xf>
    <xf numFmtId="0" fontId="0" fillId="13" borderId="51" xfId="0" applyFill="1" applyBorder="1" applyAlignment="1" applyProtection="1">
      <alignment horizontal="center" vertical="center"/>
      <protection locked="0" hidden="1"/>
    </xf>
    <xf numFmtId="0" fontId="0" fillId="13" borderId="53" xfId="0" applyFill="1" applyBorder="1" applyAlignment="1" applyProtection="1">
      <alignment horizontal="center" vertical="center"/>
      <protection locked="0" hidden="1"/>
    </xf>
    <xf numFmtId="0" fontId="9" fillId="3" borderId="0" xfId="0" applyFont="1" applyFill="1" applyAlignment="1">
      <alignment vertical="center"/>
    </xf>
    <xf numFmtId="0" fontId="18" fillId="0" borderId="0" xfId="2" applyFont="1" applyFill="1" applyAlignment="1" applyProtection="1">
      <alignment vertical="center"/>
      <protection hidden="1"/>
    </xf>
    <xf numFmtId="14" fontId="0" fillId="0" borderId="0" xfId="0" applyNumberFormat="1"/>
    <xf numFmtId="164" fontId="0" fillId="0" borderId="0" xfId="0" applyNumberFormat="1"/>
    <xf numFmtId="0" fontId="12" fillId="0" borderId="0" xfId="0" applyFont="1" applyAlignment="1">
      <alignment horizontal="right" vertical="center"/>
    </xf>
    <xf numFmtId="14" fontId="12" fillId="0" borderId="0" xfId="0" applyNumberFormat="1" applyFont="1" applyAlignment="1">
      <alignment horizontal="left"/>
    </xf>
    <xf numFmtId="16" fontId="12" fillId="0" borderId="0" xfId="0" quotePrefix="1" applyNumberFormat="1" applyFont="1"/>
    <xf numFmtId="0" fontId="3" fillId="12" borderId="27" xfId="0" applyFont="1" applyFill="1" applyBorder="1" applyAlignment="1" applyProtection="1">
      <alignment horizontal="center" vertical="center"/>
      <protection hidden="1"/>
    </xf>
    <xf numFmtId="0" fontId="3" fillId="12" borderId="27" xfId="0" applyFont="1" applyFill="1" applyBorder="1" applyAlignment="1" applyProtection="1">
      <alignment horizontal="right" vertical="center"/>
      <protection hidden="1"/>
    </xf>
    <xf numFmtId="0" fontId="12" fillId="0" borderId="65" xfId="0" applyFont="1" applyBorder="1" applyAlignment="1" applyProtection="1">
      <alignment horizontal="right" vertical="center"/>
      <protection hidden="1"/>
    </xf>
    <xf numFmtId="0" fontId="12" fillId="0" borderId="70" xfId="0" applyFont="1" applyBorder="1" applyAlignment="1" applyProtection="1">
      <alignment horizontal="right" vertical="center"/>
      <protection hidden="1"/>
    </xf>
    <xf numFmtId="0" fontId="12" fillId="0" borderId="69" xfId="0" applyFont="1" applyBorder="1" applyAlignment="1" applyProtection="1">
      <alignment horizontal="right" vertical="center"/>
      <protection hidden="1"/>
    </xf>
    <xf numFmtId="0" fontId="12" fillId="13" borderId="10" xfId="0" applyFont="1" applyFill="1" applyBorder="1" applyAlignment="1" applyProtection="1">
      <alignment horizontal="right" vertical="center"/>
      <protection hidden="1"/>
    </xf>
    <xf numFmtId="0" fontId="12" fillId="13" borderId="88" xfId="0" applyFont="1" applyFill="1" applyBorder="1" applyAlignment="1" applyProtection="1">
      <alignment horizontal="right" vertical="center"/>
      <protection hidden="1"/>
    </xf>
    <xf numFmtId="0" fontId="12" fillId="13" borderId="86" xfId="0" applyFont="1" applyFill="1" applyBorder="1" applyAlignment="1" applyProtection="1">
      <alignment horizontal="right" vertical="center"/>
      <protection hidden="1"/>
    </xf>
    <xf numFmtId="0" fontId="28" fillId="0" borderId="0" xfId="0" applyFont="1" applyAlignment="1" applyProtection="1">
      <alignment horizontal="left" vertical="center"/>
      <protection hidden="1"/>
    </xf>
    <xf numFmtId="0" fontId="3" fillId="12" borderId="85" xfId="0" applyFont="1" applyFill="1" applyBorder="1" applyAlignment="1" applyProtection="1">
      <alignment horizontal="center" vertical="center"/>
      <protection hidden="1"/>
    </xf>
    <xf numFmtId="0" fontId="12" fillId="13" borderId="57" xfId="0" applyFont="1" applyFill="1" applyBorder="1" applyAlignment="1" applyProtection="1">
      <alignment horizontal="right" vertical="center"/>
      <protection hidden="1"/>
    </xf>
    <xf numFmtId="0" fontId="12" fillId="0" borderId="85" xfId="0" applyFont="1" applyBorder="1" applyAlignment="1" applyProtection="1">
      <alignment horizontal="right" vertical="center"/>
      <protection hidden="1"/>
    </xf>
    <xf numFmtId="0" fontId="6" fillId="0" borderId="0" xfId="0" applyFont="1" applyAlignment="1" applyProtection="1">
      <alignment horizontal="center"/>
      <protection hidden="1"/>
    </xf>
    <xf numFmtId="14" fontId="13" fillId="14" borderId="0" xfId="0" applyNumberFormat="1" applyFont="1" applyFill="1" applyAlignment="1" applyProtection="1">
      <alignment horizontal="center" vertical="center"/>
      <protection hidden="1"/>
    </xf>
    <xf numFmtId="0" fontId="13" fillId="14" borderId="0" xfId="0" applyFont="1" applyFill="1" applyAlignment="1" applyProtection="1">
      <alignment horizontal="right" vertical="center"/>
      <protection hidden="1"/>
    </xf>
    <xf numFmtId="0" fontId="37" fillId="14" borderId="0" xfId="0" applyFont="1" applyFill="1" applyAlignment="1" applyProtection="1">
      <alignment horizontal="right" vertical="center"/>
      <protection hidden="1"/>
    </xf>
    <xf numFmtId="0" fontId="3" fillId="12" borderId="27" xfId="0" applyFont="1" applyFill="1" applyBorder="1" applyAlignment="1">
      <alignment horizontal="left" vertical="center"/>
    </xf>
    <xf numFmtId="0" fontId="12" fillId="0" borderId="64" xfId="0" applyFont="1" applyBorder="1" applyAlignment="1">
      <alignment vertical="center"/>
    </xf>
    <xf numFmtId="0" fontId="12" fillId="13" borderId="55" xfId="0" applyFont="1" applyFill="1" applyBorder="1" applyAlignment="1">
      <alignment vertical="center"/>
    </xf>
    <xf numFmtId="0" fontId="12" fillId="13" borderId="60" xfId="0" applyFont="1" applyFill="1" applyBorder="1" applyAlignment="1">
      <alignment vertical="center"/>
    </xf>
    <xf numFmtId="0" fontId="3" fillId="12" borderId="92" xfId="0" applyFont="1" applyFill="1" applyBorder="1" applyAlignment="1">
      <alignment horizontal="center" vertical="center"/>
    </xf>
    <xf numFmtId="0" fontId="12" fillId="0" borderId="68" xfId="0" applyFont="1" applyBorder="1" applyAlignment="1" applyProtection="1">
      <alignment vertical="center"/>
      <protection hidden="1"/>
    </xf>
    <xf numFmtId="0" fontId="12" fillId="13" borderId="55" xfId="0" applyFont="1" applyFill="1" applyBorder="1" applyAlignment="1" applyProtection="1">
      <alignment vertical="center"/>
      <protection hidden="1"/>
    </xf>
    <xf numFmtId="0" fontId="12" fillId="0" borderId="92" xfId="0" applyFont="1" applyBorder="1" applyAlignment="1" applyProtection="1">
      <alignment vertical="center"/>
      <protection hidden="1"/>
    </xf>
    <xf numFmtId="0" fontId="1" fillId="0" borderId="0" xfId="0" applyFont="1" applyProtection="1">
      <protection hidden="1"/>
    </xf>
    <xf numFmtId="0" fontId="1" fillId="2" borderId="0" xfId="1" applyFont="1" applyFill="1" applyAlignment="1" applyProtection="1">
      <alignment horizontal="right"/>
      <protection hidden="1"/>
    </xf>
    <xf numFmtId="0" fontId="22" fillId="2" borderId="0" xfId="1" applyFont="1" applyFill="1" applyAlignment="1" applyProtection="1">
      <alignment horizontal="right" vertical="top"/>
      <protection hidden="1"/>
    </xf>
    <xf numFmtId="14" fontId="6" fillId="2" borderId="0" xfId="1" applyNumberFormat="1" applyFill="1" applyAlignment="1" applyProtection="1">
      <alignment horizontal="left" vertical="top"/>
      <protection hidden="1"/>
    </xf>
    <xf numFmtId="0" fontId="17" fillId="2" borderId="144" xfId="1" applyFont="1" applyFill="1" applyBorder="1" applyAlignment="1" applyProtection="1">
      <alignment horizontal="center" vertical="center"/>
      <protection locked="0" hidden="1"/>
    </xf>
    <xf numFmtId="0" fontId="10" fillId="0" borderId="148" xfId="1" applyFont="1" applyBorder="1" applyAlignment="1" applyProtection="1">
      <alignment horizontal="centerContinuous" vertical="center"/>
      <protection hidden="1"/>
    </xf>
    <xf numFmtId="0" fontId="10" fillId="0" borderId="149" xfId="1" applyFont="1" applyBorder="1" applyAlignment="1" applyProtection="1">
      <alignment horizontal="centerContinuous" vertical="center"/>
      <protection locked="0" hidden="1"/>
    </xf>
    <xf numFmtId="0" fontId="1" fillId="18" borderId="0" xfId="5" applyFill="1" applyProtection="1">
      <protection hidden="1"/>
    </xf>
    <xf numFmtId="0" fontId="16" fillId="0" borderId="0" xfId="0" applyFont="1" applyAlignment="1">
      <alignment horizontal="left" vertical="center"/>
    </xf>
    <xf numFmtId="0" fontId="12" fillId="0" borderId="0" xfId="0" applyFont="1" applyAlignment="1">
      <alignment horizontal="center" vertical="center"/>
    </xf>
    <xf numFmtId="0" fontId="1" fillId="0" borderId="74" xfId="0" applyFont="1" applyBorder="1" applyAlignment="1">
      <alignment horizontal="center" vertical="center"/>
    </xf>
    <xf numFmtId="0" fontId="12" fillId="0" borderId="0" xfId="0" applyFont="1" applyProtection="1">
      <protection hidden="1"/>
    </xf>
    <xf numFmtId="0" fontId="3" fillId="12" borderId="174" xfId="0" applyFont="1" applyFill="1" applyBorder="1" applyAlignment="1" applyProtection="1">
      <alignment horizontal="center" vertical="center"/>
      <protection hidden="1"/>
    </xf>
    <xf numFmtId="0" fontId="1" fillId="2" borderId="0" xfId="0" applyFont="1" applyFill="1" applyAlignment="1" applyProtection="1">
      <alignment horizontal="center" vertical="center"/>
      <protection hidden="1"/>
    </xf>
    <xf numFmtId="0" fontId="12" fillId="0" borderId="175" xfId="0" applyFont="1" applyBorder="1" applyAlignment="1">
      <alignment horizontal="left"/>
    </xf>
    <xf numFmtId="0" fontId="1" fillId="0" borderId="0" xfId="0" applyFont="1" applyAlignment="1">
      <alignment horizontal="left"/>
    </xf>
    <xf numFmtId="0" fontId="1" fillId="0" borderId="0" xfId="0" applyFont="1"/>
    <xf numFmtId="0" fontId="1" fillId="0" borderId="0" xfId="0" applyFont="1" applyAlignment="1">
      <alignment vertical="center"/>
    </xf>
    <xf numFmtId="0" fontId="1" fillId="0" borderId="0" xfId="0" applyFont="1" applyAlignment="1">
      <alignment horizontal="left" wrapText="1"/>
    </xf>
    <xf numFmtId="0" fontId="1" fillId="0" borderId="0" xfId="5" applyProtection="1">
      <protection hidden="1"/>
    </xf>
    <xf numFmtId="0" fontId="7" fillId="2" borderId="0" xfId="5" applyFont="1" applyFill="1" applyProtection="1">
      <protection hidden="1"/>
    </xf>
    <xf numFmtId="0" fontId="1" fillId="2" borderId="0" xfId="5" applyFill="1" applyProtection="1">
      <protection hidden="1"/>
    </xf>
    <xf numFmtId="0" fontId="7" fillId="3" borderId="0" xfId="1" applyFont="1" applyFill="1" applyProtection="1">
      <protection hidden="1"/>
    </xf>
    <xf numFmtId="0" fontId="47" fillId="3" borderId="0" xfId="1" applyFont="1" applyFill="1" applyProtection="1">
      <protection hidden="1"/>
    </xf>
    <xf numFmtId="0" fontId="48" fillId="3" borderId="0" xfId="1" applyFont="1" applyFill="1" applyAlignment="1" applyProtection="1">
      <alignment horizontal="center" vertical="center"/>
      <protection hidden="1"/>
    </xf>
    <xf numFmtId="0" fontId="48" fillId="3" borderId="0" xfId="1" applyFont="1" applyFill="1" applyAlignment="1" applyProtection="1">
      <alignment horizontal="left" vertical="center"/>
      <protection hidden="1"/>
    </xf>
    <xf numFmtId="0" fontId="34" fillId="3" borderId="0" xfId="1" applyFont="1" applyFill="1" applyAlignment="1" applyProtection="1">
      <alignment horizontal="center" vertical="center"/>
      <protection hidden="1"/>
    </xf>
    <xf numFmtId="0" fontId="48" fillId="3" borderId="0" xfId="0" applyFont="1" applyFill="1" applyAlignment="1" applyProtection="1">
      <alignment horizontal="center" vertical="center"/>
      <protection hidden="1"/>
    </xf>
    <xf numFmtId="0" fontId="48" fillId="3" borderId="0" xfId="0" applyFont="1" applyFill="1" applyAlignment="1" applyProtection="1">
      <alignment horizontal="left" vertical="center"/>
      <protection hidden="1"/>
    </xf>
    <xf numFmtId="0" fontId="34" fillId="3" borderId="0" xfId="0" applyFont="1" applyFill="1" applyAlignment="1" applyProtection="1">
      <alignment horizontal="center" vertical="center"/>
      <protection hidden="1"/>
    </xf>
    <xf numFmtId="0" fontId="1" fillId="13" borderId="81" xfId="0" applyFont="1" applyFill="1" applyBorder="1" applyAlignment="1">
      <alignment horizontal="center" vertical="center"/>
    </xf>
    <xf numFmtId="0" fontId="49" fillId="3" borderId="0" xfId="1" applyFont="1" applyFill="1" applyAlignment="1" applyProtection="1">
      <alignment horizontal="center" vertical="center"/>
      <protection hidden="1"/>
    </xf>
    <xf numFmtId="0" fontId="25" fillId="0" borderId="0" xfId="5" applyFont="1" applyAlignment="1" applyProtection="1">
      <alignment horizontal="center" vertical="center"/>
      <protection hidden="1"/>
    </xf>
    <xf numFmtId="0" fontId="12" fillId="3" borderId="0" xfId="1" applyFont="1" applyFill="1" applyProtection="1">
      <protection hidden="1"/>
    </xf>
    <xf numFmtId="0" fontId="35" fillId="0" borderId="0" xfId="0" applyFont="1" applyProtection="1">
      <protection hidden="1"/>
    </xf>
    <xf numFmtId="0" fontId="35" fillId="0" borderId="0" xfId="0" applyFont="1" applyAlignment="1">
      <alignment horizontal="center"/>
    </xf>
    <xf numFmtId="0" fontId="35" fillId="0" borderId="0" xfId="0" applyFont="1"/>
    <xf numFmtId="0" fontId="1" fillId="15" borderId="0" xfId="0" applyFont="1" applyFill="1" applyAlignment="1" applyProtection="1">
      <alignment horizontal="center" vertical="center"/>
      <protection hidden="1"/>
    </xf>
    <xf numFmtId="0" fontId="42" fillId="3" borderId="0" xfId="1" applyFont="1" applyFill="1" applyProtection="1">
      <protection hidden="1"/>
    </xf>
    <xf numFmtId="0" fontId="42" fillId="18" borderId="0" xfId="5" applyFont="1" applyFill="1" applyProtection="1">
      <protection hidden="1"/>
    </xf>
    <xf numFmtId="0" fontId="32" fillId="0" borderId="0" xfId="0" applyFont="1" applyAlignment="1">
      <alignment horizontal="center" vertical="top"/>
    </xf>
    <xf numFmtId="0" fontId="32" fillId="0" borderId="0" xfId="0" applyFont="1" applyAlignment="1">
      <alignment horizontal="left" vertical="top"/>
    </xf>
    <xf numFmtId="0" fontId="32" fillId="0" borderId="0" xfId="0" applyFont="1" applyAlignment="1">
      <alignment horizontal="center" vertical="top" wrapText="1"/>
    </xf>
    <xf numFmtId="0" fontId="32" fillId="0" borderId="0" xfId="0" applyFont="1" applyAlignment="1">
      <alignment vertical="top"/>
    </xf>
    <xf numFmtId="0" fontId="35" fillId="0" borderId="0" xfId="0" applyFont="1" applyAlignment="1">
      <alignment horizontal="left"/>
    </xf>
    <xf numFmtId="0" fontId="32" fillId="0" borderId="0" xfId="0" applyFont="1" applyAlignment="1">
      <alignment horizontal="left"/>
    </xf>
    <xf numFmtId="0" fontId="32" fillId="0" borderId="0" xfId="0" applyFont="1" applyAlignment="1">
      <alignment horizontal="center"/>
    </xf>
    <xf numFmtId="0" fontId="35" fillId="0" borderId="0" xfId="0" applyFont="1" applyAlignment="1">
      <alignment horizontal="left" wrapText="1"/>
    </xf>
    <xf numFmtId="0" fontId="35" fillId="0" borderId="0" xfId="0" applyFont="1" applyAlignment="1">
      <alignment horizontal="left" vertical="center"/>
    </xf>
    <xf numFmtId="0" fontId="32" fillId="0" borderId="0" xfId="0" applyFont="1" applyAlignment="1">
      <alignment horizontal="left" vertical="center"/>
    </xf>
    <xf numFmtId="0" fontId="0" fillId="0" borderId="0" xfId="0" applyProtection="1">
      <protection hidden="1"/>
    </xf>
    <xf numFmtId="0" fontId="15" fillId="0" borderId="0" xfId="0" applyFont="1" applyProtection="1">
      <protection hidden="1"/>
    </xf>
    <xf numFmtId="0" fontId="1" fillId="0" borderId="0" xfId="0" applyFont="1" applyAlignment="1">
      <alignment horizontal="center"/>
    </xf>
    <xf numFmtId="0" fontId="12" fillId="18" borderId="0" xfId="5" applyFont="1" applyFill="1" applyProtection="1">
      <protection hidden="1"/>
    </xf>
    <xf numFmtId="0" fontId="12" fillId="0" borderId="0" xfId="0" applyFont="1" applyAlignment="1" applyProtection="1">
      <alignment vertical="center"/>
      <protection locked="0" hidden="1"/>
    </xf>
    <xf numFmtId="0" fontId="17" fillId="12" borderId="85" xfId="3" applyFont="1" applyFill="1" applyBorder="1" applyAlignment="1" applyProtection="1">
      <alignment horizontal="center" vertical="center"/>
      <protection locked="0" hidden="1"/>
    </xf>
    <xf numFmtId="0" fontId="1" fillId="19" borderId="112" xfId="5" applyFill="1" applyBorder="1" applyAlignment="1" applyProtection="1">
      <alignment horizontal="center" vertical="center"/>
      <protection locked="0" hidden="1"/>
    </xf>
    <xf numFmtId="0" fontId="1" fillId="2" borderId="112" xfId="5" applyFill="1" applyBorder="1" applyAlignment="1" applyProtection="1">
      <alignment horizontal="center" vertical="center"/>
      <protection locked="0" hidden="1"/>
    </xf>
    <xf numFmtId="0" fontId="1" fillId="2" borderId="168" xfId="5" applyFill="1" applyBorder="1" applyAlignment="1" applyProtection="1">
      <alignment horizontal="center" vertical="center"/>
      <protection locked="0" hidden="1"/>
    </xf>
    <xf numFmtId="0" fontId="1" fillId="19" borderId="168" xfId="5" applyFill="1" applyBorder="1" applyAlignment="1" applyProtection="1">
      <alignment horizontal="center" vertical="center"/>
      <protection locked="0" hidden="1"/>
    </xf>
    <xf numFmtId="0" fontId="15" fillId="0" borderId="0" xfId="0" applyFont="1"/>
    <xf numFmtId="16" fontId="15" fillId="0" borderId="0" xfId="0" quotePrefix="1" applyNumberFormat="1" applyFont="1"/>
    <xf numFmtId="0" fontId="52" fillId="0" borderId="0" xfId="0" applyFont="1"/>
    <xf numFmtId="0" fontId="53" fillId="0" borderId="0" xfId="0" applyFont="1"/>
    <xf numFmtId="0" fontId="54" fillId="0" borderId="0" xfId="0" applyFont="1"/>
    <xf numFmtId="0" fontId="51" fillId="0" borderId="0" xfId="3" applyFont="1" applyFill="1"/>
    <xf numFmtId="0" fontId="15" fillId="0" borderId="0" xfId="0" quotePrefix="1" applyFont="1"/>
    <xf numFmtId="17" fontId="15" fillId="0" borderId="0" xfId="0" quotePrefix="1" applyNumberFormat="1" applyFont="1"/>
    <xf numFmtId="0" fontId="1" fillId="0" borderId="0" xfId="6" applyProtection="1">
      <protection hidden="1"/>
    </xf>
    <xf numFmtId="0" fontId="1" fillId="0" borderId="178" xfId="6" applyBorder="1" applyProtection="1">
      <protection hidden="1"/>
    </xf>
    <xf numFmtId="0" fontId="1" fillId="2" borderId="0" xfId="6" applyFill="1" applyProtection="1">
      <protection hidden="1"/>
    </xf>
    <xf numFmtId="0" fontId="1" fillId="2" borderId="0" xfId="6" applyFill="1" applyAlignment="1" applyProtection="1">
      <alignment horizontal="left"/>
      <protection hidden="1"/>
    </xf>
    <xf numFmtId="0" fontId="1" fillId="0" borderId="179" xfId="6" applyBorder="1" applyProtection="1">
      <protection hidden="1"/>
    </xf>
    <xf numFmtId="0" fontId="10" fillId="0" borderId="181" xfId="6" applyFont="1" applyBorder="1" applyAlignment="1" applyProtection="1">
      <alignment horizontal="center" vertical="center"/>
      <protection hidden="1"/>
    </xf>
    <xf numFmtId="0" fontId="1" fillId="0" borderId="181" xfId="6" applyBorder="1" applyProtection="1">
      <protection hidden="1"/>
    </xf>
    <xf numFmtId="0" fontId="11" fillId="0" borderId="181" xfId="2" applyFill="1" applyBorder="1" applyAlignment="1" applyProtection="1">
      <alignment horizontal="center" vertical="center"/>
      <protection hidden="1"/>
    </xf>
    <xf numFmtId="0" fontId="20" fillId="0" borderId="181" xfId="3" applyFill="1" applyBorder="1" applyAlignment="1" applyProtection="1">
      <alignment horizontal="center" vertical="center"/>
      <protection hidden="1"/>
    </xf>
    <xf numFmtId="0" fontId="1" fillId="0" borderId="0" xfId="6" applyAlignment="1" applyProtection="1">
      <alignment horizontal="left"/>
      <protection hidden="1"/>
    </xf>
    <xf numFmtId="0" fontId="1" fillId="0" borderId="183" xfId="6" applyBorder="1" applyAlignment="1" applyProtection="1">
      <alignment horizontal="center" vertical="center"/>
      <protection hidden="1"/>
    </xf>
    <xf numFmtId="0" fontId="1" fillId="0" borderId="184" xfId="6" applyBorder="1" applyProtection="1">
      <protection hidden="1"/>
    </xf>
    <xf numFmtId="0" fontId="20" fillId="0" borderId="185" xfId="3" applyFill="1" applyBorder="1" applyAlignment="1" applyProtection="1">
      <alignment horizontal="center" vertical="center"/>
      <protection hidden="1"/>
    </xf>
    <xf numFmtId="0" fontId="20" fillId="0" borderId="186" xfId="3" applyBorder="1" applyAlignment="1" applyProtection="1">
      <alignment horizontal="center" vertical="center"/>
      <protection hidden="1"/>
    </xf>
    <xf numFmtId="0" fontId="12" fillId="21" borderId="0" xfId="3" applyFont="1" applyFill="1" applyAlignment="1" applyProtection="1">
      <alignment vertical="center"/>
      <protection hidden="1"/>
    </xf>
    <xf numFmtId="0" fontId="1" fillId="0" borderId="181" xfId="6" applyBorder="1" applyAlignment="1" applyProtection="1">
      <alignment horizontal="center" vertical="center"/>
      <protection hidden="1"/>
    </xf>
    <xf numFmtId="0" fontId="1" fillId="0" borderId="0" xfId="6" applyAlignment="1" applyProtection="1">
      <alignment vertical="top" wrapText="1"/>
      <protection hidden="1"/>
    </xf>
    <xf numFmtId="0" fontId="32" fillId="0" borderId="0" xfId="0" applyFont="1" applyAlignment="1" applyProtection="1">
      <alignment horizontal="center"/>
      <protection hidden="1"/>
    </xf>
    <xf numFmtId="0" fontId="32" fillId="0" borderId="0" xfId="0" applyFont="1" applyAlignment="1" applyProtection="1">
      <alignment horizontal="center" wrapText="1"/>
      <protection hidden="1"/>
    </xf>
    <xf numFmtId="0" fontId="32" fillId="0" borderId="8" xfId="0" applyFont="1" applyBorder="1" applyAlignment="1" applyProtection="1">
      <alignment horizontal="center" wrapText="1"/>
      <protection hidden="1"/>
    </xf>
    <xf numFmtId="0" fontId="32" fillId="0" borderId="166" xfId="0" applyFont="1" applyBorder="1" applyAlignment="1" applyProtection="1">
      <alignment horizontal="center" wrapText="1"/>
      <protection hidden="1"/>
    </xf>
    <xf numFmtId="0" fontId="5" fillId="0" borderId="0" xfId="0" applyFont="1" applyProtection="1">
      <protection hidden="1"/>
    </xf>
    <xf numFmtId="0" fontId="5" fillId="0" borderId="0" xfId="0" applyFont="1" applyAlignment="1" applyProtection="1">
      <alignment horizontal="center"/>
      <protection hidden="1"/>
    </xf>
    <xf numFmtId="0" fontId="5" fillId="0" borderId="8" xfId="0" applyFont="1" applyBorder="1" applyAlignment="1" applyProtection="1">
      <alignment horizontal="center"/>
      <protection hidden="1"/>
    </xf>
    <xf numFmtId="0" fontId="5" fillId="0" borderId="166" xfId="0" applyFont="1" applyBorder="1" applyAlignment="1" applyProtection="1">
      <alignment horizontal="center"/>
      <protection hidden="1"/>
    </xf>
    <xf numFmtId="0" fontId="1" fillId="2" borderId="0" xfId="6" applyFill="1" applyAlignment="1" applyProtection="1">
      <alignment horizontal="right"/>
      <protection hidden="1"/>
    </xf>
    <xf numFmtId="0" fontId="50" fillId="3" borderId="195" xfId="6" applyFont="1" applyFill="1" applyBorder="1" applyAlignment="1" applyProtection="1">
      <alignment horizontal="center" vertical="center"/>
      <protection hidden="1"/>
    </xf>
    <xf numFmtId="0" fontId="50" fillId="3" borderId="195" xfId="6" applyFont="1" applyFill="1" applyBorder="1" applyAlignment="1" applyProtection="1">
      <alignment horizontal="left" vertical="center"/>
      <protection hidden="1"/>
    </xf>
    <xf numFmtId="0" fontId="50" fillId="3" borderId="195" xfId="6" applyFont="1" applyFill="1" applyBorder="1" applyAlignment="1" applyProtection="1">
      <alignment horizontal="center" vertical="center" wrapText="1"/>
      <protection hidden="1"/>
    </xf>
    <xf numFmtId="0" fontId="7" fillId="3" borderId="0" xfId="5" applyFont="1" applyFill="1" applyProtection="1">
      <protection hidden="1"/>
    </xf>
    <xf numFmtId="0" fontId="1" fillId="18" borderId="138" xfId="2" applyFont="1" applyFill="1" applyBorder="1" applyAlignment="1" applyProtection="1">
      <alignment horizontal="left" vertical="center"/>
      <protection locked="0" hidden="1"/>
    </xf>
    <xf numFmtId="0" fontId="1" fillId="18" borderId="136" xfId="2" applyFont="1" applyFill="1" applyBorder="1" applyAlignment="1" applyProtection="1">
      <alignment horizontal="center" vertical="center"/>
      <protection locked="0" hidden="1"/>
    </xf>
    <xf numFmtId="0" fontId="42" fillId="0" borderId="0" xfId="5" applyFont="1" applyProtection="1">
      <protection hidden="1"/>
    </xf>
    <xf numFmtId="0" fontId="43" fillId="3" borderId="0" xfId="1" applyFont="1" applyFill="1" applyAlignment="1" applyProtection="1">
      <alignment horizontal="right" vertical="center"/>
      <protection hidden="1"/>
    </xf>
    <xf numFmtId="0" fontId="6" fillId="0" borderId="148" xfId="1" applyBorder="1" applyAlignment="1" applyProtection="1">
      <alignment horizontal="centerContinuous" vertical="center"/>
      <protection hidden="1"/>
    </xf>
    <xf numFmtId="0" fontId="37" fillId="18" borderId="0" xfId="5" applyFont="1" applyFill="1" applyAlignment="1" applyProtection="1">
      <alignment horizontal="center" vertical="center"/>
      <protection hidden="1"/>
    </xf>
    <xf numFmtId="0" fontId="16" fillId="18" borderId="0" xfId="5" applyFont="1" applyFill="1" applyAlignment="1" applyProtection="1">
      <alignment vertical="center"/>
      <protection hidden="1"/>
    </xf>
    <xf numFmtId="0" fontId="10" fillId="3" borderId="0" xfId="1" applyFont="1" applyFill="1" applyAlignment="1" applyProtection="1">
      <alignment horizontal="right" vertical="center"/>
      <protection hidden="1"/>
    </xf>
    <xf numFmtId="0" fontId="6" fillId="0" borderId="149" xfId="1" applyBorder="1" applyAlignment="1" applyProtection="1">
      <alignment horizontal="centerContinuous" vertical="center"/>
      <protection hidden="1"/>
    </xf>
    <xf numFmtId="0" fontId="12" fillId="0" borderId="107" xfId="0" applyFont="1" applyBorder="1" applyAlignment="1" applyProtection="1">
      <alignment horizontal="left" vertical="center"/>
      <protection hidden="1"/>
    </xf>
    <xf numFmtId="0" fontId="12" fillId="0" borderId="70" xfId="0" applyFont="1" applyBorder="1" applyAlignment="1" applyProtection="1">
      <alignment horizontal="left" vertical="center"/>
      <protection hidden="1"/>
    </xf>
    <xf numFmtId="0" fontId="1" fillId="2" borderId="150" xfId="5" applyFill="1" applyBorder="1" applyAlignment="1" applyProtection="1">
      <alignment horizontal="left"/>
      <protection locked="0" hidden="1"/>
    </xf>
    <xf numFmtId="0" fontId="1" fillId="2" borderId="153" xfId="5" applyFill="1" applyBorder="1" applyProtection="1">
      <protection hidden="1"/>
    </xf>
    <xf numFmtId="0" fontId="41" fillId="18" borderId="0" xfId="5" applyFont="1" applyFill="1" applyProtection="1">
      <protection hidden="1"/>
    </xf>
    <xf numFmtId="0" fontId="35" fillId="8" borderId="145" xfId="5" applyFont="1" applyFill="1" applyBorder="1" applyAlignment="1" applyProtection="1">
      <alignment horizontal="left" vertical="center"/>
      <protection hidden="1"/>
    </xf>
    <xf numFmtId="0" fontId="35" fillId="8" borderId="146" xfId="5" applyFont="1" applyFill="1" applyBorder="1" applyAlignment="1" applyProtection="1">
      <alignment horizontal="center" vertical="center"/>
      <protection hidden="1"/>
    </xf>
    <xf numFmtId="0" fontId="1" fillId="2" borderId="150" xfId="5" applyFill="1" applyBorder="1" applyProtection="1">
      <protection locked="0" hidden="1"/>
    </xf>
    <xf numFmtId="0" fontId="9" fillId="19" borderId="8" xfId="5" applyFont="1" applyFill="1" applyBorder="1" applyAlignment="1" applyProtection="1">
      <alignment vertical="center"/>
      <protection hidden="1"/>
    </xf>
    <xf numFmtId="0" fontId="12" fillId="0" borderId="108" xfId="0" applyFont="1" applyBorder="1" applyAlignment="1" applyProtection="1">
      <alignment horizontal="left" vertical="center"/>
      <protection hidden="1"/>
    </xf>
    <xf numFmtId="49" fontId="1" fillId="2" borderId="150" xfId="5" applyNumberFormat="1" applyFill="1" applyBorder="1" applyProtection="1">
      <protection locked="0" hidden="1"/>
    </xf>
    <xf numFmtId="0" fontId="9" fillId="2" borderId="8" xfId="5" applyFont="1" applyFill="1" applyBorder="1" applyAlignment="1" applyProtection="1">
      <alignment vertical="center"/>
      <protection hidden="1"/>
    </xf>
    <xf numFmtId="16" fontId="1" fillId="2" borderId="150" xfId="5" applyNumberFormat="1" applyFill="1" applyBorder="1" applyProtection="1">
      <protection locked="0" hidden="1"/>
    </xf>
    <xf numFmtId="0" fontId="9" fillId="2" borderId="167" xfId="5" applyFont="1" applyFill="1" applyBorder="1" applyAlignment="1" applyProtection="1">
      <alignment vertical="center"/>
      <protection hidden="1"/>
    </xf>
    <xf numFmtId="0" fontId="1" fillId="18" borderId="8" xfId="5" applyFill="1" applyBorder="1" applyProtection="1">
      <protection hidden="1"/>
    </xf>
    <xf numFmtId="0" fontId="12" fillId="0" borderId="156" xfId="0" applyFont="1" applyBorder="1" applyAlignment="1" applyProtection="1">
      <alignment horizontal="left" vertical="center"/>
      <protection hidden="1"/>
    </xf>
    <xf numFmtId="0" fontId="12" fillId="0" borderId="147" xfId="0" applyFont="1" applyBorder="1" applyAlignment="1" applyProtection="1">
      <alignment horizontal="left" vertical="center"/>
      <protection hidden="1"/>
    </xf>
    <xf numFmtId="0" fontId="1" fillId="2" borderId="151" xfId="5" applyFill="1" applyBorder="1" applyProtection="1">
      <protection locked="0" hidden="1"/>
    </xf>
    <xf numFmtId="0" fontId="1" fillId="2" borderId="154" xfId="5" applyFill="1" applyBorder="1" applyProtection="1">
      <protection hidden="1"/>
    </xf>
    <xf numFmtId="0" fontId="39" fillId="18" borderId="0" xfId="5" applyFont="1" applyFill="1" applyAlignment="1" applyProtection="1">
      <alignment horizontal="center" vertical="center"/>
      <protection hidden="1"/>
    </xf>
    <xf numFmtId="0" fontId="1" fillId="18" borderId="0" xfId="5" applyFill="1" applyAlignment="1" applyProtection="1">
      <alignment horizontal="center" vertical="center"/>
      <protection hidden="1"/>
    </xf>
    <xf numFmtId="0" fontId="1" fillId="2" borderId="152" xfId="5" applyFill="1" applyBorder="1" applyProtection="1">
      <protection locked="0" hidden="1"/>
    </xf>
    <xf numFmtId="0" fontId="1" fillId="2" borderId="155" xfId="5" applyFill="1" applyBorder="1" applyProtection="1">
      <protection hidden="1"/>
    </xf>
    <xf numFmtId="0" fontId="42" fillId="18" borderId="0" xfId="5" applyFont="1" applyFill="1" applyAlignment="1" applyProtection="1">
      <alignment horizontal="center" vertical="center"/>
      <protection hidden="1"/>
    </xf>
    <xf numFmtId="0" fontId="39" fillId="18" borderId="0" xfId="5" applyFont="1" applyFill="1" applyProtection="1">
      <protection hidden="1"/>
    </xf>
    <xf numFmtId="167" fontId="39" fillId="18" borderId="0" xfId="5" applyNumberFormat="1" applyFont="1" applyFill="1" applyProtection="1">
      <protection hidden="1"/>
    </xf>
    <xf numFmtId="0" fontId="38" fillId="18" borderId="0" xfId="5" applyFont="1" applyFill="1" applyProtection="1">
      <protection hidden="1"/>
    </xf>
    <xf numFmtId="0" fontId="39" fillId="18" borderId="0" xfId="5" applyFont="1" applyFill="1" applyAlignment="1" applyProtection="1">
      <alignment horizontal="center"/>
      <protection hidden="1"/>
    </xf>
    <xf numFmtId="0" fontId="40" fillId="18" borderId="0" xfId="5" applyFont="1" applyFill="1" applyAlignment="1" applyProtection="1">
      <alignment horizontal="center"/>
      <protection hidden="1"/>
    </xf>
    <xf numFmtId="0" fontId="38" fillId="18" borderId="0" xfId="5" applyFont="1" applyFill="1" applyAlignment="1" applyProtection="1">
      <alignment horizontal="center"/>
      <protection hidden="1"/>
    </xf>
    <xf numFmtId="0" fontId="1" fillId="18" borderId="0" xfId="5" applyFill="1" applyAlignment="1" applyProtection="1">
      <alignment horizontal="center"/>
      <protection hidden="1"/>
    </xf>
    <xf numFmtId="0" fontId="42" fillId="18" borderId="0" xfId="5" applyFont="1" applyFill="1" applyAlignment="1" applyProtection="1">
      <alignment horizontal="center"/>
      <protection hidden="1"/>
    </xf>
    <xf numFmtId="0" fontId="40" fillId="18" borderId="0" xfId="5" applyFont="1" applyFill="1" applyProtection="1">
      <protection hidden="1"/>
    </xf>
    <xf numFmtId="0" fontId="9" fillId="19" borderId="167" xfId="5" applyFont="1" applyFill="1" applyBorder="1" applyAlignment="1" applyProtection="1">
      <alignment vertical="center"/>
      <protection hidden="1"/>
    </xf>
    <xf numFmtId="0" fontId="9" fillId="18" borderId="140" xfId="5" applyFont="1" applyFill="1" applyBorder="1" applyAlignment="1" applyProtection="1">
      <alignment horizontal="left" vertical="top" wrapText="1"/>
      <protection hidden="1"/>
    </xf>
    <xf numFmtId="0" fontId="9" fillId="18" borderId="139" xfId="5" applyFont="1" applyFill="1" applyBorder="1" applyAlignment="1" applyProtection="1">
      <alignment horizontal="left" vertical="top" wrapText="1"/>
      <protection hidden="1"/>
    </xf>
    <xf numFmtId="0" fontId="1" fillId="18" borderId="137" xfId="2" applyFont="1" applyFill="1" applyBorder="1" applyAlignment="1" applyProtection="1">
      <alignment horizontal="centerContinuous" vertical="center"/>
      <protection hidden="1"/>
    </xf>
    <xf numFmtId="0" fontId="1" fillId="18" borderId="135" xfId="2" applyFont="1" applyFill="1" applyBorder="1" applyAlignment="1" applyProtection="1">
      <alignment horizontal="center" vertical="center"/>
      <protection hidden="1"/>
    </xf>
    <xf numFmtId="0" fontId="40" fillId="18" borderId="0" xfId="5" applyFont="1" applyFill="1" applyAlignment="1" applyProtection="1">
      <alignment horizontal="center" vertical="center"/>
      <protection hidden="1"/>
    </xf>
    <xf numFmtId="0" fontId="9" fillId="19" borderId="145" xfId="5" applyFont="1" applyFill="1" applyBorder="1" applyAlignment="1" applyProtection="1">
      <alignment vertical="center"/>
      <protection hidden="1"/>
    </xf>
    <xf numFmtId="0" fontId="1" fillId="19" borderId="146" xfId="5" applyFill="1" applyBorder="1" applyAlignment="1" applyProtection="1">
      <alignment horizontal="center" vertical="center"/>
      <protection hidden="1"/>
    </xf>
    <xf numFmtId="0" fontId="1" fillId="2" borderId="112" xfId="5" applyFill="1" applyBorder="1" applyAlignment="1" applyProtection="1">
      <alignment horizontal="center" vertical="center"/>
      <protection hidden="1"/>
    </xf>
    <xf numFmtId="0" fontId="1" fillId="19" borderId="112" xfId="5" applyFill="1" applyBorder="1" applyAlignment="1" applyProtection="1">
      <alignment horizontal="center" vertical="center"/>
      <protection hidden="1"/>
    </xf>
    <xf numFmtId="0" fontId="9" fillId="19" borderId="176" xfId="5" applyFont="1" applyFill="1" applyBorder="1" applyAlignment="1" applyProtection="1">
      <alignment vertical="center"/>
      <protection hidden="1"/>
    </xf>
    <xf numFmtId="0" fontId="1" fillId="19" borderId="177" xfId="5" applyFill="1" applyBorder="1" applyAlignment="1" applyProtection="1">
      <alignment horizontal="center" vertical="center"/>
      <protection hidden="1"/>
    </xf>
    <xf numFmtId="0" fontId="10" fillId="18" borderId="0" xfId="5" applyFont="1" applyFill="1" applyProtection="1">
      <protection hidden="1"/>
    </xf>
    <xf numFmtId="0" fontId="10" fillId="18" borderId="0" xfId="5" applyFont="1" applyFill="1" applyAlignment="1" applyProtection="1">
      <alignment horizontal="center" vertical="center"/>
      <protection hidden="1"/>
    </xf>
    <xf numFmtId="0" fontId="38" fillId="18" borderId="0" xfId="5" applyFont="1" applyFill="1" applyAlignment="1" applyProtection="1">
      <alignment horizontal="center" vertical="center"/>
      <protection hidden="1"/>
    </xf>
    <xf numFmtId="0" fontId="12" fillId="0" borderId="141" xfId="0" applyFont="1" applyBorder="1" applyAlignment="1" applyProtection="1">
      <alignment horizontal="left" vertical="center"/>
      <protection hidden="1"/>
    </xf>
    <xf numFmtId="0" fontId="12" fillId="18" borderId="0" xfId="5" applyFont="1" applyFill="1" applyProtection="1">
      <protection locked="0" hidden="1"/>
    </xf>
    <xf numFmtId="0" fontId="12" fillId="0" borderId="0" xfId="5" applyFont="1" applyProtection="1">
      <protection hidden="1"/>
    </xf>
    <xf numFmtId="0" fontId="3" fillId="18" borderId="0" xfId="5" applyFont="1" applyFill="1" applyAlignment="1" applyProtection="1">
      <alignment vertical="center"/>
      <protection hidden="1"/>
    </xf>
    <xf numFmtId="0" fontId="1" fillId="18" borderId="0" xfId="5" applyFill="1" applyProtection="1">
      <protection locked="0" hidden="1"/>
    </xf>
    <xf numFmtId="0" fontId="12" fillId="0" borderId="157" xfId="0" applyFont="1" applyBorder="1" applyAlignment="1" applyProtection="1">
      <alignment horizontal="left" vertical="center"/>
      <protection hidden="1"/>
    </xf>
    <xf numFmtId="0" fontId="12" fillId="0" borderId="143" xfId="0" applyFont="1" applyBorder="1" applyAlignment="1" applyProtection="1">
      <alignment horizontal="right" vertical="center"/>
      <protection hidden="1"/>
    </xf>
    <xf numFmtId="0" fontId="12" fillId="0" borderId="160" xfId="0" applyFont="1" applyBorder="1" applyAlignment="1" applyProtection="1">
      <alignment horizontal="left" vertical="center"/>
      <protection hidden="1"/>
    </xf>
    <xf numFmtId="0" fontId="1" fillId="2" borderId="173" xfId="5" applyFill="1" applyBorder="1" applyProtection="1">
      <protection locked="0" hidden="1"/>
    </xf>
    <xf numFmtId="0" fontId="1" fillId="8" borderId="0" xfId="5" applyFill="1" applyProtection="1">
      <protection hidden="1"/>
    </xf>
    <xf numFmtId="0" fontId="35" fillId="8" borderId="0" xfId="5" applyFont="1" applyFill="1" applyProtection="1">
      <protection hidden="1"/>
    </xf>
    <xf numFmtId="0" fontId="12" fillId="8" borderId="0" xfId="5" applyFont="1" applyFill="1" applyProtection="1">
      <protection hidden="1"/>
    </xf>
    <xf numFmtId="0" fontId="35" fillId="8" borderId="0" xfId="5" applyFont="1" applyFill="1" applyAlignment="1" applyProtection="1">
      <alignment horizontal="right"/>
      <protection hidden="1"/>
    </xf>
    <xf numFmtId="0" fontId="1" fillId="8" borderId="0" xfId="5" applyFill="1" applyProtection="1">
      <protection locked="0" hidden="1"/>
    </xf>
    <xf numFmtId="0" fontId="12" fillId="0" borderId="161" xfId="0" applyFont="1" applyBorder="1" applyAlignment="1" applyProtection="1">
      <alignment horizontal="left" vertical="center"/>
      <protection hidden="1"/>
    </xf>
    <xf numFmtId="0" fontId="12" fillId="0" borderId="162" xfId="0" applyFont="1" applyBorder="1" applyAlignment="1" applyProtection="1">
      <alignment horizontal="left" vertical="center"/>
      <protection hidden="1"/>
    </xf>
    <xf numFmtId="0" fontId="12" fillId="0" borderId="163" xfId="0" applyFont="1" applyBorder="1" applyAlignment="1" applyProtection="1">
      <alignment horizontal="left" vertical="center"/>
      <protection hidden="1"/>
    </xf>
    <xf numFmtId="0" fontId="12" fillId="0" borderId="164" xfId="0" applyFont="1" applyBorder="1" applyAlignment="1" applyProtection="1">
      <alignment horizontal="left" vertical="center"/>
      <protection hidden="1"/>
    </xf>
    <xf numFmtId="0" fontId="12" fillId="0" borderId="165" xfId="0" applyFont="1" applyBorder="1" applyAlignment="1" applyProtection="1">
      <alignment horizontal="left" vertical="center"/>
      <protection hidden="1"/>
    </xf>
    <xf numFmtId="0" fontId="12" fillId="0" borderId="0" xfId="0" applyFont="1" applyAlignment="1" applyProtection="1">
      <alignment horizontal="left" vertical="center"/>
      <protection hidden="1"/>
    </xf>
    <xf numFmtId="0" fontId="1" fillId="18" borderId="0" xfId="5" applyFill="1" applyAlignment="1" applyProtection="1">
      <alignment vertical="center"/>
      <protection hidden="1"/>
    </xf>
    <xf numFmtId="16" fontId="46" fillId="17" borderId="142" xfId="5" quotePrefix="1" applyNumberFormat="1" applyFont="1" applyFill="1" applyBorder="1" applyAlignment="1" applyProtection="1">
      <alignment horizontal="center" vertical="center" wrapText="1"/>
      <protection hidden="1"/>
    </xf>
    <xf numFmtId="0" fontId="12" fillId="0" borderId="159" xfId="0" applyFont="1" applyBorder="1" applyAlignment="1" applyProtection="1">
      <alignment horizontal="left" vertical="center"/>
      <protection hidden="1"/>
    </xf>
    <xf numFmtId="0" fontId="1" fillId="2" borderId="150" xfId="5" applyFill="1" applyBorder="1" applyAlignment="1" applyProtection="1">
      <alignment vertical="center"/>
      <protection locked="0" hidden="1"/>
    </xf>
    <xf numFmtId="0" fontId="1" fillId="2" borderId="153" xfId="5" applyFill="1" applyBorder="1" applyAlignment="1" applyProtection="1">
      <alignment vertical="center"/>
      <protection hidden="1"/>
    </xf>
    <xf numFmtId="0" fontId="42" fillId="18" borderId="0" xfId="5" applyFont="1" applyFill="1" applyAlignment="1" applyProtection="1">
      <alignment vertical="center"/>
      <protection hidden="1"/>
    </xf>
    <xf numFmtId="0" fontId="1" fillId="0" borderId="0" xfId="5" applyAlignment="1" applyProtection="1">
      <alignment vertical="center"/>
      <protection hidden="1"/>
    </xf>
    <xf numFmtId="0" fontId="12" fillId="0" borderId="169" xfId="0" applyFont="1" applyBorder="1" applyAlignment="1" applyProtection="1">
      <alignment horizontal="left" vertical="center"/>
      <protection hidden="1"/>
    </xf>
    <xf numFmtId="0" fontId="12" fillId="0" borderId="170" xfId="0" applyFont="1" applyBorder="1" applyAlignment="1" applyProtection="1">
      <alignment horizontal="left" vertical="center"/>
      <protection hidden="1"/>
    </xf>
    <xf numFmtId="0" fontId="1" fillId="2" borderId="171" xfId="5" applyFill="1" applyBorder="1" applyProtection="1">
      <protection locked="0" hidden="1"/>
    </xf>
    <xf numFmtId="0" fontId="1" fillId="2" borderId="172" xfId="5" applyFill="1" applyBorder="1" applyProtection="1">
      <protection hidden="1"/>
    </xf>
    <xf numFmtId="0" fontId="12" fillId="0" borderId="158" xfId="0" applyFont="1" applyBorder="1" applyAlignment="1" applyProtection="1">
      <alignment horizontal="left" vertical="center"/>
      <protection hidden="1"/>
    </xf>
    <xf numFmtId="0" fontId="6" fillId="0" borderId="0" xfId="1" applyProtection="1">
      <protection hidden="1"/>
    </xf>
    <xf numFmtId="0" fontId="7" fillId="2" borderId="0" xfId="1" applyFont="1" applyFill="1" applyProtection="1">
      <protection hidden="1"/>
    </xf>
    <xf numFmtId="0" fontId="58" fillId="0" borderId="0" xfId="0" applyFont="1" applyProtection="1">
      <protection hidden="1"/>
    </xf>
    <xf numFmtId="0" fontId="12" fillId="0" borderId="80" xfId="0" applyFont="1" applyBorder="1" applyAlignment="1" applyProtection="1">
      <alignment vertical="center"/>
      <protection hidden="1"/>
    </xf>
    <xf numFmtId="0" fontId="12" fillId="0" borderId="64" xfId="0" applyFont="1" applyBorder="1" applyAlignment="1" applyProtection="1">
      <alignment vertical="center"/>
      <protection hidden="1"/>
    </xf>
    <xf numFmtId="0" fontId="12" fillId="13" borderId="90" xfId="0" applyFont="1" applyFill="1" applyBorder="1" applyAlignment="1" applyProtection="1">
      <alignment vertical="center"/>
      <protection hidden="1"/>
    </xf>
    <xf numFmtId="0" fontId="12" fillId="13" borderId="60" xfId="0" applyFont="1" applyFill="1" applyBorder="1" applyAlignment="1" applyProtection="1">
      <alignment vertical="center"/>
      <protection hidden="1"/>
    </xf>
    <xf numFmtId="0" fontId="5" fillId="0" borderId="0" xfId="1" applyFont="1"/>
    <xf numFmtId="0" fontId="35" fillId="0" borderId="0" xfId="1" applyFont="1"/>
    <xf numFmtId="0" fontId="35" fillId="7" borderId="13" xfId="1" applyFont="1" applyFill="1" applyBorder="1"/>
    <xf numFmtId="0" fontId="35" fillId="0" borderId="13" xfId="1" applyFont="1" applyBorder="1"/>
    <xf numFmtId="22" fontId="5" fillId="0" borderId="0" xfId="0" applyNumberFormat="1" applyFont="1"/>
    <xf numFmtId="22" fontId="35" fillId="0" borderId="0" xfId="1" applyNumberFormat="1" applyFont="1"/>
    <xf numFmtId="20" fontId="35" fillId="0" borderId="13" xfId="1" applyNumberFormat="1" applyFont="1" applyBorder="1"/>
    <xf numFmtId="0" fontId="32" fillId="10" borderId="0" xfId="1" applyFont="1" applyFill="1"/>
    <xf numFmtId="0" fontId="32" fillId="10" borderId="0" xfId="1" quotePrefix="1" applyFont="1" applyFill="1"/>
    <xf numFmtId="20" fontId="35" fillId="0" borderId="0" xfId="1" applyNumberFormat="1" applyFont="1"/>
    <xf numFmtId="22" fontId="5" fillId="0" borderId="12" xfId="0" applyNumberFormat="1" applyFont="1" applyBorder="1"/>
    <xf numFmtId="0" fontId="35" fillId="8" borderId="0" xfId="1" applyFont="1" applyFill="1"/>
    <xf numFmtId="0" fontId="35" fillId="8" borderId="0" xfId="0" applyFont="1" applyFill="1"/>
    <xf numFmtId="0" fontId="35" fillId="0" borderId="0" xfId="1" applyFont="1" applyProtection="1">
      <protection hidden="1"/>
    </xf>
    <xf numFmtId="0" fontId="35" fillId="9" borderId="0" xfId="1" applyFont="1" applyFill="1" applyProtection="1">
      <protection hidden="1"/>
    </xf>
    <xf numFmtId="0" fontId="35" fillId="0" borderId="14" xfId="1" applyFont="1" applyBorder="1" applyProtection="1">
      <protection hidden="1"/>
    </xf>
    <xf numFmtId="0" fontId="35" fillId="0" borderId="15" xfId="1" applyFont="1" applyBorder="1" applyProtection="1">
      <protection hidden="1"/>
    </xf>
    <xf numFmtId="0" fontId="35" fillId="0" borderId="16" xfId="1" applyFont="1" applyBorder="1" applyProtection="1">
      <protection hidden="1"/>
    </xf>
    <xf numFmtId="0" fontId="35" fillId="0" borderId="17" xfId="1" applyFont="1" applyBorder="1" applyProtection="1">
      <protection hidden="1"/>
    </xf>
    <xf numFmtId="0" fontId="35" fillId="0" borderId="18" xfId="1" applyFont="1" applyBorder="1" applyProtection="1">
      <protection hidden="1"/>
    </xf>
    <xf numFmtId="0" fontId="35" fillId="7" borderId="0" xfId="1" applyFont="1" applyFill="1" applyProtection="1">
      <protection hidden="1"/>
    </xf>
    <xf numFmtId="0" fontId="35" fillId="0" borderId="19" xfId="1" applyFont="1" applyBorder="1" applyProtection="1">
      <protection hidden="1"/>
    </xf>
    <xf numFmtId="0" fontId="35" fillId="0" borderId="20" xfId="1" applyFont="1" applyBorder="1" applyProtection="1">
      <protection hidden="1"/>
    </xf>
    <xf numFmtId="0" fontId="35" fillId="0" borderId="20" xfId="2" applyFont="1" applyBorder="1" applyProtection="1">
      <protection hidden="1"/>
    </xf>
    <xf numFmtId="0" fontId="35" fillId="0" borderId="21" xfId="2" applyFont="1" applyBorder="1" applyProtection="1">
      <protection hidden="1"/>
    </xf>
    <xf numFmtId="0" fontId="35" fillId="0" borderId="0" xfId="6" applyFont="1"/>
    <xf numFmtId="0" fontId="60" fillId="0" borderId="0" xfId="0" applyFont="1" applyAlignment="1" applyProtection="1">
      <alignment vertical="center"/>
      <protection hidden="1"/>
    </xf>
    <xf numFmtId="0" fontId="35" fillId="0" borderId="0" xfId="0" applyFont="1" applyAlignment="1" applyProtection="1">
      <alignment vertical="center"/>
      <protection hidden="1"/>
    </xf>
    <xf numFmtId="0" fontId="61" fillId="0" borderId="0" xfId="0" applyFont="1" applyAlignment="1" applyProtection="1">
      <alignment vertical="center"/>
      <protection hidden="1"/>
    </xf>
    <xf numFmtId="0" fontId="35" fillId="3" borderId="17" xfId="1" applyFont="1" applyFill="1" applyBorder="1" applyProtection="1">
      <protection hidden="1"/>
    </xf>
    <xf numFmtId="0" fontId="35" fillId="3" borderId="0" xfId="1" applyFont="1" applyFill="1" applyProtection="1">
      <protection hidden="1"/>
    </xf>
    <xf numFmtId="0" fontId="35" fillId="3" borderId="18" xfId="1" applyFont="1" applyFill="1" applyBorder="1" applyProtection="1">
      <protection hidden="1"/>
    </xf>
    <xf numFmtId="0" fontId="35" fillId="0" borderId="21" xfId="1" applyFont="1" applyBorder="1" applyProtection="1">
      <protection hidden="1"/>
    </xf>
    <xf numFmtId="0" fontId="35" fillId="0" borderId="16" xfId="1" applyFont="1" applyBorder="1" applyAlignment="1" applyProtection="1">
      <alignment wrapText="1"/>
      <protection hidden="1"/>
    </xf>
    <xf numFmtId="0" fontId="14" fillId="0" borderId="0" xfId="1" applyFont="1" applyAlignment="1" applyProtection="1">
      <alignment vertical="center"/>
      <protection hidden="1"/>
    </xf>
    <xf numFmtId="0" fontId="62" fillId="0" borderId="11" xfId="1" applyFont="1" applyBorder="1" applyAlignment="1" applyProtection="1">
      <alignment vertical="center" wrapText="1"/>
      <protection hidden="1"/>
    </xf>
    <xf numFmtId="0" fontId="35" fillId="0" borderId="22" xfId="1" applyFont="1" applyBorder="1" applyProtection="1">
      <protection hidden="1"/>
    </xf>
    <xf numFmtId="0" fontId="35" fillId="0" borderId="23" xfId="1" applyFont="1" applyBorder="1" applyProtection="1">
      <protection hidden="1"/>
    </xf>
    <xf numFmtId="0" fontId="35" fillId="0" borderId="24" xfId="1" applyFont="1" applyBorder="1" applyProtection="1">
      <protection hidden="1"/>
    </xf>
    <xf numFmtId="0" fontId="35" fillId="11" borderId="25" xfId="1" applyFont="1" applyFill="1" applyBorder="1" applyAlignment="1" applyProtection="1">
      <alignment horizontal="left"/>
      <protection hidden="1"/>
    </xf>
    <xf numFmtId="0" fontId="35" fillId="0" borderId="25" xfId="1" applyFont="1" applyBorder="1" applyAlignment="1" applyProtection="1">
      <alignment horizontal="left"/>
      <protection hidden="1"/>
    </xf>
    <xf numFmtId="0" fontId="35" fillId="0" borderId="0" xfId="1" applyFont="1" applyAlignment="1" applyProtection="1">
      <alignment vertical="center"/>
      <protection hidden="1"/>
    </xf>
    <xf numFmtId="0" fontId="35" fillId="0" borderId="18" xfId="1" applyFont="1" applyBorder="1" applyAlignment="1" applyProtection="1">
      <alignment vertical="center"/>
      <protection hidden="1"/>
    </xf>
    <xf numFmtId="0" fontId="35" fillId="0" borderId="31" xfId="1" applyFont="1" applyBorder="1" applyProtection="1">
      <protection hidden="1"/>
    </xf>
    <xf numFmtId="0" fontId="35" fillId="0" borderId="32" xfId="1" applyFont="1" applyBorder="1" applyProtection="1">
      <protection hidden="1"/>
    </xf>
    <xf numFmtId="0" fontId="64" fillId="0" borderId="199" xfId="5" applyFont="1" applyFill="1" applyBorder="1" applyAlignment="1" applyProtection="1">
      <alignment horizontal="left"/>
      <protection locked="0" hidden="1"/>
    </xf>
    <xf numFmtId="0" fontId="64" fillId="0" borderId="199" xfId="5" applyFont="1" applyFill="1" applyBorder="1" applyAlignment="1" applyProtection="1">
      <protection locked="0" hidden="1"/>
    </xf>
    <xf numFmtId="49" fontId="64" fillId="0" borderId="199" xfId="5" applyNumberFormat="1" applyFont="1" applyFill="1" applyBorder="1" applyAlignment="1" applyProtection="1">
      <protection locked="0" hidden="1"/>
    </xf>
    <xf numFmtId="16" fontId="64" fillId="0" borderId="199" xfId="5" applyNumberFormat="1" applyFont="1" applyFill="1" applyBorder="1" applyAlignment="1" applyProtection="1">
      <protection locked="0" hidden="1"/>
    </xf>
    <xf numFmtId="0" fontId="64" fillId="0" borderId="200" xfId="5" applyFont="1" applyFill="1" applyBorder="1" applyAlignment="1" applyProtection="1">
      <protection locked="0" hidden="1"/>
    </xf>
    <xf numFmtId="0" fontId="64" fillId="0" borderId="201" xfId="5" applyFont="1" applyFill="1" applyBorder="1" applyAlignment="1" applyProtection="1">
      <protection locked="0" hidden="1"/>
    </xf>
    <xf numFmtId="0" fontId="64" fillId="0" borderId="202" xfId="5" applyFont="1" applyFill="1" applyBorder="1" applyAlignment="1" applyProtection="1">
      <protection locked="0" hidden="1"/>
    </xf>
    <xf numFmtId="0" fontId="64" fillId="0" borderId="70" xfId="5" applyFont="1" applyFill="1" applyBorder="1" applyAlignment="1" applyProtection="1">
      <protection locked="0" hidden="1"/>
    </xf>
    <xf numFmtId="0" fontId="64" fillId="0" borderId="203" xfId="5" applyFont="1" applyFill="1" applyBorder="1" applyAlignment="1" applyProtection="1">
      <protection locked="0" hidden="1"/>
    </xf>
    <xf numFmtId="0" fontId="64" fillId="0" borderId="0" xfId="5" applyFont="1" applyFill="1" applyBorder="1" applyAlignment="1" applyProtection="1">
      <protection locked="0" hidden="1"/>
    </xf>
    <xf numFmtId="0" fontId="64" fillId="0" borderId="178" xfId="5" applyFont="1" applyFill="1" applyBorder="1" applyAlignment="1" applyProtection="1">
      <protection locked="0" hidden="1"/>
    </xf>
    <xf numFmtId="0" fontId="1" fillId="0" borderId="77" xfId="0" applyFont="1" applyBorder="1" applyAlignment="1">
      <alignment horizontal="center" vertical="center"/>
    </xf>
    <xf numFmtId="165" fontId="1" fillId="0" borderId="65" xfId="0" applyNumberFormat="1" applyFont="1" applyBorder="1" applyAlignment="1" applyProtection="1">
      <alignment horizontal="center" vertical="center"/>
      <protection hidden="1"/>
    </xf>
    <xf numFmtId="164" fontId="1" fillId="0" borderId="78" xfId="0" applyNumberFormat="1" applyFont="1" applyBorder="1" applyAlignment="1" applyProtection="1">
      <alignment horizontal="center" vertical="center"/>
      <protection hidden="1"/>
    </xf>
    <xf numFmtId="0" fontId="1" fillId="0" borderId="79" xfId="0" applyFont="1" applyBorder="1" applyAlignment="1" applyProtection="1">
      <alignment horizontal="center" vertical="center"/>
      <protection locked="0" hidden="1"/>
    </xf>
    <xf numFmtId="0" fontId="1" fillId="0" borderId="100" xfId="0" applyFont="1" applyBorder="1" applyAlignment="1" applyProtection="1">
      <alignment horizontal="center" vertical="center"/>
      <protection locked="0" hidden="1"/>
    </xf>
    <xf numFmtId="0" fontId="1" fillId="0" borderId="106" xfId="0" applyFont="1" applyBorder="1" applyAlignment="1">
      <alignment horizontal="center" vertical="center"/>
    </xf>
    <xf numFmtId="165" fontId="1" fillId="0" borderId="70" xfId="0" applyNumberFormat="1" applyFont="1" applyBorder="1" applyAlignment="1" applyProtection="1">
      <alignment horizontal="center" vertical="center"/>
      <protection hidden="1"/>
    </xf>
    <xf numFmtId="164" fontId="1" fillId="0" borderId="72" xfId="0" applyNumberFormat="1" applyFont="1" applyBorder="1" applyAlignment="1" applyProtection="1">
      <alignment horizontal="center" vertical="center"/>
      <protection hidden="1"/>
    </xf>
    <xf numFmtId="0" fontId="1" fillId="0" borderId="62" xfId="0" applyFont="1" applyBorder="1" applyAlignment="1" applyProtection="1">
      <alignment horizontal="center" vertical="center"/>
      <protection locked="0" hidden="1"/>
    </xf>
    <xf numFmtId="0" fontId="1" fillId="0" borderId="101" xfId="0" applyFont="1" applyBorder="1" applyAlignment="1" applyProtection="1">
      <alignment horizontal="center" vertical="center"/>
      <protection locked="0" hidden="1"/>
    </xf>
    <xf numFmtId="0" fontId="1" fillId="0" borderId="107" xfId="0" applyFont="1" applyBorder="1" applyAlignment="1">
      <alignment horizontal="center" vertical="center"/>
    </xf>
    <xf numFmtId="0" fontId="1" fillId="0" borderId="73" xfId="0" applyFont="1" applyBorder="1" applyAlignment="1">
      <alignment horizontal="center" vertical="center"/>
    </xf>
    <xf numFmtId="165" fontId="1" fillId="0" borderId="69" xfId="0" applyNumberFormat="1" applyFont="1" applyBorder="1" applyAlignment="1" applyProtection="1">
      <alignment horizontal="center" vertical="center"/>
      <protection hidden="1"/>
    </xf>
    <xf numFmtId="164" fontId="1" fillId="0" borderId="71" xfId="0" applyNumberFormat="1" applyFont="1" applyBorder="1" applyAlignment="1" applyProtection="1">
      <alignment horizontal="center" vertical="center"/>
      <protection hidden="1"/>
    </xf>
    <xf numFmtId="0" fontId="1" fillId="0" borderId="66" xfId="0" applyFont="1" applyBorder="1" applyAlignment="1" applyProtection="1">
      <alignment horizontal="center" vertical="center"/>
      <protection locked="0" hidden="1"/>
    </xf>
    <xf numFmtId="0" fontId="1" fillId="0" borderId="102" xfId="0" applyFont="1" applyBorder="1" applyAlignment="1" applyProtection="1">
      <alignment horizontal="center" vertical="center"/>
      <protection locked="0" hidden="1"/>
    </xf>
    <xf numFmtId="0" fontId="1" fillId="0" borderId="108" xfId="0" applyFont="1" applyBorder="1" applyAlignment="1">
      <alignment horizontal="center" vertical="center"/>
    </xf>
    <xf numFmtId="165" fontId="1" fillId="13" borderId="11" xfId="0" applyNumberFormat="1" applyFont="1" applyFill="1" applyBorder="1" applyAlignment="1" applyProtection="1">
      <alignment horizontal="center" vertical="center"/>
      <protection hidden="1"/>
    </xf>
    <xf numFmtId="164" fontId="1" fillId="13" borderId="30" xfId="0" applyNumberFormat="1" applyFont="1" applyFill="1" applyBorder="1" applyAlignment="1" applyProtection="1">
      <alignment horizontal="center" vertical="center"/>
      <protection hidden="1"/>
    </xf>
    <xf numFmtId="0" fontId="1" fillId="13" borderId="30" xfId="0" applyFont="1" applyFill="1" applyBorder="1" applyAlignment="1" applyProtection="1">
      <alignment horizontal="center" vertical="center"/>
      <protection locked="0" hidden="1"/>
    </xf>
    <xf numFmtId="0" fontId="1" fillId="13" borderId="82" xfId="0" applyFont="1" applyFill="1" applyBorder="1" applyAlignment="1" applyProtection="1">
      <alignment horizontal="center" vertical="center"/>
      <protection locked="0" hidden="1"/>
    </xf>
    <xf numFmtId="0" fontId="1" fillId="13" borderId="11" xfId="0" applyFont="1" applyFill="1" applyBorder="1" applyAlignment="1">
      <alignment horizontal="center" vertical="center"/>
    </xf>
    <xf numFmtId="0" fontId="1" fillId="13" borderId="54" xfId="0" applyFont="1" applyFill="1" applyBorder="1" applyAlignment="1">
      <alignment horizontal="center" vertical="center"/>
    </xf>
    <xf numFmtId="0" fontId="1" fillId="13" borderId="10" xfId="0" applyFont="1" applyFill="1" applyBorder="1" applyAlignment="1" applyProtection="1">
      <alignment horizontal="center" vertical="center"/>
      <protection locked="0" hidden="1"/>
    </xf>
    <xf numFmtId="0" fontId="1" fillId="13" borderId="87" xfId="0" applyFont="1" applyFill="1" applyBorder="1" applyAlignment="1">
      <alignment horizontal="center" vertical="center"/>
    </xf>
    <xf numFmtId="0" fontId="1" fillId="13" borderId="109" xfId="0" applyFont="1" applyFill="1" applyBorder="1" applyAlignment="1" applyProtection="1">
      <alignment horizontal="center" vertical="center"/>
      <protection locked="0" hidden="1"/>
    </xf>
    <xf numFmtId="0" fontId="1" fillId="13" borderId="28" xfId="0" applyFont="1" applyFill="1" applyBorder="1" applyAlignment="1" applyProtection="1">
      <alignment horizontal="center" vertical="center"/>
      <protection locked="0" hidden="1"/>
    </xf>
    <xf numFmtId="0" fontId="1" fillId="13" borderId="29" xfId="0" applyFont="1" applyFill="1" applyBorder="1" applyAlignment="1" applyProtection="1">
      <alignment horizontal="center" vertical="center"/>
      <protection locked="0" hidden="1"/>
    </xf>
    <xf numFmtId="0" fontId="1" fillId="13" borderId="99" xfId="0" applyFont="1" applyFill="1" applyBorder="1" applyAlignment="1">
      <alignment horizontal="center" vertical="center"/>
    </xf>
    <xf numFmtId="0" fontId="1" fillId="13" borderId="89" xfId="0" applyFont="1" applyFill="1" applyBorder="1" applyAlignment="1">
      <alignment horizontal="center" vertical="center"/>
    </xf>
    <xf numFmtId="165" fontId="1" fillId="13" borderId="110" xfId="0" applyNumberFormat="1" applyFont="1" applyFill="1" applyBorder="1" applyAlignment="1" applyProtection="1">
      <alignment horizontal="center" vertical="center"/>
      <protection hidden="1"/>
    </xf>
    <xf numFmtId="164" fontId="1" fillId="13" borderId="61" xfId="0" applyNumberFormat="1" applyFont="1" applyFill="1" applyBorder="1" applyAlignment="1" applyProtection="1">
      <alignment horizontal="center" vertical="center"/>
      <protection hidden="1"/>
    </xf>
    <xf numFmtId="0" fontId="1" fillId="13" borderId="61" xfId="0" applyFont="1" applyFill="1" applyBorder="1" applyAlignment="1" applyProtection="1">
      <alignment horizontal="center" vertical="center"/>
      <protection locked="0" hidden="1"/>
    </xf>
    <xf numFmtId="0" fontId="1" fillId="13" borderId="88" xfId="0" applyFont="1" applyFill="1" applyBorder="1" applyAlignment="1" applyProtection="1">
      <alignment horizontal="center" vertical="center"/>
      <protection locked="0" hidden="1"/>
    </xf>
    <xf numFmtId="0" fontId="1" fillId="13" borderId="110" xfId="0" applyFont="1" applyFill="1" applyBorder="1" applyAlignment="1">
      <alignment horizontal="center" vertical="center"/>
    </xf>
    <xf numFmtId="165" fontId="1" fillId="0" borderId="83" xfId="0" applyNumberFormat="1" applyFont="1" applyBorder="1" applyAlignment="1" applyProtection="1">
      <alignment horizontal="center" vertical="center"/>
      <protection hidden="1"/>
    </xf>
    <xf numFmtId="165" fontId="1" fillId="0" borderId="84" xfId="0" applyNumberFormat="1" applyFont="1" applyBorder="1" applyAlignment="1" applyProtection="1">
      <alignment horizontal="center" vertical="center"/>
      <protection hidden="1"/>
    </xf>
    <xf numFmtId="165" fontId="1" fillId="13" borderId="82" xfId="0" applyNumberFormat="1" applyFont="1" applyFill="1" applyBorder="1" applyAlignment="1" applyProtection="1">
      <alignment horizontal="center" vertical="center"/>
      <protection hidden="1"/>
    </xf>
    <xf numFmtId="165" fontId="1" fillId="13" borderId="10" xfId="0" applyNumberFormat="1" applyFont="1" applyFill="1" applyBorder="1" applyAlignment="1" applyProtection="1">
      <alignment horizontal="center" vertical="center"/>
      <protection hidden="1"/>
    </xf>
    <xf numFmtId="0" fontId="1" fillId="13" borderId="56" xfId="0" applyFont="1" applyFill="1" applyBorder="1" applyAlignment="1">
      <alignment horizontal="center" vertical="center"/>
    </xf>
    <xf numFmtId="165" fontId="1" fillId="13" borderId="86" xfId="0" applyNumberFormat="1" applyFont="1" applyFill="1" applyBorder="1" applyAlignment="1" applyProtection="1">
      <alignment horizontal="center" vertical="center"/>
      <protection hidden="1"/>
    </xf>
    <xf numFmtId="164" fontId="1" fillId="13" borderId="58" xfId="0" applyNumberFormat="1" applyFont="1" applyFill="1" applyBorder="1" applyAlignment="1" applyProtection="1">
      <alignment horizontal="center" vertical="center"/>
      <protection hidden="1"/>
    </xf>
    <xf numFmtId="0" fontId="1" fillId="13" borderId="58" xfId="0" applyFont="1" applyFill="1" applyBorder="1" applyAlignment="1" applyProtection="1">
      <alignment horizontal="center" vertical="center"/>
      <protection locked="0" hidden="1"/>
    </xf>
    <xf numFmtId="0" fontId="1" fillId="13" borderId="86" xfId="0" applyFont="1" applyFill="1" applyBorder="1" applyAlignment="1" applyProtection="1">
      <alignment horizontal="center" vertical="center"/>
      <protection locked="0" hidden="1"/>
    </xf>
    <xf numFmtId="0" fontId="1" fillId="13" borderId="58" xfId="0" applyFont="1" applyFill="1" applyBorder="1" applyAlignment="1">
      <alignment horizontal="center" vertical="center"/>
    </xf>
    <xf numFmtId="0" fontId="1" fillId="0" borderId="67" xfId="0" applyFont="1" applyBorder="1" applyAlignment="1" applyProtection="1">
      <alignment horizontal="center" vertical="center"/>
      <protection locked="0" hidden="1"/>
    </xf>
    <xf numFmtId="0" fontId="1" fillId="0" borderId="75" xfId="0" applyFont="1" applyBorder="1" applyAlignment="1" applyProtection="1">
      <alignment horizontal="center" vertical="center"/>
      <protection locked="0" hidden="1"/>
    </xf>
    <xf numFmtId="0" fontId="1" fillId="0" borderId="103" xfId="0" applyFont="1" applyBorder="1" applyAlignment="1">
      <alignment horizontal="center" vertical="center"/>
    </xf>
    <xf numFmtId="0" fontId="1" fillId="0" borderId="63" xfId="0" applyFont="1" applyBorder="1" applyAlignment="1" applyProtection="1">
      <alignment horizontal="center" vertical="center"/>
      <protection locked="0" hidden="1"/>
    </xf>
    <xf numFmtId="0" fontId="1" fillId="0" borderId="76" xfId="0" applyFont="1" applyBorder="1" applyAlignment="1" applyProtection="1">
      <alignment horizontal="center" vertical="center"/>
      <protection locked="0" hidden="1"/>
    </xf>
    <xf numFmtId="0" fontId="1" fillId="0" borderId="104" xfId="0" applyFont="1" applyBorder="1" applyAlignment="1" applyProtection="1">
      <alignment horizontal="center" vertical="center"/>
      <protection locked="0" hidden="1"/>
    </xf>
    <xf numFmtId="0" fontId="1" fillId="13" borderId="1" xfId="0" applyFont="1" applyFill="1" applyBorder="1" applyAlignment="1" applyProtection="1">
      <alignment horizontal="center" vertical="center"/>
      <protection locked="0" hidden="1"/>
    </xf>
    <xf numFmtId="0" fontId="1" fillId="13" borderId="29" xfId="0" applyFont="1" applyFill="1" applyBorder="1" applyAlignment="1">
      <alignment horizontal="center" vertical="center"/>
    </xf>
    <xf numFmtId="0" fontId="1" fillId="13" borderId="9" xfId="0" applyFont="1" applyFill="1" applyBorder="1" applyAlignment="1" applyProtection="1">
      <alignment horizontal="center" vertical="center"/>
      <protection locked="0" hidden="1"/>
    </xf>
    <xf numFmtId="0" fontId="1" fillId="0" borderId="105" xfId="0" applyFont="1" applyBorder="1" applyAlignment="1">
      <alignment horizontal="center" vertical="center"/>
    </xf>
    <xf numFmtId="165" fontId="1" fillId="13" borderId="57" xfId="0" applyNumberFormat="1" applyFont="1" applyFill="1" applyBorder="1" applyAlignment="1" applyProtection="1">
      <alignment horizontal="center" vertical="center"/>
      <protection hidden="1"/>
    </xf>
    <xf numFmtId="0" fontId="1" fillId="13" borderId="59" xfId="0" applyFont="1" applyFill="1" applyBorder="1" applyAlignment="1" applyProtection="1">
      <alignment horizontal="center" vertical="center"/>
      <protection locked="0" hidden="1"/>
    </xf>
    <xf numFmtId="0" fontId="1" fillId="13" borderId="57" xfId="0" applyFont="1" applyFill="1" applyBorder="1" applyAlignment="1" applyProtection="1">
      <alignment horizontal="center" vertical="center"/>
      <protection locked="0" hidden="1"/>
    </xf>
    <xf numFmtId="0" fontId="1" fillId="0" borderId="93" xfId="0" applyFont="1" applyBorder="1" applyAlignment="1">
      <alignment horizontal="center" vertical="center"/>
    </xf>
    <xf numFmtId="165" fontId="1" fillId="0" borderId="94" xfId="0" applyNumberFormat="1" applyFont="1" applyBorder="1" applyAlignment="1" applyProtection="1">
      <alignment horizontal="center" vertical="center"/>
      <protection hidden="1"/>
    </xf>
    <xf numFmtId="164" fontId="1" fillId="0" borderId="95" xfId="0" applyNumberFormat="1" applyFont="1" applyBorder="1" applyAlignment="1" applyProtection="1">
      <alignment horizontal="center" vertical="center"/>
      <protection hidden="1"/>
    </xf>
    <xf numFmtId="0" fontId="1" fillId="0" borderId="97" xfId="0" applyFont="1" applyBorder="1" applyAlignment="1" applyProtection="1">
      <alignment horizontal="center" vertical="center"/>
      <protection locked="0" hidden="1"/>
    </xf>
    <xf numFmtId="0" fontId="1" fillId="0" borderId="98" xfId="0" applyFont="1" applyBorder="1" applyAlignment="1" applyProtection="1">
      <alignment horizontal="center" vertical="center"/>
      <protection locked="0" hidden="1"/>
    </xf>
    <xf numFmtId="0" fontId="1" fillId="0" borderId="111" xfId="0" applyFont="1" applyBorder="1" applyAlignment="1" applyProtection="1">
      <alignment horizontal="center" vertical="center"/>
      <protection locked="0" hidden="1"/>
    </xf>
    <xf numFmtId="14" fontId="1" fillId="0" borderId="0" xfId="0" applyNumberFormat="1" applyFont="1" applyAlignment="1" applyProtection="1">
      <alignment horizontal="center"/>
      <protection hidden="1"/>
    </xf>
    <xf numFmtId="0" fontId="1" fillId="0" borderId="0" xfId="0" applyFont="1" applyAlignment="1" applyProtection="1">
      <alignment horizontal="center"/>
      <protection hidden="1"/>
    </xf>
    <xf numFmtId="0" fontId="1" fillId="0" borderId="0" xfId="0" applyFont="1" applyAlignment="1">
      <alignment horizontal="center" vertical="center"/>
    </xf>
    <xf numFmtId="0" fontId="1" fillId="9" borderId="4" xfId="0" applyFont="1" applyFill="1" applyBorder="1" applyProtection="1">
      <protection hidden="1"/>
    </xf>
    <xf numFmtId="0" fontId="1" fillId="9" borderId="2" xfId="0" applyFont="1" applyFill="1" applyBorder="1" applyProtection="1">
      <protection hidden="1"/>
    </xf>
    <xf numFmtId="0" fontId="1" fillId="5" borderId="4" xfId="0" applyFont="1" applyFill="1" applyBorder="1" applyProtection="1">
      <protection hidden="1"/>
    </xf>
    <xf numFmtId="0" fontId="1" fillId="4" borderId="4" xfId="0" applyFont="1" applyFill="1" applyBorder="1" applyProtection="1">
      <protection hidden="1"/>
    </xf>
    <xf numFmtId="0" fontId="65" fillId="0" borderId="199" xfId="5" applyFont="1" applyFill="1" applyBorder="1" applyAlignment="1" applyProtection="1">
      <alignment horizontal="left"/>
      <protection locked="0" hidden="1"/>
    </xf>
    <xf numFmtId="0" fontId="65" fillId="0" borderId="199" xfId="5" applyFont="1" applyFill="1" applyBorder="1" applyAlignment="1" applyProtection="1">
      <protection locked="0" hidden="1"/>
    </xf>
    <xf numFmtId="49" fontId="65" fillId="0" borderId="199" xfId="5" applyNumberFormat="1" applyFont="1" applyFill="1" applyBorder="1" applyAlignment="1" applyProtection="1">
      <protection locked="0" hidden="1"/>
    </xf>
    <xf numFmtId="16" fontId="65" fillId="0" borderId="199" xfId="5" applyNumberFormat="1" applyFont="1" applyFill="1" applyBorder="1" applyAlignment="1" applyProtection="1">
      <protection locked="0" hidden="1"/>
    </xf>
    <xf numFmtId="0" fontId="65" fillId="0" borderId="202" xfId="5" applyFont="1" applyFill="1" applyBorder="1" applyAlignment="1" applyProtection="1">
      <protection locked="0" hidden="1"/>
    </xf>
    <xf numFmtId="0" fontId="65" fillId="0" borderId="204" xfId="5" applyFont="1" applyFill="1" applyBorder="1" applyAlignment="1" applyProtection="1">
      <protection locked="0" hidden="1"/>
    </xf>
    <xf numFmtId="0" fontId="65" fillId="0" borderId="70" xfId="5" applyFont="1" applyFill="1" applyBorder="1" applyAlignment="1" applyProtection="1">
      <protection locked="0" hidden="1"/>
    </xf>
    <xf numFmtId="0" fontId="65" fillId="0" borderId="203" xfId="5" applyFont="1" applyFill="1" applyBorder="1" applyAlignment="1" applyProtection="1">
      <protection locked="0" hidden="1"/>
    </xf>
    <xf numFmtId="0" fontId="66" fillId="0" borderId="0" xfId="5" applyFont="1" applyFill="1" applyBorder="1" applyAlignment="1" applyProtection="1">
      <protection locked="0" hidden="1"/>
    </xf>
    <xf numFmtId="0" fontId="66" fillId="0" borderId="178" xfId="5" applyFont="1" applyFill="1" applyBorder="1" applyAlignment="1" applyProtection="1">
      <protection locked="0" hidden="1"/>
    </xf>
    <xf numFmtId="0" fontId="37" fillId="22" borderId="187" xfId="3" applyFont="1" applyFill="1" applyBorder="1" applyAlignment="1" applyProtection="1">
      <alignment horizontal="center" vertical="center" wrapText="1"/>
      <protection hidden="1"/>
    </xf>
    <xf numFmtId="0" fontId="37" fillId="22" borderId="188" xfId="3" applyFont="1" applyFill="1" applyBorder="1" applyAlignment="1" applyProtection="1">
      <alignment horizontal="center" vertical="center" wrapText="1"/>
      <protection hidden="1"/>
    </xf>
    <xf numFmtId="0" fontId="37" fillId="22" borderId="189" xfId="3" applyFont="1" applyFill="1" applyBorder="1" applyAlignment="1" applyProtection="1">
      <alignment horizontal="center" vertical="center" wrapText="1"/>
      <protection hidden="1"/>
    </xf>
    <xf numFmtId="0" fontId="37" fillId="22" borderId="190" xfId="3" applyFont="1" applyFill="1" applyBorder="1" applyAlignment="1" applyProtection="1">
      <alignment horizontal="center" vertical="center" wrapText="1"/>
      <protection hidden="1"/>
    </xf>
    <xf numFmtId="0" fontId="37" fillId="22" borderId="0" xfId="3" applyFont="1" applyFill="1" applyBorder="1" applyAlignment="1" applyProtection="1">
      <alignment horizontal="center" vertical="center" wrapText="1"/>
      <protection hidden="1"/>
    </xf>
    <xf numFmtId="0" fontId="37" fillId="22" borderId="191" xfId="3" applyFont="1" applyFill="1" applyBorder="1" applyAlignment="1" applyProtection="1">
      <alignment horizontal="center" vertical="center" wrapText="1"/>
      <protection hidden="1"/>
    </xf>
    <xf numFmtId="0" fontId="37" fillId="22" borderId="192" xfId="3" applyFont="1" applyFill="1" applyBorder="1" applyAlignment="1" applyProtection="1">
      <alignment horizontal="center" vertical="center" wrapText="1"/>
      <protection hidden="1"/>
    </xf>
    <xf numFmtId="0" fontId="37" fillId="22" borderId="193" xfId="3" applyFont="1" applyFill="1" applyBorder="1" applyAlignment="1" applyProtection="1">
      <alignment horizontal="center" vertical="center" wrapText="1"/>
      <protection hidden="1"/>
    </xf>
    <xf numFmtId="0" fontId="37" fillId="22" borderId="194" xfId="3" applyFont="1" applyFill="1" applyBorder="1" applyAlignment="1" applyProtection="1">
      <alignment horizontal="center" vertical="center" wrapText="1"/>
      <protection hidden="1"/>
    </xf>
    <xf numFmtId="0" fontId="57" fillId="3" borderId="180" xfId="3" applyFont="1" applyFill="1" applyBorder="1" applyAlignment="1" applyProtection="1">
      <alignment horizontal="center" vertical="center"/>
      <protection hidden="1"/>
    </xf>
    <xf numFmtId="0" fontId="57" fillId="3" borderId="182" xfId="3" applyFont="1" applyFill="1" applyBorder="1" applyAlignment="1" applyProtection="1">
      <alignment horizontal="center" vertical="center"/>
      <protection hidden="1"/>
    </xf>
    <xf numFmtId="0" fontId="55" fillId="20" borderId="0" xfId="6" applyFont="1" applyFill="1" applyAlignment="1" applyProtection="1">
      <alignment horizontal="center" vertical="center"/>
      <protection hidden="1"/>
    </xf>
    <xf numFmtId="0" fontId="56" fillId="3" borderId="132" xfId="0" applyFont="1" applyFill="1" applyBorder="1" applyAlignment="1" applyProtection="1">
      <alignment horizontal="left" vertical="center"/>
      <protection hidden="1"/>
    </xf>
    <xf numFmtId="0" fontId="56" fillId="3" borderId="134" xfId="0" applyFont="1" applyFill="1" applyBorder="1" applyAlignment="1" applyProtection="1">
      <alignment horizontal="left" vertical="center"/>
      <protection hidden="1"/>
    </xf>
    <xf numFmtId="0" fontId="57" fillId="16" borderId="133" xfId="0" applyFont="1" applyFill="1" applyBorder="1" applyAlignment="1" applyProtection="1">
      <alignment horizontal="center" vertical="center"/>
      <protection locked="0" hidden="1"/>
    </xf>
    <xf numFmtId="0" fontId="57" fillId="16" borderId="131" xfId="0" applyFont="1" applyFill="1" applyBorder="1" applyAlignment="1" applyProtection="1">
      <alignment horizontal="center" vertical="center"/>
      <protection locked="0" hidden="1"/>
    </xf>
    <xf numFmtId="0" fontId="17" fillId="0" borderId="119" xfId="0" applyFont="1" applyBorder="1" applyAlignment="1">
      <alignment horizontal="center" vertical="center"/>
    </xf>
    <xf numFmtId="0" fontId="17" fillId="0" borderId="114" xfId="0" applyFont="1" applyBorder="1" applyAlignment="1">
      <alignment horizontal="center" vertical="center"/>
    </xf>
    <xf numFmtId="0" fontId="44" fillId="15" borderId="0" xfId="4" applyFont="1" applyFill="1" applyAlignment="1" applyProtection="1">
      <alignment horizontal="center" vertical="center"/>
      <protection hidden="1"/>
    </xf>
    <xf numFmtId="0" fontId="44" fillId="2" borderId="0" xfId="4" applyFont="1" applyFill="1" applyAlignment="1" applyProtection="1">
      <alignment horizontal="center" vertical="center"/>
      <protection hidden="1"/>
    </xf>
    <xf numFmtId="0" fontId="45" fillId="17" borderId="142" xfId="5" applyFont="1" applyFill="1" applyBorder="1" applyAlignment="1" applyProtection="1">
      <alignment horizontal="center" vertical="center" wrapText="1"/>
      <protection hidden="1"/>
    </xf>
    <xf numFmtId="0" fontId="45" fillId="17" borderId="142" xfId="5" applyFont="1" applyFill="1" applyBorder="1" applyAlignment="1" applyProtection="1">
      <alignment horizontal="center" vertical="center"/>
      <protection hidden="1"/>
    </xf>
    <xf numFmtId="16" fontId="45" fillId="17" borderId="142" xfId="5" quotePrefix="1" applyNumberFormat="1" applyFont="1" applyFill="1" applyBorder="1" applyAlignment="1" applyProtection="1">
      <alignment horizontal="center" vertical="center" wrapText="1"/>
      <protection hidden="1"/>
    </xf>
    <xf numFmtId="0" fontId="44" fillId="17" borderId="142" xfId="5" applyFont="1" applyFill="1" applyBorder="1" applyAlignment="1" applyProtection="1">
      <alignment horizontal="center" vertical="center" wrapText="1"/>
      <protection hidden="1"/>
    </xf>
    <xf numFmtId="0" fontId="44" fillId="17" borderId="142" xfId="5" applyFont="1" applyFill="1" applyBorder="1" applyAlignment="1" applyProtection="1">
      <alignment horizontal="center" vertical="center"/>
      <protection hidden="1"/>
    </xf>
    <xf numFmtId="0" fontId="7" fillId="3" borderId="0" xfId="5" applyFont="1" applyFill="1" applyAlignment="1" applyProtection="1">
      <alignment horizontal="center"/>
      <protection hidden="1"/>
    </xf>
    <xf numFmtId="0" fontId="59" fillId="0" borderId="196" xfId="5" applyFont="1" applyBorder="1" applyAlignment="1" applyProtection="1">
      <alignment horizontal="center" vertical="center"/>
      <protection hidden="1"/>
    </xf>
    <xf numFmtId="0" fontId="59" fillId="0" borderId="197" xfId="5" applyFont="1" applyBorder="1" applyAlignment="1" applyProtection="1">
      <alignment horizontal="center" vertical="center"/>
      <protection hidden="1"/>
    </xf>
    <xf numFmtId="0" fontId="59" fillId="0" borderId="198" xfId="5" applyFont="1" applyBorder="1" applyAlignment="1" applyProtection="1">
      <alignment horizontal="center" vertical="center"/>
      <protection hidden="1"/>
    </xf>
    <xf numFmtId="0" fontId="6" fillId="2" borderId="0" xfId="1" applyFill="1" applyAlignment="1" applyProtection="1">
      <alignment horizontal="left" vertical="center" wrapText="1"/>
      <protection hidden="1"/>
    </xf>
  </cellXfs>
  <cellStyles count="7">
    <cellStyle name="Hipervínculo" xfId="3" builtinId="8"/>
    <cellStyle name="Hipervínculo 2" xfId="2" xr:uid="{ACF7C65C-B6D4-E443-B856-8A4D26F52DA7}"/>
    <cellStyle name="Normal" xfId="0" builtinId="0"/>
    <cellStyle name="Normal 2" xfId="1" xr:uid="{C30F99D4-65FC-884E-89FE-136192F6151A}"/>
    <cellStyle name="Normal 2 2" xfId="6" xr:uid="{95465CEF-7627-DE40-9B5A-08E32F8BDB93}"/>
    <cellStyle name="Normal 3" xfId="4" xr:uid="{83D9F494-B293-9D42-AA03-96C92B797320}"/>
    <cellStyle name="Normal 4" xfId="5" xr:uid="{772C0568-7DE3-E643-9522-7CCF6FF85529}"/>
  </cellStyles>
  <dxfs count="50">
    <dxf>
      <numFmt numFmtId="168" formatCode="m/d/yy\ h:mm"/>
    </dxf>
    <dxf>
      <numFmt numFmtId="0" formatCode="General"/>
    </dxf>
    <dxf>
      <numFmt numFmtId="0" formatCode="General"/>
    </dxf>
    <dxf>
      <numFmt numFmtId="0" formatCode="General"/>
    </dxf>
    <dxf>
      <numFmt numFmtId="0" formatCode="General"/>
    </dxf>
    <dxf>
      <numFmt numFmtId="164" formatCode="h:mm;@"/>
    </dxf>
    <dxf>
      <numFmt numFmtId="169" formatCode="m/d/yy"/>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2"/>
        <color auto="1"/>
        <name val="Calibri"/>
        <family val="2"/>
        <scheme val="minor"/>
      </font>
      <fill>
        <patternFill patternType="none">
          <fgColor indexed="64"/>
          <bgColor auto="1"/>
        </patternFill>
      </fill>
    </dxf>
    <dxf>
      <font>
        <strike val="0"/>
        <outline val="0"/>
        <shadow val="0"/>
        <u val="none"/>
        <vertAlign val="baseline"/>
        <sz val="12"/>
        <color auto="1"/>
        <name val="Calibri"/>
        <family val="2"/>
        <scheme val="minor"/>
      </font>
      <fill>
        <patternFill patternType="none">
          <fgColor indexed="64"/>
          <bgColor auto="1"/>
        </patternFill>
      </fill>
    </dxf>
    <dxf>
      <font>
        <strike val="0"/>
        <outline val="0"/>
        <shadow val="0"/>
        <u val="none"/>
        <vertAlign val="baseline"/>
        <sz val="12"/>
        <color auto="1"/>
        <name val="Calibri"/>
        <family val="2"/>
        <scheme val="minor"/>
      </font>
      <fill>
        <patternFill patternType="none">
          <fgColor indexed="64"/>
          <bgColor auto="1"/>
        </patternFill>
      </fill>
    </dxf>
    <dxf>
      <font>
        <strike val="0"/>
        <outline val="0"/>
        <shadow val="0"/>
        <u val="none"/>
        <vertAlign val="baseline"/>
        <sz val="12"/>
        <color auto="1"/>
        <name val="Calibri"/>
        <family val="2"/>
        <scheme val="minor"/>
      </font>
      <fill>
        <patternFill patternType="none">
          <fgColor indexed="64"/>
          <bgColor auto="1"/>
        </patternFill>
      </fill>
    </dxf>
    <dxf>
      <font>
        <color rgb="FF9C0006"/>
      </font>
      <fill>
        <patternFill>
          <bgColor rgb="FFFFC7CE"/>
        </patternFill>
      </fill>
    </dxf>
    <dxf>
      <font>
        <color theme="1"/>
      </font>
      <fill>
        <patternFill>
          <bgColor theme="0"/>
        </patternFill>
      </fill>
      <border>
        <left/>
        <right/>
        <top/>
        <bottom/>
        <vertical/>
        <horizontal/>
      </border>
    </dxf>
    <dxf>
      <font>
        <color theme="1"/>
      </font>
      <fill>
        <patternFill>
          <bgColor theme="0" tint="-0.14996795556505021"/>
        </patternFill>
      </fill>
      <border>
        <vertical/>
        <horizontal/>
      </border>
    </dxf>
    <dxf>
      <fill>
        <patternFill>
          <bgColor theme="2"/>
        </patternFill>
      </fill>
      <border>
        <left style="thin">
          <color auto="1"/>
        </left>
        <right style="thin">
          <color auto="1"/>
        </right>
        <top style="thin">
          <color auto="1"/>
        </top>
        <bottom style="thin">
          <color auto="1"/>
        </bottom>
        <vertical/>
        <horizontal/>
      </border>
    </dxf>
    <dxf>
      <fill>
        <patternFill>
          <bgColor theme="2"/>
        </patternFill>
      </fill>
      <border>
        <left style="thin">
          <color auto="1"/>
        </left>
        <right style="thin">
          <color auto="1"/>
        </right>
        <top style="thin">
          <color auto="1"/>
        </top>
        <bottom style="thin">
          <color auto="1"/>
        </bottom>
        <vertical/>
        <horizontal/>
      </border>
    </dxf>
    <dxf>
      <font>
        <color theme="1"/>
      </font>
    </dxf>
    <dxf>
      <font>
        <color theme="1"/>
      </font>
      <fill>
        <patternFill>
          <bgColor theme="2"/>
        </patternFill>
      </fill>
      <border>
        <left style="thin">
          <color auto="1"/>
        </left>
        <right style="thin">
          <color auto="1"/>
        </right>
        <top style="thin">
          <color auto="1"/>
        </top>
        <bottom style="thin">
          <color auto="1"/>
        </bottom>
        <vertical/>
        <horizontal/>
      </border>
    </dxf>
    <dxf>
      <font>
        <color theme="1"/>
      </font>
      <fill>
        <patternFill>
          <bgColor theme="2"/>
        </patternFill>
      </fill>
      <border>
        <left style="thin">
          <color auto="1"/>
        </left>
        <right style="thin">
          <color auto="1"/>
        </right>
        <top style="thin">
          <color auto="1"/>
        </top>
        <bottom style="thin">
          <color auto="1"/>
        </bottom>
        <vertical/>
        <horizontal/>
      </border>
    </dxf>
    <dxf>
      <font>
        <color theme="1"/>
      </font>
    </dxf>
    <dxf>
      <font>
        <color rgb="FF9C0006"/>
      </font>
      <fill>
        <patternFill>
          <bgColor rgb="FFFFC7CE"/>
        </patternFill>
      </fill>
    </dxf>
    <dxf>
      <font>
        <color theme="1"/>
      </font>
      <fill>
        <patternFill>
          <bgColor theme="2"/>
        </patternFill>
      </fill>
      <border>
        <left style="thin">
          <color auto="1"/>
        </left>
        <right style="thin">
          <color auto="1"/>
        </right>
        <top style="thin">
          <color auto="1"/>
        </top>
        <bottom style="thin">
          <color auto="1"/>
        </bottom>
        <vertical/>
        <horizontal/>
      </border>
    </dxf>
    <dxf>
      <font>
        <color theme="1"/>
      </font>
      <fill>
        <patternFill>
          <bgColor theme="2"/>
        </patternFill>
      </fill>
      <border>
        <left style="thin">
          <color auto="1"/>
        </left>
        <right style="thin">
          <color auto="1"/>
        </right>
        <top style="thin">
          <color auto="1"/>
        </top>
        <bottom style="thin">
          <color auto="1"/>
        </bottom>
        <vertical/>
        <horizontal/>
      </border>
    </dxf>
    <dxf>
      <font>
        <color theme="1"/>
      </font>
    </dxf>
    <dxf>
      <font>
        <color rgb="FF9C0006"/>
      </font>
      <fill>
        <patternFill>
          <bgColor rgb="FFFFC7CE"/>
        </patternFill>
      </fill>
    </dxf>
    <dxf>
      <font>
        <color theme="1"/>
      </font>
      <fill>
        <patternFill>
          <bgColor rgb="FFE8E6E6"/>
        </patternFill>
      </fill>
      <border>
        <left style="thin">
          <color theme="0"/>
        </left>
        <right style="thin">
          <color theme="0"/>
        </right>
        <top style="thin">
          <color theme="0"/>
        </top>
        <bottom style="thin">
          <color theme="0"/>
        </bottom>
      </border>
    </dxf>
    <dxf>
      <font>
        <b/>
        <i val="0"/>
      </font>
    </dxf>
    <dxf>
      <font>
        <b/>
        <i val="0"/>
      </font>
    </dxf>
    <dxf>
      <font>
        <color rgb="FF9C0006"/>
      </font>
      <fill>
        <patternFill>
          <bgColor rgb="FFFFC7CE"/>
        </patternFill>
      </fill>
    </dxf>
    <dxf>
      <font>
        <b/>
        <i val="0"/>
      </font>
    </dxf>
    <dxf>
      <font>
        <color rgb="FF9C0006"/>
      </font>
      <fill>
        <patternFill>
          <bgColor rgb="FFFFC7CE"/>
        </patternFill>
      </fill>
    </dxf>
    <dxf>
      <font>
        <b/>
        <i val="0"/>
      </font>
    </dxf>
    <dxf>
      <fill>
        <patternFill>
          <bgColor rgb="FFBFBFBF"/>
        </patternFill>
      </fill>
    </dxf>
    <dxf>
      <fill>
        <patternFill>
          <bgColor rgb="FFBFBFBF"/>
        </patternFill>
      </fill>
      <border>
        <left/>
        <right/>
        <top/>
        <bottom/>
        <vertical/>
        <horizontal/>
      </border>
    </dxf>
    <dxf>
      <fill>
        <patternFill>
          <bgColor rgb="FFBFBFBF"/>
        </patternFill>
      </fill>
    </dxf>
    <dxf>
      <fill>
        <patternFill>
          <bgColor rgb="FFBFBFBF"/>
        </patternFill>
      </fill>
    </dxf>
    <dxf>
      <font>
        <b/>
        <i val="0"/>
      </font>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theme="1"/>
      </font>
      <fill>
        <patternFill>
          <bgColor theme="0"/>
        </patternFill>
      </fill>
      <border diagonalUp="0" diagonalDown="0">
        <left/>
        <right/>
        <top/>
        <bottom/>
        <vertical/>
        <horizontal/>
      </border>
    </dxf>
    <dxf>
      <font>
        <color theme="1"/>
      </font>
      <fill>
        <patternFill>
          <bgColor theme="0" tint="-0.14996795556505021"/>
        </patternFill>
      </fill>
      <border diagonalUp="0" diagonalDown="0">
        <left/>
        <right/>
        <top/>
        <bottom/>
        <vertical/>
        <horizontal/>
      </border>
    </dxf>
    <dxf>
      <font>
        <color theme="0"/>
      </font>
      <fill>
        <patternFill>
          <bgColor theme="1"/>
        </patternFill>
      </fill>
    </dxf>
  </dxfs>
  <tableStyles count="1" defaultTableStyle="TableStyleMedium2" defaultPivotStyle="PivotStyleLight16">
    <tableStyle name="Estilo de tabla 1" pivot="0" count="3" xr9:uid="{7A1A1FF9-0220-D746-B5C1-81E9236EAD48}">
      <tableStyleElement type="headerRow" dxfId="49"/>
      <tableStyleElement type="firstRowStripe" dxfId="48"/>
      <tableStyleElement type="secondRowStripe" dxfId="47"/>
    </tableStyle>
  </tableStyles>
  <colors>
    <mruColors>
      <color rgb="FFFFF2CC"/>
      <color rgb="FFD9D9D9"/>
      <color rgb="FFE8E6E6"/>
      <color rgb="FFE9E6E6"/>
      <color rgb="FFBFBFBF"/>
      <color rgb="FFFFC1C0"/>
      <color rgb="FFACB9CA"/>
      <color rgb="FFF8CBAD"/>
      <color rgb="FFBDD8EF"/>
      <color rgb="FFC6E1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hyperlink" Target="https://www.linkedin.com/in/matejero" TargetMode="External"/></Relationships>
</file>

<file path=xl/drawings/_rels/drawing2.xml.rels><?xml version="1.0" encoding="UTF-8" standalone="yes"?>
<Relationships xmlns="http://schemas.openxmlformats.org/package/2006/relationships"><Relationship Id="rId1" Type="http://schemas.openxmlformats.org/officeDocument/2006/relationships/hyperlink" Target="https://es.wikipedia.org/wiki/Archivo:Flag_of_France_(1794%E2%80%931815,_1830%E2%80%931974).svg"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https://es.wikipedia.org/wiki/Archivo:Flag_of_France_(1794%E2%80%931815,_1830%E2%80%931974).svg" TargetMode="External"/></Relationships>
</file>

<file path=xl/drawings/drawing1.xml><?xml version="1.0" encoding="utf-8"?>
<xdr:wsDr xmlns:xdr="http://schemas.openxmlformats.org/drawingml/2006/spreadsheetDrawing" xmlns:a="http://schemas.openxmlformats.org/drawingml/2006/main">
  <xdr:twoCellAnchor>
    <xdr:from>
      <xdr:col>6</xdr:col>
      <xdr:colOff>12700</xdr:colOff>
      <xdr:row>17</xdr:row>
      <xdr:rowOff>171450</xdr:rowOff>
    </xdr:from>
    <xdr:to>
      <xdr:col>7</xdr:col>
      <xdr:colOff>11112</xdr:colOff>
      <xdr:row>20</xdr:row>
      <xdr:rowOff>19050</xdr:rowOff>
    </xdr:to>
    <xdr:sp macro="" textlink="">
      <xdr:nvSpPr>
        <xdr:cNvPr id="2" name="Rectángulo redondeado 5">
          <a:hlinkClick xmlns:r="http://schemas.openxmlformats.org/officeDocument/2006/relationships" r:id="rId1"/>
          <a:extLst>
            <a:ext uri="{FF2B5EF4-FFF2-40B4-BE49-F238E27FC236}">
              <a16:creationId xmlns:a16="http://schemas.microsoft.com/office/drawing/2014/main" id="{8F1DC133-E1E6-B743-9B2C-DE833A70FC33}"/>
            </a:ext>
          </a:extLst>
        </xdr:cNvPr>
        <xdr:cNvSpPr/>
      </xdr:nvSpPr>
      <xdr:spPr>
        <a:xfrm>
          <a:off x="6337300" y="3498850"/>
          <a:ext cx="3109912" cy="431800"/>
        </a:xfrm>
        <a:prstGeom prst="roundRect">
          <a:avLst/>
        </a:prstGeom>
        <a:noFill/>
        <a:ln>
          <a:solidFill>
            <a:srgbClr val="04123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100" b="1" baseline="0">
              <a:solidFill>
                <a:srgbClr val="04123B"/>
              </a:solidFill>
            </a:rPr>
            <a:t>© </a:t>
          </a:r>
          <a:r>
            <a:rPr lang="es-ES" sz="1100" b="0" baseline="0">
              <a:solidFill>
                <a:srgbClr val="04123B"/>
              </a:solidFill>
              <a:effectLst/>
              <a:latin typeface="+mn-lt"/>
              <a:ea typeface="+mn-ea"/>
              <a:cs typeface="+mn-cs"/>
            </a:rPr>
            <a:t>Miguel Angel Tejero. 2025</a:t>
          </a:r>
        </a:p>
      </xdr:txBody>
    </xdr:sp>
    <xdr:clientData/>
  </xdr:twoCellAnchor>
  <xdr:twoCellAnchor editAs="oneCell">
    <xdr:from>
      <xdr:col>3</xdr:col>
      <xdr:colOff>135432</xdr:colOff>
      <xdr:row>4</xdr:row>
      <xdr:rowOff>139700</xdr:rowOff>
    </xdr:from>
    <xdr:to>
      <xdr:col>5</xdr:col>
      <xdr:colOff>835049</xdr:colOff>
      <xdr:row>20</xdr:row>
      <xdr:rowOff>50800</xdr:rowOff>
    </xdr:to>
    <xdr:pic>
      <xdr:nvPicPr>
        <xdr:cNvPr id="4" name="Imagen 3">
          <a:extLst>
            <a:ext uri="{FF2B5EF4-FFF2-40B4-BE49-F238E27FC236}">
              <a16:creationId xmlns:a16="http://schemas.microsoft.com/office/drawing/2014/main" id="{349C6663-132E-3B44-A93E-C371FDA2B8D7}"/>
            </a:ext>
          </a:extLst>
        </xdr:cNvPr>
        <xdr:cNvPicPr>
          <a:picLocks noChangeAspect="1"/>
        </xdr:cNvPicPr>
      </xdr:nvPicPr>
      <xdr:blipFill>
        <a:blip xmlns:r="http://schemas.openxmlformats.org/officeDocument/2006/relationships" r:embed="rId2"/>
        <a:stretch>
          <a:fillRect/>
        </a:stretch>
      </xdr:blipFill>
      <xdr:spPr>
        <a:xfrm>
          <a:off x="3843832" y="901700"/>
          <a:ext cx="2350617" cy="3060700"/>
        </a:xfrm>
        <a:prstGeom prst="rect">
          <a:avLst/>
        </a:prstGeom>
      </xdr:spPr>
    </xdr:pic>
    <xdr:clientData/>
  </xdr:twoCellAnchor>
  <xdr:twoCellAnchor>
    <xdr:from>
      <xdr:col>3</xdr:col>
      <xdr:colOff>461188</xdr:colOff>
      <xdr:row>10</xdr:row>
      <xdr:rowOff>139700</xdr:rowOff>
    </xdr:from>
    <xdr:to>
      <xdr:col>5</xdr:col>
      <xdr:colOff>564363</xdr:colOff>
      <xdr:row>16</xdr:row>
      <xdr:rowOff>139700</xdr:rowOff>
    </xdr:to>
    <xdr:sp macro="" textlink="Idiomas!D9">
      <xdr:nvSpPr>
        <xdr:cNvPr id="5" name="CuadroTexto 4">
          <a:extLst>
            <a:ext uri="{FF2B5EF4-FFF2-40B4-BE49-F238E27FC236}">
              <a16:creationId xmlns:a16="http://schemas.microsoft.com/office/drawing/2014/main" id="{A0C46E38-995C-6D49-924E-7ED195A0C2AD}"/>
            </a:ext>
          </a:extLst>
        </xdr:cNvPr>
        <xdr:cNvSpPr txBox="1"/>
      </xdr:nvSpPr>
      <xdr:spPr>
        <a:xfrm>
          <a:off x="4169588" y="2082800"/>
          <a:ext cx="1754175" cy="11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3E22DC-7F67-9E40-B179-9FFDD8B748B8}" type="TxLink">
            <a:rPr lang="en-US" sz="1200" b="1" i="0" u="none" strike="noStrike">
              <a:solidFill>
                <a:sysClr val="windowText" lastClr="000000"/>
              </a:solidFill>
              <a:latin typeface="Calibri"/>
              <a:cs typeface="Calibri"/>
            </a:rPr>
            <a:pPr algn="ctr"/>
            <a:t>LXXI
Champions League
2025-2026</a:t>
          </a:fld>
          <a:endParaRPr lang="es-ES_tradnl" sz="28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0</xdr:colOff>
      <xdr:row>6</xdr:row>
      <xdr:rowOff>0</xdr:rowOff>
    </xdr:from>
    <xdr:to>
      <xdr:col>22</xdr:col>
      <xdr:colOff>254000</xdr:colOff>
      <xdr:row>6</xdr:row>
      <xdr:rowOff>165100</xdr:rowOff>
    </xdr:to>
    <xdr:sp macro="" textlink="">
      <xdr:nvSpPr>
        <xdr:cNvPr id="6155" name="AutoShape 11" descr="Bandera de Francia">
          <a:hlinkClick xmlns:r="http://schemas.openxmlformats.org/officeDocument/2006/relationships" r:id="rId1" tooltip="Bandera de Francia"/>
          <a:extLst>
            <a:ext uri="{FF2B5EF4-FFF2-40B4-BE49-F238E27FC236}">
              <a16:creationId xmlns:a16="http://schemas.microsoft.com/office/drawing/2014/main" id="{0496C595-341A-827C-46FF-EDF5207E261F}"/>
            </a:ext>
          </a:extLst>
        </xdr:cNvPr>
        <xdr:cNvSpPr>
          <a:spLocks noChangeAspect="1" noChangeArrowheads="1"/>
        </xdr:cNvSpPr>
      </xdr:nvSpPr>
      <xdr:spPr bwMode="auto">
        <a:xfrm>
          <a:off x="21043900" y="2413000"/>
          <a:ext cx="254000" cy="165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17</xdr:col>
      <xdr:colOff>0</xdr:colOff>
      <xdr:row>22</xdr:row>
      <xdr:rowOff>0</xdr:rowOff>
    </xdr:from>
    <xdr:ext cx="254000" cy="165100"/>
    <xdr:sp macro="" textlink="">
      <xdr:nvSpPr>
        <xdr:cNvPr id="19" name="AutoShape 11" descr="Bandera de Francia">
          <a:hlinkClick xmlns:r="http://schemas.openxmlformats.org/officeDocument/2006/relationships" r:id="rId1" tooltip="Bandera de Francia"/>
          <a:extLst>
            <a:ext uri="{FF2B5EF4-FFF2-40B4-BE49-F238E27FC236}">
              <a16:creationId xmlns:a16="http://schemas.microsoft.com/office/drawing/2014/main" id="{1CFA616B-002F-0440-BA7C-B087653BD025}"/>
            </a:ext>
          </a:extLst>
        </xdr:cNvPr>
        <xdr:cNvSpPr>
          <a:spLocks noChangeAspect="1" noChangeArrowheads="1"/>
        </xdr:cNvSpPr>
      </xdr:nvSpPr>
      <xdr:spPr bwMode="auto">
        <a:xfrm>
          <a:off x="20523200" y="1498600"/>
          <a:ext cx="2540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16</xdr:col>
      <xdr:colOff>0</xdr:colOff>
      <xdr:row>22</xdr:row>
      <xdr:rowOff>0</xdr:rowOff>
    </xdr:from>
    <xdr:ext cx="254000" cy="165100"/>
    <xdr:sp macro="" textlink="">
      <xdr:nvSpPr>
        <xdr:cNvPr id="20" name="AutoShape 11" descr="Bandera de Francia">
          <a:hlinkClick xmlns:r="http://schemas.openxmlformats.org/officeDocument/2006/relationships" r:id="rId1" tooltip="Bandera de Francia"/>
          <a:extLst>
            <a:ext uri="{FF2B5EF4-FFF2-40B4-BE49-F238E27FC236}">
              <a16:creationId xmlns:a16="http://schemas.microsoft.com/office/drawing/2014/main" id="{D313BDA6-3F5B-6D4B-952C-75A93059C503}"/>
            </a:ext>
          </a:extLst>
        </xdr:cNvPr>
        <xdr:cNvSpPr>
          <a:spLocks noChangeAspect="1" noChangeArrowheads="1"/>
        </xdr:cNvSpPr>
      </xdr:nvSpPr>
      <xdr:spPr bwMode="auto">
        <a:xfrm>
          <a:off x="15557500" y="7543800"/>
          <a:ext cx="2540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xdr:row>
      <xdr:rowOff>0</xdr:rowOff>
    </xdr:from>
    <xdr:ext cx="254000" cy="165100"/>
    <xdr:sp macro="" textlink="">
      <xdr:nvSpPr>
        <xdr:cNvPr id="21" name="AutoShape 11" descr="Bandera de Francia">
          <a:hlinkClick xmlns:r="http://schemas.openxmlformats.org/officeDocument/2006/relationships" r:id="rId1" tooltip="Bandera de Francia"/>
          <a:extLst>
            <a:ext uri="{FF2B5EF4-FFF2-40B4-BE49-F238E27FC236}">
              <a16:creationId xmlns:a16="http://schemas.microsoft.com/office/drawing/2014/main" id="{13C6A60D-85B2-B145-A269-7DCEE3D5EF5A}"/>
            </a:ext>
          </a:extLst>
        </xdr:cNvPr>
        <xdr:cNvSpPr>
          <a:spLocks noChangeAspect="1" noChangeArrowheads="1"/>
        </xdr:cNvSpPr>
      </xdr:nvSpPr>
      <xdr:spPr bwMode="auto">
        <a:xfrm>
          <a:off x="15557500" y="4737100"/>
          <a:ext cx="2540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343</xdr:row>
      <xdr:rowOff>0</xdr:rowOff>
    </xdr:from>
    <xdr:ext cx="254000" cy="165100"/>
    <xdr:sp macro="" textlink="">
      <xdr:nvSpPr>
        <xdr:cNvPr id="2" name="AutoShape 11" descr="Bandera de Francia">
          <a:hlinkClick xmlns:r="http://schemas.openxmlformats.org/officeDocument/2006/relationships" r:id="rId1" tooltip="Bandera de Francia"/>
          <a:extLst>
            <a:ext uri="{FF2B5EF4-FFF2-40B4-BE49-F238E27FC236}">
              <a16:creationId xmlns:a16="http://schemas.microsoft.com/office/drawing/2014/main" id="{9D57355C-7D96-3F47-9C64-7422C519BE90}"/>
            </a:ext>
          </a:extLst>
        </xdr:cNvPr>
        <xdr:cNvSpPr>
          <a:spLocks noChangeAspect="1" noChangeArrowheads="1"/>
        </xdr:cNvSpPr>
      </xdr:nvSpPr>
      <xdr:spPr bwMode="auto">
        <a:xfrm>
          <a:off x="15557500" y="4737100"/>
          <a:ext cx="2540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343</xdr:row>
      <xdr:rowOff>0</xdr:rowOff>
    </xdr:from>
    <xdr:ext cx="254000" cy="165100"/>
    <xdr:sp macro="" textlink="">
      <xdr:nvSpPr>
        <xdr:cNvPr id="3" name="AutoShape 11" descr="Bandera de Francia">
          <a:hlinkClick xmlns:r="http://schemas.openxmlformats.org/officeDocument/2006/relationships" r:id="rId1" tooltip="Bandera de Francia"/>
          <a:extLst>
            <a:ext uri="{FF2B5EF4-FFF2-40B4-BE49-F238E27FC236}">
              <a16:creationId xmlns:a16="http://schemas.microsoft.com/office/drawing/2014/main" id="{4D64735C-4F0D-D746-B1B0-A66ECFA5B528}"/>
            </a:ext>
          </a:extLst>
        </xdr:cNvPr>
        <xdr:cNvSpPr>
          <a:spLocks noChangeAspect="1" noChangeArrowheads="1"/>
        </xdr:cNvSpPr>
      </xdr:nvSpPr>
      <xdr:spPr bwMode="auto">
        <a:xfrm>
          <a:off x="6769100" y="58445400"/>
          <a:ext cx="2540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343</xdr:row>
      <xdr:rowOff>0</xdr:rowOff>
    </xdr:from>
    <xdr:ext cx="254000" cy="165100"/>
    <xdr:sp macro="" textlink="">
      <xdr:nvSpPr>
        <xdr:cNvPr id="4" name="AutoShape 11" descr="Bandera de Francia">
          <a:hlinkClick xmlns:r="http://schemas.openxmlformats.org/officeDocument/2006/relationships" r:id="rId1" tooltip="Bandera de Francia"/>
          <a:extLst>
            <a:ext uri="{FF2B5EF4-FFF2-40B4-BE49-F238E27FC236}">
              <a16:creationId xmlns:a16="http://schemas.microsoft.com/office/drawing/2014/main" id="{50FB1FFD-BBE2-4B41-8F02-7640A277DFDC}"/>
            </a:ext>
          </a:extLst>
        </xdr:cNvPr>
        <xdr:cNvSpPr>
          <a:spLocks noChangeAspect="1" noChangeArrowheads="1"/>
        </xdr:cNvSpPr>
      </xdr:nvSpPr>
      <xdr:spPr bwMode="auto">
        <a:xfrm>
          <a:off x="6769100" y="61899800"/>
          <a:ext cx="2540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343</xdr:row>
      <xdr:rowOff>0</xdr:rowOff>
    </xdr:from>
    <xdr:ext cx="254000" cy="165100"/>
    <xdr:sp macro="" textlink="">
      <xdr:nvSpPr>
        <xdr:cNvPr id="5" name="AutoShape 11" descr="Bandera de Francia">
          <a:hlinkClick xmlns:r="http://schemas.openxmlformats.org/officeDocument/2006/relationships" r:id="rId1" tooltip="Bandera de Francia"/>
          <a:extLst>
            <a:ext uri="{FF2B5EF4-FFF2-40B4-BE49-F238E27FC236}">
              <a16:creationId xmlns:a16="http://schemas.microsoft.com/office/drawing/2014/main" id="{A77B7BF1-4C6B-CE42-BE5F-41D2AB86534E}"/>
            </a:ext>
          </a:extLst>
        </xdr:cNvPr>
        <xdr:cNvSpPr>
          <a:spLocks noChangeAspect="1" noChangeArrowheads="1"/>
        </xdr:cNvSpPr>
      </xdr:nvSpPr>
      <xdr:spPr bwMode="auto">
        <a:xfrm>
          <a:off x="5448300" y="61899800"/>
          <a:ext cx="2540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343</xdr:row>
      <xdr:rowOff>0</xdr:rowOff>
    </xdr:from>
    <xdr:ext cx="254000" cy="165100"/>
    <xdr:sp macro="" textlink="">
      <xdr:nvSpPr>
        <xdr:cNvPr id="6" name="AutoShape 11" descr="Bandera de Francia">
          <a:hlinkClick xmlns:r="http://schemas.openxmlformats.org/officeDocument/2006/relationships" r:id="rId1" tooltip="Bandera de Francia"/>
          <a:extLst>
            <a:ext uri="{FF2B5EF4-FFF2-40B4-BE49-F238E27FC236}">
              <a16:creationId xmlns:a16="http://schemas.microsoft.com/office/drawing/2014/main" id="{BFE28AB8-2067-094F-B02F-FAF55EC8BE96}"/>
            </a:ext>
          </a:extLst>
        </xdr:cNvPr>
        <xdr:cNvSpPr>
          <a:spLocks noChangeAspect="1" noChangeArrowheads="1"/>
        </xdr:cNvSpPr>
      </xdr:nvSpPr>
      <xdr:spPr bwMode="auto">
        <a:xfrm>
          <a:off x="6769100" y="63881000"/>
          <a:ext cx="2540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343</xdr:row>
      <xdr:rowOff>0</xdr:rowOff>
    </xdr:from>
    <xdr:ext cx="254000" cy="165100"/>
    <xdr:sp macro="" textlink="">
      <xdr:nvSpPr>
        <xdr:cNvPr id="7" name="AutoShape 11" descr="Bandera de Francia">
          <a:hlinkClick xmlns:r="http://schemas.openxmlformats.org/officeDocument/2006/relationships" r:id="rId1" tooltip="Bandera de Francia"/>
          <a:extLst>
            <a:ext uri="{FF2B5EF4-FFF2-40B4-BE49-F238E27FC236}">
              <a16:creationId xmlns:a16="http://schemas.microsoft.com/office/drawing/2014/main" id="{89DA3E94-E2FB-5A44-9087-EBFEF3334FAF}"/>
            </a:ext>
          </a:extLst>
        </xdr:cNvPr>
        <xdr:cNvSpPr>
          <a:spLocks noChangeAspect="1" noChangeArrowheads="1"/>
        </xdr:cNvSpPr>
      </xdr:nvSpPr>
      <xdr:spPr bwMode="auto">
        <a:xfrm>
          <a:off x="5448300" y="63881000"/>
          <a:ext cx="2540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BC8EA42A-EC12-4EFB-A57D-4383DE3B7D5D}" autoFormatId="16" applyNumberFormats="0" applyBorderFormats="0" applyFontFormats="0" applyPatternFormats="0" applyAlignmentFormats="0" applyWidthHeightFormats="0">
  <queryTableRefresh nextId="13">
    <queryTableFields count="12">
      <queryTableField id="1" name="R" tableColumnId="1"/>
      <queryTableField id="2" name="Date" tableColumnId="2"/>
      <queryTableField id="3" name="Hour" tableColumnId="3"/>
      <queryTableField id="4" name="Home" tableColumnId="4"/>
      <queryTableField id="5" name="Badge" tableColumnId="5"/>
      <queryTableField id="6" name="P" tableColumnId="6"/>
      <queryTableField id="7" name="Goals" tableColumnId="7"/>
      <queryTableField id="8" name="Goals_1" tableColumnId="8"/>
      <queryTableField id="9" name="P_2" tableColumnId="9"/>
      <queryTableField id="10" name="Badge_3" tableColumnId="10"/>
      <queryTableField id="11" name="Away" tableColumnId="11"/>
      <queryTableField id="12" name="FechaHora" tableColumnId="12"/>
    </queryTableFields>
  </queryTableRefresh>
</queryTable>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3">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14</v>
    <v>6</v>
  </rv>
  <rv s="0">
    <v>29</v>
    <v>4</v>
  </rv>
  <rv s="0">
    <v>30</v>
    <v>4</v>
  </rv>
  <rv s="0">
    <v>31</v>
    <v>4</v>
  </rv>
  <rv s="0">
    <v>32</v>
    <v>4</v>
  </rv>
  <rv s="0">
    <v>33</v>
    <v>4</v>
  </rv>
  <rv s="0">
    <v>34</v>
    <v>4</v>
  </rv>
  <rv s="0">
    <v>35</v>
    <v>4</v>
  </rv>
  <rv s="0">
    <v>21</v>
    <v>5</v>
  </rv>
  <rv s="0">
    <v>1</v>
    <v>5</v>
  </rv>
  <rv s="0">
    <v>27</v>
    <v>5</v>
  </rv>
  <rv s="0">
    <v>0</v>
    <v>5</v>
  </rv>
  <rv s="0">
    <v>25</v>
    <v>5</v>
  </rv>
  <rv s="0">
    <v>23</v>
    <v>5</v>
  </rv>
  <rv s="0">
    <v>30</v>
    <v>5</v>
  </rv>
  <rv s="0">
    <v>4</v>
    <v>5</v>
  </rv>
  <rv s="0">
    <v>10</v>
    <v>5</v>
  </rv>
  <rv s="0">
    <v>19</v>
    <v>5</v>
  </rv>
  <rv s="0">
    <v>6</v>
    <v>5</v>
  </rv>
  <rv s="0">
    <v>28</v>
    <v>5</v>
  </rv>
  <rv s="0">
    <v>20</v>
    <v>6</v>
  </rv>
  <rv s="0">
    <v>29</v>
    <v>5</v>
  </rv>
  <rv s="0">
    <v>31</v>
    <v>5</v>
  </rv>
  <rv s="0">
    <v>32</v>
    <v>5</v>
  </rv>
  <rv s="0">
    <v>22</v>
    <v>5</v>
  </rv>
  <rv s="0">
    <v>5</v>
    <v>5</v>
  </rv>
  <rv s="0">
    <v>34</v>
    <v>5</v>
  </rv>
  <rv s="0">
    <v>9</v>
    <v>5</v>
  </rv>
  <rv s="0">
    <v>26</v>
    <v>5</v>
  </rv>
  <rv s="0">
    <v>8</v>
    <v>5</v>
  </rv>
  <rv s="0">
    <v>35</v>
    <v>5</v>
  </rv>
  <rv s="0">
    <v>33</v>
    <v>5</v>
  </rv>
  <rv s="0">
    <v>17</v>
    <v>5</v>
  </rv>
  <rv s="0">
    <v>15</v>
    <v>5</v>
  </rv>
  <rv s="0">
    <v>16</v>
    <v>5</v>
  </rv>
  <rv s="0">
    <v>14</v>
    <v>5</v>
  </rv>
  <rv s="0">
    <v>2</v>
    <v>5</v>
  </rv>
  <rv s="0">
    <v>11</v>
    <v>5</v>
  </rv>
  <rv s="0">
    <v>7</v>
    <v>5</v>
  </rv>
  <rv s="0">
    <v>18</v>
    <v>5</v>
  </rv>
  <rv s="0">
    <v>24</v>
    <v>5</v>
  </rv>
  <rv s="0">
    <v>12</v>
    <v>5</v>
  </rv>
  <rv s="0">
    <v>3</v>
    <v>5</v>
  </rv>
  <rv s="0">
    <v>13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ichValueRel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0853B4-4369-C147-BF5B-14D28898A29C}" name="TablaEquipos" displayName="TablaEquipos" ref="A1:B37" totalsRowShown="0" headerRowDxfId="15" dataDxfId="14">
  <tableColumns count="2">
    <tableColumn id="1" xr3:uid="{076CA2B8-6604-BA4A-9306-CB7DCC15539A}" name="Team" dataDxfId="13">
      <calculatedColumnFormula>Idiomas!D323</calculatedColumnFormula>
    </tableColumn>
    <tableColumn id="4" xr3:uid="{F7CD3A6D-A64E-9142-A856-C0FF1F6100FA}" name="Badge"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1AC9EB-481C-47C9-87E6-AF868C2F81DE}" name="CHL" displayName="CHL" ref="A1:L202" tableType="queryTable" totalsRowShown="0">
  <autoFilter ref="A1:L202" xr:uid="{001AC9EB-481C-47C9-87E6-AF868C2F81DE}"/>
  <tableColumns count="12">
    <tableColumn id="1" xr3:uid="{6ED52DB6-027B-4255-AEBE-906BCB125943}" uniqueName="1" name="R" queryTableFieldId="1"/>
    <tableColumn id="2" xr3:uid="{48AE53B9-6670-4CF9-B52F-9B656B90C5E7}" uniqueName="2" name="Date" queryTableFieldId="2" dataDxfId="6"/>
    <tableColumn id="3" xr3:uid="{5E5A78E6-F570-43D1-8D8B-D20FF12532C8}" uniqueName="3" name="Hour" queryTableFieldId="3" dataDxfId="5"/>
    <tableColumn id="4" xr3:uid="{DFC5C883-5191-4DA4-A4A0-2368D50B843F}" uniqueName="4" name="Home" queryTableFieldId="4"/>
    <tableColumn id="5" xr3:uid="{6D7149FA-96C2-496E-B722-FEA9E2977610}" uniqueName="5" name="Badge" queryTableFieldId="5" dataDxfId="4"/>
    <tableColumn id="6" xr3:uid="{B5AF3928-AC2D-42A5-B80A-61EE76CF8691}" uniqueName="6" name="P" queryTableFieldId="6" dataDxfId="3"/>
    <tableColumn id="7" xr3:uid="{7648DE0F-94AA-41FE-A5AA-286FBE81623F}" uniqueName="7" name="Goals" queryTableFieldId="7"/>
    <tableColumn id="8" xr3:uid="{ABE5A0AB-02E7-49D3-A129-0CC0EB6FF45A}" uniqueName="8" name="Goals_1" queryTableFieldId="8"/>
    <tableColumn id="9" xr3:uid="{7C530737-A8C5-4B08-8179-DA70CB83ED18}" uniqueName="9" name="P_2" queryTableFieldId="9" dataDxfId="2"/>
    <tableColumn id="10" xr3:uid="{59E096D7-52D9-4498-9AD2-950F67E64E66}" uniqueName="10" name="Badge_3" queryTableFieldId="10" dataDxfId="1"/>
    <tableColumn id="11" xr3:uid="{D2497355-B75A-4DC4-8AAB-09440945FB00}" uniqueName="11" name="Away" queryTableFieldId="11"/>
    <tableColumn id="12" xr3:uid="{398330B8-99D4-4DF0-8DB0-6039DB13BB65}" uniqueName="12" name="FechaHora"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9AB25B3-1932-6F41-B4C6-6E9B0F32A3CB}">
  <we:reference id="wa200005502" version="1.0.0.11" store="es-ES" storeType="OMEX"/>
  <we:alternateReferences>
    <we:reference id="wa200005502" version="1.0.0.11" store="" storeType="OMEX"/>
  </we:alternateReferences>
  <we:properties>
    <we:property name="docId" value="&quot;xeV3Td_8u2X9vxVpjGtRJ&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matejero.es/excel-copa-libertadores/" TargetMode="External"/><Relationship Id="rId13" Type="http://schemas.openxmlformats.org/officeDocument/2006/relationships/hyperlink" Target="https://matejero.es/download/calendario-2a-division-25-26-excel" TargetMode="External"/><Relationship Id="rId3" Type="http://schemas.openxmlformats.org/officeDocument/2006/relationships/hyperlink" Target="https://matejero.es/excel-porra-mundial/" TargetMode="External"/><Relationship Id="rId7" Type="http://schemas.openxmlformats.org/officeDocument/2006/relationships/hyperlink" Target="https://matejero.com/europa-league-excel-schedule/" TargetMode="External"/><Relationship Id="rId12" Type="http://schemas.openxmlformats.org/officeDocument/2006/relationships/hyperlink" Target="https://matejero.es/download/excel-liga-25-26/" TargetMode="External"/><Relationship Id="rId2" Type="http://schemas.openxmlformats.org/officeDocument/2006/relationships/hyperlink" Target="https://matejero.es/excel-porra-mundial/" TargetMode="External"/><Relationship Id="rId16" Type="http://schemas.openxmlformats.org/officeDocument/2006/relationships/drawing" Target="../drawings/drawing1.xml"/><Relationship Id="rId1" Type="http://schemas.openxmlformats.org/officeDocument/2006/relationships/hyperlink" Target="https://matejero.es/excel-champions-league/"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calendario-excel-liga/" TargetMode="External"/><Relationship Id="rId5" Type="http://schemas.openxmlformats.org/officeDocument/2006/relationships/hyperlink" Target="https://matejero.com/premier-league-excel-schedule/" TargetMode="External"/><Relationship Id="rId15" Type="http://schemas.openxmlformats.org/officeDocument/2006/relationships/hyperlink" Target="https://matejero.es/download/calendario-ligaf-25-26-excel" TargetMode="External"/><Relationship Id="rId10" Type="http://schemas.openxmlformats.org/officeDocument/2006/relationships/hyperlink" Target="https://matejero.com/conference-league-excel-schedule/" TargetMode="External"/><Relationship Id="rId4" Type="http://schemas.openxmlformats.org/officeDocument/2006/relationships/hyperlink" Target="https://matejero.com/world-cup-excel-sweepstake/" TargetMode="External"/><Relationship Id="rId9" Type="http://schemas.openxmlformats.org/officeDocument/2006/relationships/hyperlink" Target="https://matejero.es/excel-conference-league/" TargetMode="External"/><Relationship Id="rId14" Type="http://schemas.openxmlformats.org/officeDocument/2006/relationships/hyperlink" Target="https://matejero.es/download/calendario-1a-federacion-grupo-1-25-26-excel"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atejero.es/puntuaciones-excel-champions-league/" TargetMode="External"/><Relationship Id="rId1" Type="http://schemas.openxmlformats.org/officeDocument/2006/relationships/hyperlink" Target="https://matejero.es/puntuaciones-excel-champions-leagu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matejero.es/excel-conference-league/" TargetMode="External"/><Relationship Id="rId13" Type="http://schemas.openxmlformats.org/officeDocument/2006/relationships/hyperlink" Target="https://matejero.es/download/calendario-1a-federacion-grupo-1-25-26-excel" TargetMode="External"/><Relationship Id="rId3" Type="http://schemas.openxmlformats.org/officeDocument/2006/relationships/hyperlink" Target="https://matejero.com/world-cup-excel-sweepstake/" TargetMode="External"/><Relationship Id="rId7" Type="http://schemas.openxmlformats.org/officeDocument/2006/relationships/hyperlink" Target="https://matejero.es/excel-copa-libertadores/" TargetMode="External"/><Relationship Id="rId12" Type="http://schemas.openxmlformats.org/officeDocument/2006/relationships/hyperlink" Target="https://matejero.es/download/calendario-2a-division-25-26-excel" TargetMode="External"/><Relationship Id="rId2" Type="http://schemas.openxmlformats.org/officeDocument/2006/relationships/hyperlink" Target="https://matejero.es/excel-porra-mundial/"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europa-league-excel-schedule/" TargetMode="External"/><Relationship Id="rId11" Type="http://schemas.openxmlformats.org/officeDocument/2006/relationships/hyperlink" Target="https://matejero.es/download/excel-liga-25-26/" TargetMode="External"/><Relationship Id="rId5" Type="http://schemas.openxmlformats.org/officeDocument/2006/relationships/hyperlink" Target="https://matejero.es/excel-champions-league/" TargetMode="External"/><Relationship Id="rId10" Type="http://schemas.openxmlformats.org/officeDocument/2006/relationships/hyperlink" Target="https://matejero.es/calendario-excel-liga/"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com/conference-league-excel-schedule/" TargetMode="External"/><Relationship Id="rId14" Type="http://schemas.openxmlformats.org/officeDocument/2006/relationships/hyperlink" Target="https://matejero.es/download/calendario-ligaf-25-26-excel"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hyperlink" Target="https://matejero.com/excel-euro-administrator" TargetMode="External"/><Relationship Id="rId2" Type="http://schemas.openxmlformats.org/officeDocument/2006/relationships/hyperlink" Target="https://matejero.com/scoring-system-excel-euro-2024/" TargetMode="External"/><Relationship Id="rId1" Type="http://schemas.openxmlformats.org/officeDocument/2006/relationships/hyperlink" Target="https://matejero.es/puntuaciones-excel-euro-2024/" TargetMode="External"/><Relationship Id="rId5" Type="http://schemas.openxmlformats.org/officeDocument/2006/relationships/drawing" Target="../drawings/drawing3.xml"/><Relationship Id="rId4" Type="http://schemas.openxmlformats.org/officeDocument/2006/relationships/hyperlink" Target="https://matejero.es/administrador-excel-eurocopa"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0D66A-A646-7E46-B661-6B379D011390}">
  <sheetPr codeName="Hoja16"/>
  <dimension ref="A2:K26"/>
  <sheetViews>
    <sheetView showGridLines="0" showRowColHeaders="0" zoomScaleNormal="100" workbookViewId="0">
      <selection activeCell="G10" sqref="G10:G11"/>
      <extLst>
        <ext xmlns:xlsdti="http://schemas.microsoft.com/office/spreadsheetml/2023/showDataTypeIcons" uri="{77bfe23e-c014-4d31-8a63-9c772dbf06b6}">
          <xlsdti:showDataTypeIcons visible="0"/>
        </ext>
      </extLst>
    </sheetView>
  </sheetViews>
  <sheetFormatPr defaultColWidth="10.875" defaultRowHeight="15"/>
  <cols>
    <col min="1" max="1" width="7" style="280" customWidth="1"/>
    <col min="2" max="3" width="20.875" style="280" customWidth="1"/>
    <col min="4" max="5" width="10.875" style="280"/>
    <col min="6" max="6" width="12.625" style="280" customWidth="1"/>
    <col min="7" max="7" width="40.875" style="280" customWidth="1"/>
    <col min="8" max="8" width="3.625" style="280" customWidth="1"/>
    <col min="9" max="9" width="35.5" style="280" customWidth="1"/>
    <col min="10" max="11" width="16.875" style="280" customWidth="1"/>
    <col min="12" max="16384" width="10.875" style="280"/>
  </cols>
  <sheetData>
    <row r="2" spans="1:11" ht="15" customHeight="1">
      <c r="B2" s="554" t="s">
        <v>0</v>
      </c>
      <c r="C2" s="554"/>
      <c r="D2" s="554"/>
      <c r="E2" s="554"/>
      <c r="F2" s="554"/>
      <c r="G2" s="554"/>
    </row>
    <row r="3" spans="1:11" ht="15" customHeight="1">
      <c r="B3" s="554"/>
      <c r="C3" s="554"/>
      <c r="D3" s="554"/>
      <c r="E3" s="554"/>
      <c r="F3" s="554"/>
      <c r="G3" s="554"/>
    </row>
    <row r="4" spans="1:11" ht="15" customHeight="1">
      <c r="B4" s="554"/>
      <c r="C4" s="554"/>
      <c r="D4" s="554"/>
      <c r="E4" s="554"/>
      <c r="F4" s="554"/>
      <c r="G4" s="554"/>
    </row>
    <row r="6" spans="1:11" ht="15" customHeight="1" thickBot="1">
      <c r="C6" s="281"/>
      <c r="I6" s="282"/>
      <c r="J6" s="283" t="s">
        <v>1</v>
      </c>
      <c r="K6">
        <v>2</v>
      </c>
    </row>
    <row r="7" spans="1:11" ht="15.95" customHeight="1">
      <c r="A7" s="284"/>
      <c r="B7" s="555" t="str">
        <f>Idiomas!D8</f>
        <v>Selecciona idioma -&gt;</v>
      </c>
      <c r="C7" s="557" t="s">
        <v>2</v>
      </c>
      <c r="G7" s="552" t="str">
        <f>Idiomas!D4</f>
        <v>Introducir resultados Fase de Liga</v>
      </c>
      <c r="I7" s="285" t="s">
        <v>3</v>
      </c>
      <c r="J7" s="285" t="s">
        <v>2</v>
      </c>
      <c r="K7" s="285" t="s">
        <v>4</v>
      </c>
    </row>
    <row r="8" spans="1:11" ht="15" customHeight="1" thickBot="1">
      <c r="A8" s="284"/>
      <c r="B8" s="556"/>
      <c r="C8" s="558"/>
      <c r="G8" s="553"/>
      <c r="I8" s="286" t="s">
        <v>5</v>
      </c>
      <c r="J8" s="287">
        <v>2</v>
      </c>
      <c r="K8" s="288">
        <v>2</v>
      </c>
    </row>
    <row r="9" spans="1:11" ht="15.95" customHeight="1" thickBot="1">
      <c r="B9" s="289"/>
      <c r="C9" s="281"/>
      <c r="I9" s="286" t="s">
        <v>6</v>
      </c>
      <c r="J9" s="287">
        <v>2</v>
      </c>
      <c r="K9" s="288">
        <v>2</v>
      </c>
    </row>
    <row r="10" spans="1:11" ht="15.95" customHeight="1">
      <c r="B10" s="555" t="str">
        <f>Idiomas!D18</f>
        <v>Selecciona Horario -&gt;</v>
      </c>
      <c r="C10" s="557" t="s">
        <v>7</v>
      </c>
      <c r="G10" s="552" t="str">
        <f>Idiomas!D5</f>
        <v>Introducir resultados Fase KO</v>
      </c>
      <c r="I10" s="286" t="s">
        <v>8</v>
      </c>
      <c r="J10" s="290">
        <v>0</v>
      </c>
      <c r="K10" s="288">
        <v>2</v>
      </c>
    </row>
    <row r="11" spans="1:11" ht="15.95" customHeight="1" thickBot="1">
      <c r="A11" s="262"/>
      <c r="B11" s="556"/>
      <c r="C11" s="558"/>
      <c r="G11" s="553"/>
      <c r="I11" s="291" t="s">
        <v>9</v>
      </c>
      <c r="J11" s="288">
        <v>2</v>
      </c>
      <c r="K11" s="292">
        <v>0</v>
      </c>
    </row>
    <row r="12" spans="1:11" ht="15.95" customHeight="1">
      <c r="B12" s="289"/>
      <c r="I12" s="291" t="s">
        <v>10</v>
      </c>
      <c r="J12" s="288">
        <v>2</v>
      </c>
      <c r="K12" s="292">
        <v>0</v>
      </c>
    </row>
    <row r="13" spans="1:11" ht="15.95" customHeight="1">
      <c r="B13" s="294" t="str">
        <f>Idiomas!D13</f>
        <v xml:space="preserve">Si en la hoja League, no ves los escudos de los equipos </v>
      </c>
      <c r="C13" s="294"/>
      <c r="G13" s="552" t="s">
        <v>11</v>
      </c>
      <c r="I13" s="291" t="s">
        <v>12</v>
      </c>
      <c r="J13" s="288">
        <v>2</v>
      </c>
      <c r="K13" s="292">
        <v>0</v>
      </c>
    </row>
    <row r="14" spans="1:11" ht="15.95" customHeight="1" thickBot="1">
      <c r="B14" s="294" t="str">
        <f>Idiomas!D14</f>
        <v>utiliza el otro archivo que venia en el archivo .zip</v>
      </c>
      <c r="C14" s="294"/>
      <c r="G14" s="553"/>
      <c r="I14" s="291" t="s">
        <v>13</v>
      </c>
      <c r="J14" s="288">
        <v>2</v>
      </c>
      <c r="K14" s="292">
        <v>0</v>
      </c>
    </row>
    <row r="15" spans="1:11" ht="15" customHeight="1">
      <c r="I15" s="286" t="s">
        <v>14</v>
      </c>
      <c r="J15" s="293">
        <v>2</v>
      </c>
      <c r="K15" s="288">
        <v>0</v>
      </c>
    </row>
    <row r="16" spans="1:11" ht="15" customHeight="1">
      <c r="G16" s="552" t="str">
        <f>Idiomas!D15</f>
        <v>Clasificación</v>
      </c>
      <c r="I16" s="286" t="str">
        <f>Idiomas!D16</f>
        <v>Excel Mundial 2026</v>
      </c>
      <c r="J16" s="295">
        <v>2</v>
      </c>
      <c r="K16" s="288">
        <v>2</v>
      </c>
    </row>
    <row r="17" spans="2:11" ht="15" customHeight="1" thickBot="1">
      <c r="G17" s="553"/>
    </row>
    <row r="18" spans="2:11" ht="15" customHeight="1" thickTop="1">
      <c r="I18" s="543" t="str">
        <f>Idiomas!D16</f>
        <v>Excel Mundial 2026</v>
      </c>
      <c r="J18" s="544"/>
      <c r="K18" s="545"/>
    </row>
    <row r="19" spans="2:11" ht="15" customHeight="1">
      <c r="I19" s="546"/>
      <c r="J19" s="547"/>
      <c r="K19" s="548"/>
    </row>
    <row r="20" spans="2:11" ht="15.95" customHeight="1" thickBot="1">
      <c r="I20" s="549"/>
      <c r="J20" s="550"/>
      <c r="K20" s="551"/>
    </row>
    <row r="22" spans="2:11" ht="15" customHeight="1">
      <c r="B22" s="280" t="s">
        <v>15</v>
      </c>
    </row>
    <row r="23" spans="2:11" ht="15" customHeight="1"/>
    <row r="24" spans="2:11" ht="15" customHeight="1"/>
    <row r="25" spans="2:11" ht="15" customHeight="1"/>
    <row r="26" spans="2:11">
      <c r="D26" s="296"/>
      <c r="E26" s="296"/>
      <c r="F26" s="296"/>
    </row>
  </sheetData>
  <sheetProtection algorithmName="SHA-512" hashValue="mR9UN92n1/aLlB67BPiHH/0SEx+BAPTkYNdxqzTcI7b6+mEGb+BYn31tWNHiNnEYNBL/UfvM/M8YmnNxcWK6Ng==" saltValue="99gwp2msGym0Ho4ZpZRsMQ==" spinCount="100000" sheet="1" objects="1" scenarios="1"/>
  <mergeCells count="10">
    <mergeCell ref="I18:K20"/>
    <mergeCell ref="G13:G14"/>
    <mergeCell ref="G16:G17"/>
    <mergeCell ref="B2:G4"/>
    <mergeCell ref="B7:B8"/>
    <mergeCell ref="C7:C8"/>
    <mergeCell ref="B10:B11"/>
    <mergeCell ref="C10:C11"/>
    <mergeCell ref="G7:G8"/>
    <mergeCell ref="G10:G11"/>
  </mergeCells>
  <conditionalFormatting sqref="J11:J14">
    <cfRule type="iconSet" priority="5">
      <iconSet iconSet="3Symbols2" showValue="0">
        <cfvo type="percent" val="0"/>
        <cfvo type="num" val="1"/>
        <cfvo type="num" val="2"/>
      </iconSet>
    </cfRule>
  </conditionalFormatting>
  <conditionalFormatting sqref="J12">
    <cfRule type="iconSet" priority="4">
      <iconSet iconSet="3Symbols2" showValue="0">
        <cfvo type="percent" val="0"/>
        <cfvo type="num" val="1"/>
        <cfvo type="num" val="2"/>
      </iconSet>
    </cfRule>
  </conditionalFormatting>
  <conditionalFormatting sqref="J13">
    <cfRule type="iconSet" priority="2">
      <iconSet iconSet="3Symbols2" showValue="0">
        <cfvo type="percent" val="0"/>
        <cfvo type="num" val="1"/>
        <cfvo type="num" val="2"/>
      </iconSet>
    </cfRule>
    <cfRule type="iconSet" priority="3">
      <iconSet iconSet="3Symbols2" showValue="0">
        <cfvo type="percent" val="0"/>
        <cfvo type="num" val="1"/>
        <cfvo type="num" val="2"/>
      </iconSet>
    </cfRule>
  </conditionalFormatting>
  <conditionalFormatting sqref="J14">
    <cfRule type="iconSet" priority="1">
      <iconSet iconSet="3Symbols2" showValue="0">
        <cfvo type="percent" val="0"/>
        <cfvo type="num" val="1"/>
        <cfvo type="num" val="2"/>
      </iconSet>
    </cfRule>
  </conditionalFormatting>
  <conditionalFormatting sqref="J9:K9">
    <cfRule type="iconSet" priority="7">
      <iconSet iconSet="3Symbols2" showValue="0">
        <cfvo type="percent" val="0"/>
        <cfvo type="num" val="1"/>
        <cfvo type="num" val="2"/>
      </iconSet>
    </cfRule>
  </conditionalFormatting>
  <conditionalFormatting sqref="J10:K10 J8:K8">
    <cfRule type="iconSet" priority="10">
      <iconSet iconSet="3Symbols2" showValue="0">
        <cfvo type="percent" val="0"/>
        <cfvo type="num" val="1"/>
        <cfvo type="num" val="2"/>
      </iconSet>
    </cfRule>
  </conditionalFormatting>
  <conditionalFormatting sqref="J15:K15 K11:K14">
    <cfRule type="iconSet" priority="6">
      <iconSet iconSet="3Symbols2" showValue="0">
        <cfvo type="percent" val="0"/>
        <cfvo type="num" val="1"/>
        <cfvo type="num" val="2"/>
      </iconSet>
    </cfRule>
  </conditionalFormatting>
  <conditionalFormatting sqref="J16:K16">
    <cfRule type="iconSet" priority="9">
      <iconSet iconSet="3Symbols2" showValue="0">
        <cfvo type="percent" val="0"/>
        <cfvo type="num" val="1"/>
        <cfvo type="num" val="2"/>
      </iconSet>
    </cfRule>
  </conditionalFormatting>
  <conditionalFormatting sqref="K6">
    <cfRule type="iconSet" priority="8">
      <iconSet iconSet="3Symbols2" showValue="0">
        <cfvo type="percent" val="0"/>
        <cfvo type="num" val="1"/>
        <cfvo type="num" val="2"/>
      </iconSet>
    </cfRule>
  </conditionalFormatting>
  <hyperlinks>
    <hyperlink ref="I18:I20" r:id="rId1" display="Excel Champions _x000b_2025-2026" xr:uid="{AE9D056E-E10F-E84D-9805-FC345BD5B9CB}"/>
    <hyperlink ref="I18:J20" r:id="rId2" display="Excel Mundial 2026" xr:uid="{96D8ECEA-816F-104F-BD8A-E29CFA325339}"/>
    <hyperlink ref="J16" r:id="rId3" display="https://matejero.es/excel-porra-mundial/" xr:uid="{B158B920-A2F8-7742-9DF9-826F87B30AC9}"/>
    <hyperlink ref="K16" r:id="rId4" display="https://matejero.com/world-cup-excel-sweepstake/" xr:uid="{2C6E4F0B-64D3-444E-9806-CD947BF8B8AE}"/>
    <hyperlink ref="K10" r:id="rId5" display="https://matejero.com/premier-league-excel-schedule/" xr:uid="{CEAED4D2-009F-2E46-BCFB-7836C31555C1}"/>
    <hyperlink ref="J8" r:id="rId6" display="https://matejero.es/excel-champions-league/" xr:uid="{843D53A1-70CE-EC43-BAF3-B2AA454C03A6}"/>
    <hyperlink ref="K8" r:id="rId7" display="https://matejero.com/europa-league-excel-schedule/" xr:uid="{57718B26-3D57-9B4C-BC16-76D16FD92D7B}"/>
    <hyperlink ref="G7:G8" location="League!G2" display="League!G2" xr:uid="{8F440E1D-6893-5842-BB4D-FDADA032E94F}"/>
    <hyperlink ref="G10:G11" location="League!G148" display="League!G148" xr:uid="{DDB15F6D-2DA5-BA4E-B25A-7D73B5980B64}"/>
    <hyperlink ref="J15" r:id="rId8" display="https://matejero.es/excel-copa-libertadores/" xr:uid="{F0F18634-752A-0942-979B-1BADE513B699}"/>
    <hyperlink ref="J9" r:id="rId9" display="https://matejero.es/excel-conference-league/" xr:uid="{66471259-D1D3-1A40-844A-1C947426D454}"/>
    <hyperlink ref="K9" r:id="rId10" display="https://matejero.com/conference-league-excel-schedule/" xr:uid="{97090BA2-CF52-9443-A713-057406BE938C}"/>
    <hyperlink ref="J11" r:id="rId11" display="https://matejero.es/calendario-excel-liga/" xr:uid="{B99C4EAF-2CD3-4F45-9587-13F9879B2427}"/>
    <hyperlink ref="J12:J14" r:id="rId12" display="https://matejero.es/download/excel-liga-25-26/" xr:uid="{5B81126E-95B5-5A4B-AA9A-A5E5A6F2AA89}"/>
    <hyperlink ref="J12" r:id="rId13" display="https://matejero.es/download/calendario-2a-division-25-26-excel" xr:uid="{8A286D3B-E141-1E45-96E3-3D421EB523D6}"/>
    <hyperlink ref="J13" r:id="rId14" display="https://matejero.es/download/calendario-1a-federacion-grupo-1-25-26-excel" xr:uid="{F63E98E3-8EC3-104C-B450-229B537524D3}"/>
    <hyperlink ref="J14" r:id="rId15" display="https://matejero.es/download/calendario-ligaf-25-26-excel" xr:uid="{2F4E1F73-A7E1-784F-8D21-9E1E568A405F}"/>
    <hyperlink ref="G13:G14" location="ADMIN!D5" display="ADMIN" xr:uid="{AA2C5C61-6F37-EA48-BF9A-B6D31F9310A6}"/>
    <hyperlink ref="G16:G17" location="CLAS!A1" display="CLAS!A1" xr:uid="{7A87E91C-2C07-9540-9663-682FB59DD402}"/>
  </hyperlinks>
  <pageMargins left="0.7" right="0.7" top="0.75" bottom="0.75" header="0.3" footer="0.3"/>
  <drawing r:id="rId16"/>
  <extLst>
    <ext xmlns:x14="http://schemas.microsoft.com/office/spreadsheetml/2009/9/main" uri="{CCE6A557-97BC-4b89-ADB6-D9C93CAAB3DF}">
      <x14:dataValidations xmlns:xm="http://schemas.microsoft.com/office/excel/2006/main" count="2">
        <x14:dataValidation type="list" allowBlank="1" showInputMessage="1" showErrorMessage="1" xr:uid="{6E7799DE-2C06-5849-AB01-2186031FA116}">
          <x14:formula1>
            <xm:f>Idiomas!$A$2:$A$3</xm:f>
          </x14:formula1>
          <xm:sqref>C7:C8</xm:sqref>
        </x14:dataValidation>
        <x14:dataValidation type="list" allowBlank="1" showInputMessage="1" showErrorMessage="1" xr:uid="{DAD186AD-ECD0-D04D-8704-5812BFF435D8}">
          <x14:formula1>
            <xm:f>Horarios!$Q$3:$Q$93</xm:f>
          </x14:formula1>
          <xm:sqref>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F82B5-5F21-F649-AA7E-F9E0647D71C0}">
  <sheetPr codeName="Hoja7"/>
  <dimension ref="A1:DD386"/>
  <sheetViews>
    <sheetView showGridLines="0" showRowColHeaders="0" tabSelected="1" topLeftCell="A111" zoomScaleNormal="100" workbookViewId="0">
      <selection activeCell="H128" sqref="H128"/>
      <extLst>
        <ext xmlns:xlsdti="http://schemas.microsoft.com/office/spreadsheetml/2023/showDataTypeIcons" uri="{77bfe23e-c014-4d31-8a63-9c772dbf06b6}">
          <xlsdti:showDataTypeIcons visible="0"/>
        </ext>
      </extLst>
    </sheetView>
  </sheetViews>
  <sheetFormatPr defaultColWidth="0" defaultRowHeight="15"/>
  <cols>
    <col min="1" max="1" width="5.375" style="12" customWidth="1"/>
    <col min="2" max="2" width="8.5" style="200" bestFit="1" customWidth="1"/>
    <col min="3" max="3" width="6" style="200" bestFit="1" customWidth="1"/>
    <col min="4" max="4" width="15.875" style="200" customWidth="1"/>
    <col min="5" max="6" width="4.375" style="12" customWidth="1"/>
    <col min="7" max="8" width="5.375" style="12" bestFit="1" customWidth="1"/>
    <col min="9" max="10" width="4.375" style="12" customWidth="1"/>
    <col min="11" max="11" width="15.875" style="12" customWidth="1"/>
    <col min="12" max="12" width="3" style="98" customWidth="1"/>
    <col min="13" max="13" width="3" style="12" customWidth="1"/>
    <col min="14" max="14" width="4.875" style="12" customWidth="1"/>
    <col min="15" max="15" width="2.875" style="12" customWidth="1"/>
    <col min="16" max="16" width="19.125" style="12" bestFit="1" customWidth="1"/>
    <col min="17" max="17" width="5.375" style="12" customWidth="1"/>
    <col min="18" max="24" width="4.875" style="12" customWidth="1"/>
    <col min="25" max="29" width="3.875" style="12" customWidth="1"/>
    <col min="30" max="31" width="4.625" style="12" bestFit="1" customWidth="1"/>
    <col min="32" max="37" width="3.875" style="12" customWidth="1"/>
    <col min="38" max="39" width="4.625" style="12" bestFit="1" customWidth="1"/>
    <col min="40" max="40" width="3.875" style="12" customWidth="1"/>
    <col min="41" max="42" width="5.375" style="12" customWidth="1"/>
    <col min="43" max="43" width="5.875" style="12" bestFit="1" customWidth="1"/>
    <col min="44" max="44" width="3" style="12" customWidth="1"/>
    <col min="45" max="45" width="20" style="12" customWidth="1"/>
    <col min="46" max="46" width="5.875" style="12" customWidth="1"/>
    <col min="47" max="50" width="5.875" style="12" hidden="1" customWidth="1"/>
    <col min="51" max="51" width="5.5" style="12" customWidth="1"/>
    <col min="52" max="52" width="17.125" style="12" bestFit="1" customWidth="1"/>
    <col min="53" max="53" width="16.375" style="12" customWidth="1"/>
    <col min="54" max="54" width="5.875" style="75" customWidth="1"/>
    <col min="55" max="57" width="5.875" style="75" hidden="1" customWidth="1"/>
    <col min="58" max="58" width="10.875" style="256" hidden="1" customWidth="1"/>
    <col min="59" max="59" width="3.125" style="256" hidden="1" customWidth="1"/>
    <col min="60" max="60" width="16.5" style="257" hidden="1" customWidth="1"/>
    <col min="61" max="61" width="17.875" style="256" hidden="1" customWidth="1"/>
    <col min="62" max="62" width="20.625" style="256" hidden="1" customWidth="1"/>
    <col min="63" max="63" width="10.875" style="256" hidden="1" customWidth="1"/>
    <col min="64" max="64" width="15.5" style="256" hidden="1" customWidth="1"/>
    <col min="65" max="66" width="10.875" style="256" hidden="1" customWidth="1"/>
    <col min="67" max="96" width="10.875" style="248" hidden="1" customWidth="1"/>
    <col min="97" max="99" width="0" style="248" hidden="1" customWidth="1"/>
    <col min="100" max="108" width="0" style="228" hidden="1" customWidth="1"/>
    <col min="109" max="16384" width="10.875" style="14" hidden="1"/>
  </cols>
  <sheetData>
    <row r="1" spans="1:100" s="10" customFormat="1" ht="17.100000000000001" customHeight="1" thickTop="1" thickBot="1">
      <c r="A1" s="21" t="str">
        <f>Idiomas!D22</f>
        <v>Jor.</v>
      </c>
      <c r="B1" s="188" t="str">
        <f>Idiomas!D20</f>
        <v>Fecha</v>
      </c>
      <c r="C1" s="188" t="str">
        <f>Idiomas!D21</f>
        <v>Hora</v>
      </c>
      <c r="D1" s="189" t="str">
        <f>Idiomas!D23</f>
        <v>Equipo Local</v>
      </c>
      <c r="E1" s="23" t="s">
        <v>16</v>
      </c>
      <c r="F1" s="23" t="s">
        <v>17</v>
      </c>
      <c r="G1" s="22" t="str">
        <f>Idiomas!D24</f>
        <v>Gol</v>
      </c>
      <c r="H1" s="22" t="str">
        <f>Idiomas!D25</f>
        <v>Gol</v>
      </c>
      <c r="I1" s="109" t="s">
        <v>17</v>
      </c>
      <c r="J1" s="172" t="s">
        <v>16</v>
      </c>
      <c r="K1" s="204" t="str">
        <f>Idiomas!D26</f>
        <v>Equipo Visitante</v>
      </c>
      <c r="L1" s="266"/>
      <c r="M1" s="73"/>
      <c r="N1" s="27" t="str">
        <f>Idiomas!D51</f>
        <v>Pos</v>
      </c>
      <c r="O1" s="28" t="s">
        <v>16</v>
      </c>
      <c r="P1" s="29" t="str">
        <f>Idiomas!$D52</f>
        <v>Equipo</v>
      </c>
      <c r="Q1" s="30" t="str">
        <f>Idiomas!$D53</f>
        <v>Pts</v>
      </c>
      <c r="R1" s="30" t="str">
        <f>Idiomas!$D54</f>
        <v>J</v>
      </c>
      <c r="S1" s="30" t="str">
        <f>Idiomas!$D55</f>
        <v>G</v>
      </c>
      <c r="T1" s="30" t="str">
        <f>Idiomas!$D56</f>
        <v>E</v>
      </c>
      <c r="U1" s="30" t="str">
        <f>Idiomas!$D57</f>
        <v>P</v>
      </c>
      <c r="V1" s="30" t="str">
        <f>Idiomas!$D58</f>
        <v>GF</v>
      </c>
      <c r="W1" s="30" t="str">
        <f>Idiomas!$D59</f>
        <v>GC</v>
      </c>
      <c r="X1" s="30" t="str">
        <f>Idiomas!$D60</f>
        <v>DG</v>
      </c>
      <c r="Y1" s="144" t="str">
        <f>CONCATENATE(Q1&amp;" "&amp;Idiomas!$D61)</f>
        <v>Pts C</v>
      </c>
      <c r="Z1" s="144" t="str">
        <f>CONCATENATE(R1&amp;" "&amp;Idiomas!$D61)</f>
        <v>J C</v>
      </c>
      <c r="AA1" s="144" t="str">
        <f>CONCATENATE(S1&amp;" "&amp;Idiomas!$D61)</f>
        <v>G C</v>
      </c>
      <c r="AB1" s="144" t="str">
        <f>CONCATENATE(T1&amp;" "&amp;Idiomas!$D61)</f>
        <v>E C</v>
      </c>
      <c r="AC1" s="144" t="str">
        <f>CONCATENATE(U1&amp;" "&amp;Idiomas!$D61)</f>
        <v>P C</v>
      </c>
      <c r="AD1" s="144" t="str">
        <f>CONCATENATE(V1&amp;" "&amp;Idiomas!$D61)</f>
        <v>GF C</v>
      </c>
      <c r="AE1" s="144" t="str">
        <f>CONCATENATE(W1&amp;" "&amp;Idiomas!$D61)</f>
        <v>GC C</v>
      </c>
      <c r="AF1" s="144" t="str">
        <f>CONCATENATE(X1&amp;" "&amp;Idiomas!$D61)</f>
        <v>DG C</v>
      </c>
      <c r="AG1" s="144" t="str">
        <f>CONCATENATE(Q1&amp;" "&amp;Idiomas!$D62)</f>
        <v>Pts F</v>
      </c>
      <c r="AH1" s="144" t="str">
        <f>CONCATENATE(R1&amp;" "&amp;Idiomas!$D62)</f>
        <v>J F</v>
      </c>
      <c r="AI1" s="144" t="str">
        <f>CONCATENATE(S1&amp;" "&amp;Idiomas!$D62)</f>
        <v>G F</v>
      </c>
      <c r="AJ1" s="144" t="str">
        <f>CONCATENATE(T1&amp;" "&amp;Idiomas!$D62)</f>
        <v>E F</v>
      </c>
      <c r="AK1" s="144" t="str">
        <f>CONCATENATE(U1&amp;" "&amp;Idiomas!$D62)</f>
        <v>P F</v>
      </c>
      <c r="AL1" s="144" t="str">
        <f>CONCATENATE(V1&amp;" "&amp;Idiomas!$D62)</f>
        <v>GF F</v>
      </c>
      <c r="AM1" s="144" t="str">
        <f>CONCATENATE(W1&amp;" "&amp;Idiomas!$D62)</f>
        <v>GC F</v>
      </c>
      <c r="AN1" s="144" t="str">
        <f>CONCATENATE(X1&amp;" "&amp;Idiomas!$D62)</f>
        <v>DG F</v>
      </c>
      <c r="AO1" s="144" t="s">
        <v>18</v>
      </c>
      <c r="AP1" s="144" t="s">
        <v>19</v>
      </c>
      <c r="AQ1" s="144" t="s">
        <v>20</v>
      </c>
      <c r="AR1" s="73"/>
      <c r="AS1" s="146" t="str">
        <f>Idiomas!D64</f>
        <v>Seleccionar el orden de los empatados.</v>
      </c>
      <c r="AT1" s="73"/>
      <c r="AU1" s="73"/>
      <c r="AV1" s="149">
        <f>COUNTIF($AV$2:$AV$37,"&gt;"&amp;1)</f>
        <v>0</v>
      </c>
      <c r="AW1" s="73"/>
      <c r="AX1" s="73"/>
      <c r="AY1" s="73"/>
      <c r="AZ1" s="68" t="str">
        <f>P1</f>
        <v>Equipo</v>
      </c>
      <c r="BA1" s="69" t="str">
        <f>Idiomas!D63</f>
        <v>Puntos penalizados</v>
      </c>
      <c r="BB1" s="220"/>
      <c r="BC1" s="220"/>
      <c r="BD1" s="220"/>
      <c r="BE1" s="220"/>
      <c r="BF1" s="252" t="s">
        <v>21</v>
      </c>
      <c r="BG1" s="253"/>
      <c r="BH1" s="253"/>
      <c r="BI1" s="254" t="str" cm="1">
        <f t="array" ref="BI1:CR1">TRANSPOSE(Calcs!$A$2:$A$37)</f>
        <v>Ajax</v>
      </c>
      <c r="BJ1" s="254" t="str">
        <v>Arsenal</v>
      </c>
      <c r="BK1" s="253" t="str">
        <v>Atalanta</v>
      </c>
      <c r="BL1" s="253" t="str">
        <v>Athletic Bilbao</v>
      </c>
      <c r="BM1" s="253" t="str">
        <v>Atlético Madrid</v>
      </c>
      <c r="BN1" s="253" t="str">
        <v>Barcelona</v>
      </c>
      <c r="BO1" s="255" t="str">
        <v>Bayer Leverkusen</v>
      </c>
      <c r="BP1" s="255" t="str">
        <v>Bayern München</v>
      </c>
      <c r="BQ1" s="255" t="str">
        <v>Benfica</v>
      </c>
      <c r="BR1" s="255" t="str">
        <v>Bodø/Glimt</v>
      </c>
      <c r="BS1" s="255" t="str">
        <v>Borussia Dortmund</v>
      </c>
      <c r="BT1" s="255" t="str">
        <v>Brugge</v>
      </c>
      <c r="BU1" s="255" t="str">
        <v>Chelsea</v>
      </c>
      <c r="BV1" s="252" t="str">
        <v>Copenhagen</v>
      </c>
      <c r="BW1" s="252" t="str">
        <v>Eintracht Frankfurt</v>
      </c>
      <c r="BX1" s="253" t="str">
        <v>Galatasaray</v>
      </c>
      <c r="BY1" s="252" t="str">
        <v>Inter Milan</v>
      </c>
      <c r="BZ1" s="252" t="str">
        <v>Juventus</v>
      </c>
      <c r="CA1" s="255" t="str">
        <v>Kairat Almaty </v>
      </c>
      <c r="CB1" s="255" t="str">
        <v>Liverpool</v>
      </c>
      <c r="CC1" s="255" t="str">
        <v>Manchester City</v>
      </c>
      <c r="CD1" s="255" t="str">
        <v>Marseille</v>
      </c>
      <c r="CE1" s="255" t="str">
        <v>Monaco</v>
      </c>
      <c r="CF1" s="255" t="str">
        <v>Napoli</v>
      </c>
      <c r="CG1" s="255" t="str">
        <v>Newcastle</v>
      </c>
      <c r="CH1" s="255" t="str">
        <v>Olympiakos</v>
      </c>
      <c r="CI1" s="255" t="str">
        <v>Pafos</v>
      </c>
      <c r="CJ1" s="255" t="str">
        <v>PSG</v>
      </c>
      <c r="CK1" s="255" t="str">
        <v>PSV Eindhoven</v>
      </c>
      <c r="CL1" s="255" t="str">
        <v>Qarabağ</v>
      </c>
      <c r="CM1" s="255" t="str">
        <v>Real Madrid</v>
      </c>
      <c r="CN1" s="255" t="str">
        <v>Slavia Praha</v>
      </c>
      <c r="CO1" s="255" t="str">
        <v>Sporting Portugal</v>
      </c>
      <c r="CP1" s="255" t="str">
        <v>Tottenham</v>
      </c>
      <c r="CQ1" s="255" t="str">
        <v>Union Saint-Gilloise</v>
      </c>
      <c r="CR1" s="255" t="str">
        <v>Villarreal</v>
      </c>
      <c r="CS1" s="255"/>
      <c r="CT1" s="255"/>
      <c r="CU1" s="255"/>
    </row>
    <row r="2" spans="1:100" ht="17.100000000000001" customHeight="1">
      <c r="A2" s="462">
        <v>1</v>
      </c>
      <c r="B2" s="463">
        <f>Horarios!C2</f>
        <v>45916.78125</v>
      </c>
      <c r="C2" s="464">
        <f>Horarios!C2</f>
        <v>45916.78125</v>
      </c>
      <c r="D2" s="190" t="s">
        <v>22</v>
      </c>
      <c r="E2" s="83" t="e" vm="1">
        <f>INDEX(TablaEquipos[Badge],MATCH(D2,TablaEquipos[Team],0))</f>
        <v>#VALUE!</v>
      </c>
      <c r="F2" s="101"/>
      <c r="G2" s="465">
        <v>0</v>
      </c>
      <c r="H2" s="466">
        <v>2</v>
      </c>
      <c r="I2" s="467"/>
      <c r="J2" s="84" t="e" vm="2">
        <f>INDEX(TablaEquipos[Badge],MATCH(K2,TablaEquipos[Team],0))</f>
        <v>#VALUE!</v>
      </c>
      <c r="K2" s="402" t="s">
        <v>23</v>
      </c>
      <c r="L2" s="97"/>
      <c r="M2" s="100"/>
      <c r="N2" s="90">
        <v>1</v>
      </c>
      <c r="O2" s="31" t="e" vm="2">
        <f>INDEX(TablaEquipos[],MATCH(P2,TablaEquipos[Team],0),MATCH($O$1,TablaEquipos[#Headers],0))</f>
        <v>#VALUE!</v>
      </c>
      <c r="P2" s="32" t="str">
        <f>IFERROR(INDEX(Calcs!A$2:A$37,MATCH($N2,Calcs!$CJ$2:$CJ$37,0)),"")</f>
        <v>Arsenal</v>
      </c>
      <c r="Q2" s="33">
        <f>IFERROR(INDEX(Calcs!$B$2:$AB$37,MATCH($N2,Calcs!$CJ$2:$CJ$37,0),MATCH(Q$1,Calcs!$B$1:$AB$1,0)),"")</f>
        <v>21</v>
      </c>
      <c r="R2" s="34">
        <f>IFERROR(INDEX(Calcs!$B$2:$AB$37,MATCH($N2,Calcs!$CJ$2:$CJ$37,0),MATCH(R$1,Calcs!$B$1:$AB$1,0)),"")</f>
        <v>7</v>
      </c>
      <c r="S2" s="34">
        <f>IFERROR(INDEX(Calcs!$B$2:$AB$37,MATCH($N2,Calcs!$CJ$2:$CJ$37,0),MATCH(S$1,Calcs!$B$1:$AB$1,0)),"")</f>
        <v>7</v>
      </c>
      <c r="T2" s="34">
        <f>IFERROR(INDEX(Calcs!$B$2:$AB$37,MATCH($N2,Calcs!$CJ$2:$CJ$37,0),MATCH(T$1,Calcs!$B$1:$AB$1,0)),"")</f>
        <v>0</v>
      </c>
      <c r="U2" s="34">
        <f>IFERROR(INDEX(Calcs!$B$2:$AB$37,MATCH($N2,Calcs!$CJ$2:$CJ$37,0),MATCH(U$1,Calcs!$B$1:$AB$1,0)),"")</f>
        <v>0</v>
      </c>
      <c r="V2" s="34">
        <f>IFERROR(INDEX(Calcs!$B$2:$AB$37,MATCH($N2,Calcs!$CJ$2:$CJ$37,0),MATCH(V$1,Calcs!$B$1:$AB$1,0)),"")</f>
        <v>20</v>
      </c>
      <c r="W2" s="34">
        <f>IFERROR(INDEX(Calcs!$B$2:$AB$37,MATCH($N2,Calcs!$CJ$2:$CJ$37,0),MATCH(W$1,Calcs!$B$1:$AB$1,0)),"")</f>
        <v>2</v>
      </c>
      <c r="X2" s="35">
        <f>IFERROR(INDEX(Calcs!$B$2:$AB$37,MATCH($N2,Calcs!$CJ$2:$CJ$37,0),MATCH(X$1,Calcs!$B$1:$AB$1,0)),"")</f>
        <v>18</v>
      </c>
      <c r="Y2" s="33">
        <f>IFERROR(INDEX(Calcs!$B$2:$AB$37,MATCH($N2,Calcs!$CJ$2:$CJ$37,0),MATCH(Y$1,Calcs!$B$1:$AB$1,0)),"")</f>
        <v>9</v>
      </c>
      <c r="Z2" s="34">
        <f>IFERROR(INDEX(Calcs!$B$2:$AB$37,MATCH($N2,Calcs!$CJ$2:$CJ$37,0),MATCH(Z$1,Calcs!$B$1:$AB$1,0)),"")</f>
        <v>3</v>
      </c>
      <c r="AA2" s="34">
        <f>IFERROR(INDEX(Calcs!$B$2:$AB$37,MATCH($N2,Calcs!$CJ$2:$CJ$37,0),MATCH(AA$1,Calcs!$B$1:$AB$1,0)),"")</f>
        <v>3</v>
      </c>
      <c r="AB2" s="34">
        <f>IFERROR(INDEX(Calcs!$B$2:$AB$37,MATCH($N2,Calcs!$CJ$2:$CJ$37,0),MATCH(AB$1,Calcs!$B$1:$AB$1,0)),"")</f>
        <v>0</v>
      </c>
      <c r="AC2" s="34">
        <f>IFERROR(INDEX(Calcs!$B$2:$AB$37,MATCH($N2,Calcs!$CJ$2:$CJ$37,0),MATCH(AC$1,Calcs!$B$1:$AB$1,0)),"")</f>
        <v>0</v>
      </c>
      <c r="AD2" s="34">
        <f>IFERROR(INDEX(Calcs!$B$2:$AB$37,MATCH($N2,Calcs!$CJ$2:$CJ$37,0),MATCH(AD$1,Calcs!$B$1:$AB$1,0)),"")</f>
        <v>9</v>
      </c>
      <c r="AE2" s="34">
        <f>IFERROR(INDEX(Calcs!$B$2:$AB$37,MATCH($N2,Calcs!$CJ$2:$CJ$37,0),MATCH(AE$1,Calcs!$B$1:$AB$1,0)),"")</f>
        <v>1</v>
      </c>
      <c r="AF2" s="35">
        <f>IFERROR(INDEX(Calcs!$B$2:$AB$37,MATCH($N2,Calcs!$CJ$2:$CJ$37,0),MATCH(AF$1,Calcs!$B$1:$AB$1,0)),"")</f>
        <v>8</v>
      </c>
      <c r="AG2" s="33">
        <f>IFERROR(INDEX(Calcs!$B$2:$AB$37,MATCH($N2,Calcs!$CJ$2:$CJ$37,0),MATCH(AG$1,Calcs!$B$1:$AB$1,0)),"")</f>
        <v>12</v>
      </c>
      <c r="AH2" s="34">
        <f>IFERROR(INDEX(Calcs!$B$2:$AB$37,MATCH($N2,Calcs!$CJ$2:$CJ$37,0),MATCH(AH$1,Calcs!$B$1:$AB$1,0)),"")</f>
        <v>4</v>
      </c>
      <c r="AI2" s="34">
        <f>IFERROR(INDEX(Calcs!$B$2:$AB$37,MATCH($N2,Calcs!$CJ$2:$CJ$37,0),MATCH(AI$1,Calcs!$B$1:$AB$1,0)),"")</f>
        <v>4</v>
      </c>
      <c r="AJ2" s="34">
        <f>IFERROR(INDEX(Calcs!$B$2:$AB$37,MATCH($N2,Calcs!$CJ$2:$CJ$37,0),MATCH(AJ$1,Calcs!$B$1:$AB$1,0)),"")</f>
        <v>0</v>
      </c>
      <c r="AK2" s="34">
        <f>IFERROR(INDEX(Calcs!$B$2:$AB$37,MATCH($N2,Calcs!$CJ$2:$CJ$37,0),MATCH(AK$1,Calcs!$B$1:$AB$1,0)),"")</f>
        <v>0</v>
      </c>
      <c r="AL2" s="34">
        <f>IFERROR(INDEX(Calcs!$B$2:$AB$37,MATCH($N2,Calcs!$CJ$2:$CJ$37,0),MATCH(AL$1,Calcs!$B$1:$AB$1,0)),"")</f>
        <v>11</v>
      </c>
      <c r="AM2" s="34">
        <f>IFERROR(INDEX(Calcs!$B$2:$AB$37,MATCH($N2,Calcs!$CJ$2:$CJ$37,0),MATCH(AM$1,Calcs!$B$1:$AB$1,0)),"")</f>
        <v>1</v>
      </c>
      <c r="AN2" s="36">
        <f>IFERROR(INDEX(Calcs!$B$2:$AB$37,MATCH($N2,Calcs!$CJ$2:$CJ$37,0),MATCH(AN$1,Calcs!$B$1:$AB$1,0)),"")</f>
        <v>10</v>
      </c>
      <c r="AO2" s="34">
        <f>IFERROR(INDEX(Calcs!$B$2:$AB$37,MATCH($N2,Calcs!$CJ$2:$CJ$37,0),MATCH(AO$1,Calcs!$B$1:$AB$1,0)),"")</f>
        <v>70</v>
      </c>
      <c r="AP2" s="34">
        <f>IFERROR(INDEX(Calcs!$B$2:$AB$37,MATCH($N2,Calcs!$CJ$2:$CJ$37,0),MATCH(AP$1,Calcs!$B$1:$AB$1,0)),"")</f>
        <v>-17</v>
      </c>
      <c r="AQ2" s="36">
        <f>IFERROR(INDEX(Calcs!$B$2:$AB$37,MATCH($N2,Calcs!$CJ$2:$CJ$37,0),MATCH(AQ$1,Calcs!$B$1:$AB$1,0)),"")</f>
        <v>85</v>
      </c>
      <c r="AR2" s="74"/>
      <c r="AS2" s="9" t="str">
        <f>INDEX(Calcs!A$2:A$37,MATCH($N2,Calcs!$CF$2:$CF$37,0))</f>
        <v>Arsenal</v>
      </c>
      <c r="AT2" s="177"/>
      <c r="AU2" s="149">
        <f>INDEX(Calcs!$BZ$2:$BZ$37,MATCH($AS2,Calcs!$A$2:$A$37,0))</f>
        <v>1</v>
      </c>
      <c r="AV2" s="149">
        <f>COUNTIF($AU$2:$AU$37,$AU2)</f>
        <v>1</v>
      </c>
      <c r="AW2" s="149" t="str">
        <f>AU2&amp;"."&amp;AV2</f>
        <v>1.1</v>
      </c>
      <c r="AX2" s="149" cm="1">
        <f t="array" aca="1" ref="AX2" ca="1">OFFSET($N$2,AU2-1,0,AV2,1)</f>
        <v>1</v>
      </c>
      <c r="AY2" s="74"/>
      <c r="AZ2" s="70" t="str">
        <f>TablaEquipos[[#This Row],[Team]]</f>
        <v>Ajax</v>
      </c>
      <c r="BA2" s="178"/>
      <c r="BB2" s="74"/>
      <c r="BC2" s="74"/>
      <c r="BD2" s="74"/>
      <c r="BE2" s="74"/>
      <c r="BF2" s="247" t="str">
        <f t="shared" ref="BF2:BF33" si="0">IF(OR(G2="",H2=""),"Pendiente",IF(G2&gt;H2,"Local",IF(G2&lt;H2,"Visitante","Empate")))</f>
        <v>Visitante</v>
      </c>
      <c r="BG2" s="256" t="str" cm="1">
        <f t="array" ref="BG2">IFERROR(INDEX(Equipo_local,SMALL(IF(BI$1=Equipo_visitante,ROW(Equipo_local)-MIN(ROW(Equipo_visitante))+1,""),ROW()-1)),"")</f>
        <v>Marseille</v>
      </c>
      <c r="BH2" s="257">
        <v>1</v>
      </c>
      <c r="BI2" s="247" t="str" cm="1">
        <f t="array" ref="BI2">IFERROR(INDEX(Equipo_visitante,MATCH($BH2&amp;BI$1,Jornada&amp;Equipo_local,0)),INDEX(Equipo_local,MATCH($BH2&amp;BI$1,Jornada&amp;Equipo_visitante,0)))</f>
        <v>Inter Milan</v>
      </c>
      <c r="BJ2" s="247" t="str" cm="1">
        <f t="array" ref="BJ2">IFERROR(INDEX(Equipo_visitante,MATCH($BH2&amp;BJ$1,Jornada&amp;Equipo_local,0)),INDEX(Equipo_local,MATCH($BH2&amp;BJ$1,Jornada&amp;Equipo_visitante,0)))</f>
        <v>Athletic Bilbao</v>
      </c>
      <c r="BK2" s="247" t="str" cm="1">
        <f t="array" ref="BK2">IFERROR(INDEX(Equipo_visitante,MATCH($BH2&amp;BK$1,Jornada&amp;Equipo_local,0)),INDEX(Equipo_local,MATCH($BH2&amp;BK$1,Jornada&amp;Equipo_visitante,0)))</f>
        <v>PSG</v>
      </c>
      <c r="BL2" s="247" t="str" cm="1">
        <f t="array" ref="BL2">IFERROR(INDEX(Equipo_visitante,MATCH($BH2&amp;BL$1,Jornada&amp;Equipo_local,0)),INDEX(Equipo_local,MATCH($BH2&amp;BL$1,Jornada&amp;Equipo_visitante,0)))</f>
        <v>Arsenal</v>
      </c>
      <c r="BM2" s="247" t="str" cm="1">
        <f t="array" ref="BM2">IFERROR(INDEX(Equipo_visitante,MATCH($BH2&amp;BM$1,Jornada&amp;Equipo_local,0)),INDEX(Equipo_local,MATCH($BH2&amp;BM$1,Jornada&amp;Equipo_visitante,0)))</f>
        <v>Liverpool</v>
      </c>
      <c r="BN2" s="247" t="str" cm="1">
        <f t="array" ref="BN2">IFERROR(INDEX(Equipo_visitante,MATCH($BH2&amp;BN$1,Jornada&amp;Equipo_local,0)),INDEX(Equipo_local,MATCH($BH2&amp;BN$1,Jornada&amp;Equipo_visitante,0)))</f>
        <v>Newcastle</v>
      </c>
      <c r="BO2" s="247" t="str" cm="1">
        <f t="array" ref="BO2">IFERROR(INDEX(Equipo_visitante,MATCH($BH2&amp;BO$1,Jornada&amp;Equipo_local,0)),INDEX(Equipo_local,MATCH($BH2&amp;BO$1,Jornada&amp;Equipo_visitante,0)))</f>
        <v>Copenhagen</v>
      </c>
      <c r="BP2" s="247" t="str" cm="1">
        <f t="array" ref="BP2">IFERROR(INDEX(Equipo_visitante,MATCH($BH2&amp;BP$1,Jornada&amp;Equipo_local,0)),INDEX(Equipo_local,MATCH($BH2&amp;BP$1,Jornada&amp;Equipo_visitante,0)))</f>
        <v>Chelsea</v>
      </c>
      <c r="BQ2" s="247" t="str" cm="1">
        <f t="array" ref="BQ2">IFERROR(INDEX(Equipo_visitante,MATCH($BH2&amp;BQ$1,Jornada&amp;Equipo_local,0)),INDEX(Equipo_local,MATCH($BH2&amp;BQ$1,Jornada&amp;Equipo_visitante,0)))</f>
        <v>Qarabağ</v>
      </c>
      <c r="BR2" s="247" t="str" cm="1">
        <f t="array" ref="BR2">IFERROR(INDEX(Equipo_visitante,MATCH($BH2&amp;BR$1,Jornada&amp;Equipo_local,0)),INDEX(Equipo_local,MATCH($BH2&amp;BR$1,Jornada&amp;Equipo_visitante,0)))</f>
        <v>Slavia Praha</v>
      </c>
      <c r="BS2" s="247" t="str" cm="1">
        <f t="array" ref="BS2">IFERROR(INDEX(Equipo_visitante,MATCH($BH2&amp;BS$1,Jornada&amp;Equipo_local,0)),INDEX(Equipo_local,MATCH($BH2&amp;BS$1,Jornada&amp;Equipo_visitante,0)))</f>
        <v>Juventus</v>
      </c>
      <c r="BT2" s="247" t="str" cm="1">
        <f t="array" ref="BT2">IFERROR(INDEX(Equipo_visitante,MATCH($BH2&amp;BT$1,Jornada&amp;Equipo_local,0)),INDEX(Equipo_local,MATCH($BH2&amp;BT$1,Jornada&amp;Equipo_visitante,0)))</f>
        <v>Monaco</v>
      </c>
      <c r="BU2" s="247" t="str" cm="1">
        <f t="array" ref="BU2">IFERROR(INDEX(Equipo_visitante,MATCH($BH2&amp;BU$1,Jornada&amp;Equipo_local,0)),INDEX(Equipo_local,MATCH($BH2&amp;BU$1,Jornada&amp;Equipo_visitante,0)))</f>
        <v>Bayern München</v>
      </c>
      <c r="BV2" s="247" t="str" cm="1">
        <f t="array" ref="BV2">IFERROR(INDEX(Equipo_visitante,MATCH($BH2&amp;BV$1,Jornada&amp;Equipo_local,0)),INDEX(Equipo_local,MATCH($BH2&amp;BV$1,Jornada&amp;Equipo_visitante,0)))</f>
        <v>Bayer Leverkusen</v>
      </c>
      <c r="BW2" s="247" t="str" cm="1">
        <f t="array" ref="BW2">IFERROR(INDEX(Equipo_visitante,MATCH($BH2&amp;BW$1,Jornada&amp;Equipo_local,0)),INDEX(Equipo_local,MATCH($BH2&amp;BW$1,Jornada&amp;Equipo_visitante,0)))</f>
        <v>Galatasaray</v>
      </c>
      <c r="BX2" s="247" t="str" cm="1">
        <f t="array" ref="BX2">IFERROR(INDEX(Equipo_visitante,MATCH($BH2&amp;BX$1,Jornada&amp;Equipo_local,0)),INDEX(Equipo_local,MATCH($BH2&amp;BX$1,Jornada&amp;Equipo_visitante,0)))</f>
        <v>Eintracht Frankfurt</v>
      </c>
      <c r="BY2" s="247" t="str" cm="1">
        <f t="array" ref="BY2">IFERROR(INDEX(Equipo_visitante,MATCH($BH2&amp;BY$1,Jornada&amp;Equipo_local,0)),INDEX(Equipo_local,MATCH($BH2&amp;BY$1,Jornada&amp;Equipo_visitante,0)))</f>
        <v>Ajax</v>
      </c>
      <c r="BZ2" s="247" t="str" cm="1">
        <f t="array" ref="BZ2">IFERROR(INDEX(Equipo_visitante,MATCH($BH2&amp;BZ$1,Jornada&amp;Equipo_local,0)),INDEX(Equipo_local,MATCH($BH2&amp;BZ$1,Jornada&amp;Equipo_visitante,0)))</f>
        <v>Borussia Dortmund</v>
      </c>
      <c r="CA2" s="247" t="str" cm="1">
        <f t="array" ref="CA2">IFERROR(INDEX(Equipo_visitante,MATCH($BH2&amp;CA$1,Jornada&amp;Equipo_local,0)),INDEX(Equipo_local,MATCH($BH2&amp;CA$1,Jornada&amp;Equipo_visitante,0)))</f>
        <v>Sporting Portugal</v>
      </c>
      <c r="CB2" s="247" t="str" cm="1">
        <f t="array" ref="CB2">IFERROR(INDEX(Equipo_visitante,MATCH($BH2&amp;CB$1,Jornada&amp;Equipo_local,0)),INDEX(Equipo_local,MATCH($BH2&amp;CB$1,Jornada&amp;Equipo_visitante,0)))</f>
        <v>Atlético Madrid</v>
      </c>
      <c r="CC2" s="247" t="str" cm="1">
        <f t="array" ref="CC2">IFERROR(INDEX(Equipo_visitante,MATCH($BH2&amp;CC$1,Jornada&amp;Equipo_local,0)),INDEX(Equipo_local,MATCH($BH2&amp;CC$1,Jornada&amp;Equipo_visitante,0)))</f>
        <v>Napoli</v>
      </c>
      <c r="CD2" s="247" t="str" cm="1">
        <f t="array" ref="CD2">IFERROR(INDEX(Equipo_visitante,MATCH($BH2&amp;CD$1,Jornada&amp;Equipo_local,0)),INDEX(Equipo_local,MATCH($BH2&amp;CD$1,Jornada&amp;Equipo_visitante,0)))</f>
        <v>Real Madrid</v>
      </c>
      <c r="CE2" s="247" t="str" cm="1">
        <f t="array" ref="CE2">IFERROR(INDEX(Equipo_visitante,MATCH($BH2&amp;CE$1,Jornada&amp;Equipo_local,0)),INDEX(Equipo_local,MATCH($BH2&amp;CE$1,Jornada&amp;Equipo_visitante,0)))</f>
        <v>Brugge</v>
      </c>
      <c r="CF2" s="247" t="str" cm="1">
        <f t="array" ref="CF2">IFERROR(INDEX(Equipo_visitante,MATCH($BH2&amp;CF$1,Jornada&amp;Equipo_local,0)),INDEX(Equipo_local,MATCH($BH2&amp;CF$1,Jornada&amp;Equipo_visitante,0)))</f>
        <v>Manchester City</v>
      </c>
      <c r="CG2" s="247" t="str" cm="1">
        <f t="array" ref="CG2">IFERROR(INDEX(Equipo_visitante,MATCH($BH2&amp;CG$1,Jornada&amp;Equipo_local,0)),INDEX(Equipo_local,MATCH($BH2&amp;CG$1,Jornada&amp;Equipo_visitante,0)))</f>
        <v>Barcelona</v>
      </c>
      <c r="CH2" s="247" t="str" cm="1">
        <f t="array" ref="CH2">IFERROR(INDEX(Equipo_visitante,MATCH($BH2&amp;CH$1,Jornada&amp;Equipo_local,0)),INDEX(Equipo_local,MATCH($BH2&amp;CH$1,Jornada&amp;Equipo_visitante,0)))</f>
        <v>Pafos</v>
      </c>
      <c r="CI2" s="247" t="str" cm="1">
        <f t="array" ref="CI2">IFERROR(INDEX(Equipo_visitante,MATCH($BH2&amp;CI$1,Jornada&amp;Equipo_local,0)),INDEX(Equipo_local,MATCH($BH2&amp;CI$1,Jornada&amp;Equipo_visitante,0)))</f>
        <v>Olympiakos</v>
      </c>
      <c r="CJ2" s="247" t="str" cm="1">
        <f t="array" ref="CJ2">IFERROR(INDEX(Equipo_visitante,MATCH($BH2&amp;CJ$1,Jornada&amp;Equipo_local,0)),INDEX(Equipo_local,MATCH($BH2&amp;CJ$1,Jornada&amp;Equipo_visitante,0)))</f>
        <v>Atalanta</v>
      </c>
      <c r="CK2" s="247" t="str" cm="1">
        <f t="array" ref="CK2">IFERROR(INDEX(Equipo_visitante,MATCH($BH2&amp;CK$1,Jornada&amp;Equipo_local,0)),INDEX(Equipo_local,MATCH($BH2&amp;CK$1,Jornada&amp;Equipo_visitante,0)))</f>
        <v>Union Saint-Gilloise</v>
      </c>
      <c r="CL2" s="247" t="str" cm="1">
        <f t="array" ref="CL2">IFERROR(INDEX(Equipo_visitante,MATCH($BH2&amp;CL$1,Jornada&amp;Equipo_local,0)),INDEX(Equipo_local,MATCH($BH2&amp;CL$1,Jornada&amp;Equipo_visitante,0)))</f>
        <v>Benfica</v>
      </c>
      <c r="CM2" s="247" t="str" cm="1">
        <f t="array" ref="CM2">IFERROR(INDEX(Equipo_visitante,MATCH($BH2&amp;CM$1,Jornada&amp;Equipo_local,0)),INDEX(Equipo_local,MATCH($BH2&amp;CM$1,Jornada&amp;Equipo_visitante,0)))</f>
        <v>Marseille</v>
      </c>
      <c r="CN2" s="247" t="str" cm="1">
        <f t="array" ref="CN2">IFERROR(INDEX(Equipo_visitante,MATCH($BH2&amp;CN$1,Jornada&amp;Equipo_local,0)),INDEX(Equipo_local,MATCH($BH2&amp;CN$1,Jornada&amp;Equipo_visitante,0)))</f>
        <v>Bodø/Glimt</v>
      </c>
      <c r="CO2" s="247" t="str" cm="1">
        <f t="array" ref="CO2">IFERROR(INDEX(Equipo_visitante,MATCH($BH2&amp;CO$1,Jornada&amp;Equipo_local,0)),INDEX(Equipo_local,MATCH($BH2&amp;CO$1,Jornada&amp;Equipo_visitante,0)))</f>
        <v>Kairat Almaty </v>
      </c>
      <c r="CP2" s="247" t="str" cm="1">
        <f t="array" ref="CP2">IFERROR(INDEX(Equipo_visitante,MATCH($BH2&amp;CP$1,Jornada&amp;Equipo_local,0)),INDEX(Equipo_local,MATCH($BH2&amp;CP$1,Jornada&amp;Equipo_visitante,0)))</f>
        <v>Villarreal</v>
      </c>
      <c r="CQ2" s="247" t="str" cm="1">
        <f t="array" ref="CQ2">IFERROR(INDEX(Equipo_visitante,MATCH($BH2&amp;CQ$1,Jornada&amp;Equipo_local,0)),INDEX(Equipo_local,MATCH($BH2&amp;CQ$1,Jornada&amp;Equipo_visitante,0)))</f>
        <v>PSV Eindhoven</v>
      </c>
      <c r="CR2" s="247" t="str" cm="1">
        <f t="array" ref="CR2">IFERROR(INDEX(Equipo_visitante,MATCH($BH2&amp;CR$1,Jornada&amp;Equipo_local,0)),INDEX(Equipo_local,MATCH($BH2&amp;CR$1,Jornada&amp;Equipo_visitante,0)))</f>
        <v>Tottenham</v>
      </c>
      <c r="CS2" s="256"/>
      <c r="CT2" s="256"/>
      <c r="CU2" s="256"/>
      <c r="CV2" s="227"/>
    </row>
    <row r="3" spans="1:100" ht="17.100000000000001" customHeight="1">
      <c r="A3" s="222">
        <v>1</v>
      </c>
      <c r="B3" s="468">
        <f>Horarios!C3</f>
        <v>45916.78125</v>
      </c>
      <c r="C3" s="469">
        <f>Horarios!C3</f>
        <v>45916.78125</v>
      </c>
      <c r="D3" s="191" t="s">
        <v>24</v>
      </c>
      <c r="E3" s="79" t="e" vm="3">
        <f>INDEX(TablaEquipos[Badge],MATCH(D3,TablaEquipos[Team],0))</f>
        <v>#VALUE!</v>
      </c>
      <c r="F3" s="102"/>
      <c r="G3" s="470">
        <v>1</v>
      </c>
      <c r="H3" s="471">
        <v>3</v>
      </c>
      <c r="I3" s="472"/>
      <c r="J3" s="82" t="e" vm="4">
        <f>INDEX(TablaEquipos[Badge],MATCH(K3,TablaEquipos[Team],0))</f>
        <v>#VALUE!</v>
      </c>
      <c r="K3" s="403" t="s">
        <v>25</v>
      </c>
      <c r="L3" s="97"/>
      <c r="M3" s="74"/>
      <c r="N3" s="90">
        <v>2</v>
      </c>
      <c r="O3" s="31" t="e" vm="5">
        <f>INDEX(TablaEquipos[],MATCH(P3,TablaEquipos[Team],0),MATCH($O$1,TablaEquipos[#Headers],0))</f>
        <v>#VALUE!</v>
      </c>
      <c r="P3" s="32" t="str">
        <f>IFERROR(INDEX(Calcs!A$2:A$37,MATCH($N3,Calcs!$CJ$2:$CJ$37,0)),"")</f>
        <v>Bayern München</v>
      </c>
      <c r="Q3" s="37">
        <f>IFERROR(INDEX(Calcs!$B$2:$AB$37,MATCH($N3,Calcs!$CJ$2:$CJ$37,0),MATCH(Q$1,Calcs!$B$1:$AB$1,0)),"")</f>
        <v>18</v>
      </c>
      <c r="R3" s="38">
        <f>IFERROR(INDEX(Calcs!$B$2:$AB$37,MATCH($N3,Calcs!$CJ$2:$CJ$37,0),MATCH(R$1,Calcs!$B$1:$AB$1,0)),"")</f>
        <v>7</v>
      </c>
      <c r="S3" s="38">
        <f>IFERROR(INDEX(Calcs!$B$2:$AB$37,MATCH($N3,Calcs!$CJ$2:$CJ$37,0),MATCH(S$1,Calcs!$B$1:$AB$1,0)),"")</f>
        <v>6</v>
      </c>
      <c r="T3" s="38">
        <f>IFERROR(INDEX(Calcs!$B$2:$AB$37,MATCH($N3,Calcs!$CJ$2:$CJ$37,0),MATCH(T$1,Calcs!$B$1:$AB$1,0)),"")</f>
        <v>0</v>
      </c>
      <c r="U3" s="38">
        <f>IFERROR(INDEX(Calcs!$B$2:$AB$37,MATCH($N3,Calcs!$CJ$2:$CJ$37,0),MATCH(U$1,Calcs!$B$1:$AB$1,0)),"")</f>
        <v>1</v>
      </c>
      <c r="V3" s="38">
        <f>IFERROR(INDEX(Calcs!$B$2:$AB$37,MATCH($N3,Calcs!$CJ$2:$CJ$37,0),MATCH(V$1,Calcs!$B$1:$AB$1,0)),"")</f>
        <v>20</v>
      </c>
      <c r="W3" s="38">
        <f>IFERROR(INDEX(Calcs!$B$2:$AB$37,MATCH($N3,Calcs!$CJ$2:$CJ$37,0),MATCH(W$1,Calcs!$B$1:$AB$1,0)),"")</f>
        <v>7</v>
      </c>
      <c r="X3" s="35">
        <f>IFERROR(INDEX(Calcs!$B$2:$AB$37,MATCH($N3,Calcs!$CJ$2:$CJ$37,0),MATCH(X$1,Calcs!$B$1:$AB$1,0)),"")</f>
        <v>13</v>
      </c>
      <c r="Y3" s="37">
        <f>IFERROR(INDEX(Calcs!$B$2:$AB$37,MATCH($N3,Calcs!$CJ$2:$CJ$37,0),MATCH(Y$1,Calcs!$B$1:$AB$1,0)),"")</f>
        <v>12</v>
      </c>
      <c r="Z3" s="38">
        <f>IFERROR(INDEX(Calcs!$B$2:$AB$37,MATCH($N3,Calcs!$CJ$2:$CJ$37,0),MATCH(Z$1,Calcs!$B$1:$AB$1,0)),"")</f>
        <v>4</v>
      </c>
      <c r="AA3" s="38">
        <f>IFERROR(INDEX(Calcs!$B$2:$AB$37,MATCH($N3,Calcs!$CJ$2:$CJ$37,0),MATCH(AA$1,Calcs!$B$1:$AB$1,0)),"")</f>
        <v>4</v>
      </c>
      <c r="AB3" s="38">
        <f>IFERROR(INDEX(Calcs!$B$2:$AB$37,MATCH($N3,Calcs!$CJ$2:$CJ$37,0),MATCH(AB$1,Calcs!$B$1:$AB$1,0)),"")</f>
        <v>0</v>
      </c>
      <c r="AC3" s="38">
        <f>IFERROR(INDEX(Calcs!$B$2:$AB$37,MATCH($N3,Calcs!$CJ$2:$CJ$37,0),MATCH(AC$1,Calcs!$B$1:$AB$1,0)),"")</f>
        <v>0</v>
      </c>
      <c r="AD3" s="38">
        <f>IFERROR(INDEX(Calcs!$B$2:$AB$37,MATCH($N3,Calcs!$CJ$2:$CJ$37,0),MATCH(AD$1,Calcs!$B$1:$AB$1,0)),"")</f>
        <v>12</v>
      </c>
      <c r="AE3" s="38">
        <f>IFERROR(INDEX(Calcs!$B$2:$AB$37,MATCH($N3,Calcs!$CJ$2:$CJ$37,0),MATCH(AE$1,Calcs!$B$1:$AB$1,0)),"")</f>
        <v>2</v>
      </c>
      <c r="AF3" s="35">
        <f>IFERROR(INDEX(Calcs!$B$2:$AB$37,MATCH($N3,Calcs!$CJ$2:$CJ$37,0),MATCH(AF$1,Calcs!$B$1:$AB$1,0)),"")</f>
        <v>10</v>
      </c>
      <c r="AG3" s="37">
        <f>IFERROR(INDEX(Calcs!$B$2:$AB$37,MATCH($N3,Calcs!$CJ$2:$CJ$37,0),MATCH(AG$1,Calcs!$B$1:$AB$1,0)),"")</f>
        <v>6</v>
      </c>
      <c r="AH3" s="38">
        <f>IFERROR(INDEX(Calcs!$B$2:$AB$37,MATCH($N3,Calcs!$CJ$2:$CJ$37,0),MATCH(AH$1,Calcs!$B$1:$AB$1,0)),"")</f>
        <v>3</v>
      </c>
      <c r="AI3" s="38">
        <f>IFERROR(INDEX(Calcs!$B$2:$AB$37,MATCH($N3,Calcs!$CJ$2:$CJ$37,0),MATCH(AI$1,Calcs!$B$1:$AB$1,0)),"")</f>
        <v>2</v>
      </c>
      <c r="AJ3" s="38">
        <f>IFERROR(INDEX(Calcs!$B$2:$AB$37,MATCH($N3,Calcs!$CJ$2:$CJ$37,0),MATCH(AJ$1,Calcs!$B$1:$AB$1,0)),"")</f>
        <v>0</v>
      </c>
      <c r="AK3" s="38">
        <f>IFERROR(INDEX(Calcs!$B$2:$AB$37,MATCH($N3,Calcs!$CJ$2:$CJ$37,0),MATCH(AK$1,Calcs!$B$1:$AB$1,0)),"")</f>
        <v>1</v>
      </c>
      <c r="AL3" s="38">
        <f>IFERROR(INDEX(Calcs!$B$2:$AB$37,MATCH($N3,Calcs!$CJ$2:$CJ$37,0),MATCH(AL$1,Calcs!$B$1:$AB$1,0)),"")</f>
        <v>8</v>
      </c>
      <c r="AM3" s="38">
        <f>IFERROR(INDEX(Calcs!$B$2:$AB$37,MATCH($N3,Calcs!$CJ$2:$CJ$37,0),MATCH(AM$1,Calcs!$B$1:$AB$1,0)),"")</f>
        <v>5</v>
      </c>
      <c r="AN3" s="39">
        <f>IFERROR(INDEX(Calcs!$B$2:$AB$37,MATCH($N3,Calcs!$CJ$2:$CJ$37,0),MATCH(AN$1,Calcs!$B$1:$AB$1,0)),"")</f>
        <v>3</v>
      </c>
      <c r="AO3" s="38">
        <f>IFERROR(INDEX(Calcs!$B$2:$AB$37,MATCH($N3,Calcs!$CJ$2:$CJ$37,0),MATCH(AO$1,Calcs!$B$1:$AB$1,0)),"")</f>
        <v>87</v>
      </c>
      <c r="AP3" s="38">
        <f>IFERROR(INDEX(Calcs!$B$2:$AB$37,MATCH($N3,Calcs!$CJ$2:$CJ$37,0),MATCH(AP$1,Calcs!$B$1:$AB$1,0)),"")</f>
        <v>19</v>
      </c>
      <c r="AQ3" s="39">
        <f>IFERROR(INDEX(Calcs!$B$2:$AB$37,MATCH($N3,Calcs!$CJ$2:$CJ$37,0),MATCH(AQ$1,Calcs!$B$1:$AB$1,0)),"")</f>
        <v>106</v>
      </c>
      <c r="AR3" s="74"/>
      <c r="AS3" s="9" t="str">
        <f>INDEX(Calcs!A$2:A$37,MATCH($N3,Calcs!$CF$2:$CF$37,0))</f>
        <v>Bayern München</v>
      </c>
      <c r="AT3" s="177"/>
      <c r="AU3" s="149">
        <f>INDEX(Calcs!$BZ$2:$BZ$37,MATCH($AS3,Calcs!$A$2:$A$37,0))</f>
        <v>2</v>
      </c>
      <c r="AV3" s="149">
        <f t="shared" ref="AV3:AV37" si="1">COUNTIF($AU$2:$AU$37,$AU3)</f>
        <v>1</v>
      </c>
      <c r="AW3" s="149" t="str">
        <f t="shared" ref="AW3:AW37" si="2">AU3&amp;"."&amp;AV3</f>
        <v>2.1</v>
      </c>
      <c r="AX3" s="149"/>
      <c r="AY3" s="74"/>
      <c r="AZ3" s="71" t="str">
        <f>TablaEquipos[[#This Row],[Team]]</f>
        <v>Arsenal</v>
      </c>
      <c r="BA3" s="179"/>
      <c r="BB3" s="74"/>
      <c r="BC3" s="74"/>
      <c r="BD3" s="74"/>
      <c r="BE3" s="74"/>
      <c r="BF3" s="247" t="str">
        <f t="shared" si="0"/>
        <v>Visitante</v>
      </c>
      <c r="BH3" s="257">
        <v>2</v>
      </c>
      <c r="BI3" s="247" t="str" cm="1">
        <f t="array" ref="BI3">IFERROR(INDEX(Equipo_visitante,MATCH($BH3&amp;BI$1,Jornada&amp;Equipo_local,0)),INDEX(Equipo_local,MATCH($BH3&amp;BI$1,Jornada&amp;Equipo_visitante,0)))</f>
        <v>Marseille</v>
      </c>
      <c r="BJ3" s="247" t="str" cm="1">
        <f t="array" ref="BJ3">IFERROR(INDEX(Equipo_visitante,MATCH($BH3&amp;BJ$1,Jornada&amp;Equipo_local,0)),INDEX(Equipo_local,MATCH($BH3&amp;BJ$1,Jornada&amp;Equipo_visitante,0)))</f>
        <v>Olympiakos</v>
      </c>
      <c r="BK3" s="247" t="str" cm="1">
        <f t="array" ref="BK3">IFERROR(INDEX(Equipo_visitante,MATCH($BH3&amp;BK$1,Jornada&amp;Equipo_local,0)),INDEX(Equipo_local,MATCH($BH3&amp;BK$1,Jornada&amp;Equipo_visitante,0)))</f>
        <v>Brugge</v>
      </c>
      <c r="BL3" s="247" t="str" cm="1">
        <f t="array" ref="BL3">IFERROR(INDEX(Equipo_visitante,MATCH($BH3&amp;BL$1,Jornada&amp;Equipo_local,0)),INDEX(Equipo_local,MATCH($BH3&amp;BL$1,Jornada&amp;Equipo_visitante,0)))</f>
        <v>Borussia Dortmund</v>
      </c>
      <c r="BM3" s="247" t="str" cm="1">
        <f t="array" ref="BM3">IFERROR(INDEX(Equipo_visitante,MATCH($BH3&amp;BM$1,Jornada&amp;Equipo_local,0)),INDEX(Equipo_local,MATCH($BH3&amp;BM$1,Jornada&amp;Equipo_visitante,0)))</f>
        <v>Eintracht Frankfurt</v>
      </c>
      <c r="BN3" s="247" t="str" cm="1">
        <f t="array" ref="BN3">IFERROR(INDEX(Equipo_visitante,MATCH($BH3&amp;BN$1,Jornada&amp;Equipo_local,0)),INDEX(Equipo_local,MATCH($BH3&amp;BN$1,Jornada&amp;Equipo_visitante,0)))</f>
        <v>PSG</v>
      </c>
      <c r="BO3" s="247" t="str" cm="1">
        <f t="array" ref="BO3">IFERROR(INDEX(Equipo_visitante,MATCH($BH3&amp;BO$1,Jornada&amp;Equipo_local,0)),INDEX(Equipo_local,MATCH($BH3&amp;BO$1,Jornada&amp;Equipo_visitante,0)))</f>
        <v>PSV Eindhoven</v>
      </c>
      <c r="BP3" s="247" t="str" cm="1">
        <f t="array" ref="BP3">IFERROR(INDEX(Equipo_visitante,MATCH($BH3&amp;BP$1,Jornada&amp;Equipo_local,0)),INDEX(Equipo_local,MATCH($BH3&amp;BP$1,Jornada&amp;Equipo_visitante,0)))</f>
        <v>Pafos</v>
      </c>
      <c r="BQ3" s="247" t="str" cm="1">
        <f t="array" ref="BQ3">IFERROR(INDEX(Equipo_visitante,MATCH($BH3&amp;BQ$1,Jornada&amp;Equipo_local,0)),INDEX(Equipo_local,MATCH($BH3&amp;BQ$1,Jornada&amp;Equipo_visitante,0)))</f>
        <v>Chelsea</v>
      </c>
      <c r="BR3" s="247" t="str" cm="1">
        <f t="array" ref="BR3">IFERROR(INDEX(Equipo_visitante,MATCH($BH3&amp;BR$1,Jornada&amp;Equipo_local,0)),INDEX(Equipo_local,MATCH($BH3&amp;BR$1,Jornada&amp;Equipo_visitante,0)))</f>
        <v>Tottenham</v>
      </c>
      <c r="BS3" s="247" t="str" cm="1">
        <f t="array" ref="BS3">IFERROR(INDEX(Equipo_visitante,MATCH($BH3&amp;BS$1,Jornada&amp;Equipo_local,0)),INDEX(Equipo_local,MATCH($BH3&amp;BS$1,Jornada&amp;Equipo_visitante,0)))</f>
        <v>Athletic Bilbao</v>
      </c>
      <c r="BT3" s="247" t="str" cm="1">
        <f t="array" ref="BT3">IFERROR(INDEX(Equipo_visitante,MATCH($BH3&amp;BT$1,Jornada&amp;Equipo_local,0)),INDEX(Equipo_local,MATCH($BH3&amp;BT$1,Jornada&amp;Equipo_visitante,0)))</f>
        <v>Atalanta</v>
      </c>
      <c r="BU3" s="247" t="str" cm="1">
        <f t="array" ref="BU3">IFERROR(INDEX(Equipo_visitante,MATCH($BH3&amp;BU$1,Jornada&amp;Equipo_local,0)),INDEX(Equipo_local,MATCH($BH3&amp;BU$1,Jornada&amp;Equipo_visitante,0)))</f>
        <v>Benfica</v>
      </c>
      <c r="BV3" s="247" t="str" cm="1">
        <f t="array" ref="BV3">IFERROR(INDEX(Equipo_visitante,MATCH($BH3&amp;BV$1,Jornada&amp;Equipo_local,0)),INDEX(Equipo_local,MATCH($BH3&amp;BV$1,Jornada&amp;Equipo_visitante,0)))</f>
        <v>Qarabağ</v>
      </c>
      <c r="BW3" s="247" t="str" cm="1">
        <f t="array" ref="BW3">IFERROR(INDEX(Equipo_visitante,MATCH($BH3&amp;BW$1,Jornada&amp;Equipo_local,0)),INDEX(Equipo_local,MATCH($BH3&amp;BW$1,Jornada&amp;Equipo_visitante,0)))</f>
        <v>Atlético Madrid</v>
      </c>
      <c r="BX3" s="247" t="str" cm="1">
        <f t="array" ref="BX3">IFERROR(INDEX(Equipo_visitante,MATCH($BH3&amp;BX$1,Jornada&amp;Equipo_local,0)),INDEX(Equipo_local,MATCH($BH3&amp;BX$1,Jornada&amp;Equipo_visitante,0)))</f>
        <v>Liverpool</v>
      </c>
      <c r="BY3" s="247" t="str" cm="1">
        <f t="array" ref="BY3">IFERROR(INDEX(Equipo_visitante,MATCH($BH3&amp;BY$1,Jornada&amp;Equipo_local,0)),INDEX(Equipo_local,MATCH($BH3&amp;BY$1,Jornada&amp;Equipo_visitante,0)))</f>
        <v>Slavia Praha</v>
      </c>
      <c r="BZ3" s="247" t="str" cm="1">
        <f t="array" ref="BZ3">IFERROR(INDEX(Equipo_visitante,MATCH($BH3&amp;BZ$1,Jornada&amp;Equipo_local,0)),INDEX(Equipo_local,MATCH($BH3&amp;BZ$1,Jornada&amp;Equipo_visitante,0)))</f>
        <v>Villarreal</v>
      </c>
      <c r="CA3" s="247" t="str" cm="1">
        <f t="array" ref="CA3">IFERROR(INDEX(Equipo_visitante,MATCH($BH3&amp;CA$1,Jornada&amp;Equipo_local,0)),INDEX(Equipo_local,MATCH($BH3&amp;CA$1,Jornada&amp;Equipo_visitante,0)))</f>
        <v>Real Madrid</v>
      </c>
      <c r="CB3" s="247" t="str" cm="1">
        <f t="array" ref="CB3">IFERROR(INDEX(Equipo_visitante,MATCH($BH3&amp;CB$1,Jornada&amp;Equipo_local,0)),INDEX(Equipo_local,MATCH($BH3&amp;CB$1,Jornada&amp;Equipo_visitante,0)))</f>
        <v>Galatasaray</v>
      </c>
      <c r="CC3" s="247" t="str" cm="1">
        <f t="array" ref="CC3">IFERROR(INDEX(Equipo_visitante,MATCH($BH3&amp;CC$1,Jornada&amp;Equipo_local,0)),INDEX(Equipo_local,MATCH($BH3&amp;CC$1,Jornada&amp;Equipo_visitante,0)))</f>
        <v>Monaco</v>
      </c>
      <c r="CD3" s="247" t="str" cm="1">
        <f t="array" ref="CD3">IFERROR(INDEX(Equipo_visitante,MATCH($BH3&amp;CD$1,Jornada&amp;Equipo_local,0)),INDEX(Equipo_local,MATCH($BH3&amp;CD$1,Jornada&amp;Equipo_visitante,0)))</f>
        <v>Ajax</v>
      </c>
      <c r="CE3" s="247" t="str" cm="1">
        <f t="array" ref="CE3">IFERROR(INDEX(Equipo_visitante,MATCH($BH3&amp;CE$1,Jornada&amp;Equipo_local,0)),INDEX(Equipo_local,MATCH($BH3&amp;CE$1,Jornada&amp;Equipo_visitante,0)))</f>
        <v>Manchester City</v>
      </c>
      <c r="CF3" s="247" t="str" cm="1">
        <f t="array" ref="CF3">IFERROR(INDEX(Equipo_visitante,MATCH($BH3&amp;CF$1,Jornada&amp;Equipo_local,0)),INDEX(Equipo_local,MATCH($BH3&amp;CF$1,Jornada&amp;Equipo_visitante,0)))</f>
        <v>Sporting Portugal</v>
      </c>
      <c r="CG3" s="247" t="str" cm="1">
        <f t="array" ref="CG3">IFERROR(INDEX(Equipo_visitante,MATCH($BH3&amp;CG$1,Jornada&amp;Equipo_local,0)),INDEX(Equipo_local,MATCH($BH3&amp;CG$1,Jornada&amp;Equipo_visitante,0)))</f>
        <v>Union Saint-Gilloise</v>
      </c>
      <c r="CH3" s="247" t="str" cm="1">
        <f t="array" ref="CH3">IFERROR(INDEX(Equipo_visitante,MATCH($BH3&amp;CH$1,Jornada&amp;Equipo_local,0)),INDEX(Equipo_local,MATCH($BH3&amp;CH$1,Jornada&amp;Equipo_visitante,0)))</f>
        <v>Arsenal</v>
      </c>
      <c r="CI3" s="247" t="str" cm="1">
        <f t="array" ref="CI3">IFERROR(INDEX(Equipo_visitante,MATCH($BH3&amp;CI$1,Jornada&amp;Equipo_local,0)),INDEX(Equipo_local,MATCH($BH3&amp;CI$1,Jornada&amp;Equipo_visitante,0)))</f>
        <v>Bayern München</v>
      </c>
      <c r="CJ3" s="247" t="str" cm="1">
        <f t="array" ref="CJ3">IFERROR(INDEX(Equipo_visitante,MATCH($BH3&amp;CJ$1,Jornada&amp;Equipo_local,0)),INDEX(Equipo_local,MATCH($BH3&amp;CJ$1,Jornada&amp;Equipo_visitante,0)))</f>
        <v>Barcelona</v>
      </c>
      <c r="CK3" s="247" t="str" cm="1">
        <f t="array" ref="CK3">IFERROR(INDEX(Equipo_visitante,MATCH($BH3&amp;CK$1,Jornada&amp;Equipo_local,0)),INDEX(Equipo_local,MATCH($BH3&amp;CK$1,Jornada&amp;Equipo_visitante,0)))</f>
        <v>Bayer Leverkusen</v>
      </c>
      <c r="CL3" s="247" t="str" cm="1">
        <f t="array" ref="CL3">IFERROR(INDEX(Equipo_visitante,MATCH($BH3&amp;CL$1,Jornada&amp;Equipo_local,0)),INDEX(Equipo_local,MATCH($BH3&amp;CL$1,Jornada&amp;Equipo_visitante,0)))</f>
        <v>Copenhagen</v>
      </c>
      <c r="CM3" s="247" t="str" cm="1">
        <f t="array" ref="CM3">IFERROR(INDEX(Equipo_visitante,MATCH($BH3&amp;CM$1,Jornada&amp;Equipo_local,0)),INDEX(Equipo_local,MATCH($BH3&amp;CM$1,Jornada&amp;Equipo_visitante,0)))</f>
        <v>Kairat Almaty </v>
      </c>
      <c r="CN3" s="247" t="str" cm="1">
        <f t="array" ref="CN3">IFERROR(INDEX(Equipo_visitante,MATCH($BH3&amp;CN$1,Jornada&amp;Equipo_local,0)),INDEX(Equipo_local,MATCH($BH3&amp;CN$1,Jornada&amp;Equipo_visitante,0)))</f>
        <v>Inter Milan</v>
      </c>
      <c r="CO3" s="247" t="str" cm="1">
        <f t="array" ref="CO3">IFERROR(INDEX(Equipo_visitante,MATCH($BH3&amp;CO$1,Jornada&amp;Equipo_local,0)),INDEX(Equipo_local,MATCH($BH3&amp;CO$1,Jornada&amp;Equipo_visitante,0)))</f>
        <v>Napoli</v>
      </c>
      <c r="CP3" s="247" t="str" cm="1">
        <f t="array" ref="CP3">IFERROR(INDEX(Equipo_visitante,MATCH($BH3&amp;CP$1,Jornada&amp;Equipo_local,0)),INDEX(Equipo_local,MATCH($BH3&amp;CP$1,Jornada&amp;Equipo_visitante,0)))</f>
        <v>Bodø/Glimt</v>
      </c>
      <c r="CQ3" s="247" t="str" cm="1">
        <f t="array" ref="CQ3">IFERROR(INDEX(Equipo_visitante,MATCH($BH3&amp;CQ$1,Jornada&amp;Equipo_local,0)),INDEX(Equipo_local,MATCH($BH3&amp;CQ$1,Jornada&amp;Equipo_visitante,0)))</f>
        <v>Newcastle</v>
      </c>
      <c r="CR3" s="247" t="str" cm="1">
        <f t="array" ref="CR3">IFERROR(INDEX(Equipo_visitante,MATCH($BH3&amp;CR$1,Jornada&amp;Equipo_local,0)),INDEX(Equipo_local,MATCH($BH3&amp;CR$1,Jornada&amp;Equipo_visitante,0)))</f>
        <v>Juventus</v>
      </c>
      <c r="CS3" s="256"/>
      <c r="CT3" s="256"/>
      <c r="CU3" s="256"/>
      <c r="CV3" s="227"/>
    </row>
    <row r="4" spans="1:100" ht="17.100000000000001" customHeight="1">
      <c r="A4" s="473">
        <v>1</v>
      </c>
      <c r="B4" s="474">
        <f>Horarios!C4</f>
        <v>45916.875</v>
      </c>
      <c r="C4" s="475">
        <f>Horarios!C4</f>
        <v>45916.875</v>
      </c>
      <c r="D4" s="192" t="s">
        <v>26</v>
      </c>
      <c r="E4" s="80" t="e" vm="6">
        <f>INDEX(TablaEquipos[Badge],MATCH(D4,TablaEquipos[Team],0))</f>
        <v>#VALUE!</v>
      </c>
      <c r="F4" s="103"/>
      <c r="G4" s="476">
        <v>4</v>
      </c>
      <c r="H4" s="477">
        <v>4</v>
      </c>
      <c r="I4" s="478"/>
      <c r="J4" s="81" t="e" vm="7">
        <f>INDEX(TablaEquipos[Badge],MATCH(K4,TablaEquipos[Team],0))</f>
        <v>#VALUE!</v>
      </c>
      <c r="K4" s="209" t="s">
        <v>27</v>
      </c>
      <c r="L4" s="97"/>
      <c r="M4" s="74"/>
      <c r="N4" s="90">
        <v>3</v>
      </c>
      <c r="O4" s="31" t="e" vm="8">
        <f>INDEX(TablaEquipos[],MATCH(P4,TablaEquipos[Team],0),MATCH($O$1,TablaEquipos[#Headers],0))</f>
        <v>#VALUE!</v>
      </c>
      <c r="P4" s="32" t="str">
        <f>IFERROR(INDEX(Calcs!A$2:A$37,MATCH($N4,Calcs!$CJ$2:$CJ$37,0)),"")</f>
        <v>Real Madrid</v>
      </c>
      <c r="Q4" s="37">
        <f>IFERROR(INDEX(Calcs!$B$2:$AB$37,MATCH($N4,Calcs!$CJ$2:$CJ$37,0),MATCH(Q$1,Calcs!$B$1:$AB$1,0)),"")</f>
        <v>15</v>
      </c>
      <c r="R4" s="38">
        <f>IFERROR(INDEX(Calcs!$B$2:$AB$37,MATCH($N4,Calcs!$CJ$2:$CJ$37,0),MATCH(R$1,Calcs!$B$1:$AB$1,0)),"")</f>
        <v>7</v>
      </c>
      <c r="S4" s="38">
        <f>IFERROR(INDEX(Calcs!$B$2:$AB$37,MATCH($N4,Calcs!$CJ$2:$CJ$37,0),MATCH(S$1,Calcs!$B$1:$AB$1,0)),"")</f>
        <v>5</v>
      </c>
      <c r="T4" s="38">
        <f>IFERROR(INDEX(Calcs!$B$2:$AB$37,MATCH($N4,Calcs!$CJ$2:$CJ$37,0),MATCH(T$1,Calcs!$B$1:$AB$1,0)),"")</f>
        <v>0</v>
      </c>
      <c r="U4" s="38">
        <f>IFERROR(INDEX(Calcs!$B$2:$AB$37,MATCH($N4,Calcs!$CJ$2:$CJ$37,0),MATCH(U$1,Calcs!$B$1:$AB$1,0)),"")</f>
        <v>2</v>
      </c>
      <c r="V4" s="38">
        <f>IFERROR(INDEX(Calcs!$B$2:$AB$37,MATCH($N4,Calcs!$CJ$2:$CJ$37,0),MATCH(V$1,Calcs!$B$1:$AB$1,0)),"")</f>
        <v>19</v>
      </c>
      <c r="W4" s="38">
        <f>IFERROR(INDEX(Calcs!$B$2:$AB$37,MATCH($N4,Calcs!$CJ$2:$CJ$37,0),MATCH(W$1,Calcs!$B$1:$AB$1,0)),"")</f>
        <v>8</v>
      </c>
      <c r="X4" s="35">
        <f>IFERROR(INDEX(Calcs!$B$2:$AB$37,MATCH($N4,Calcs!$CJ$2:$CJ$37,0),MATCH(X$1,Calcs!$B$1:$AB$1,0)),"")</f>
        <v>11</v>
      </c>
      <c r="Y4" s="37">
        <f>IFERROR(INDEX(Calcs!$B$2:$AB$37,MATCH($N4,Calcs!$CJ$2:$CJ$37,0),MATCH(Y$1,Calcs!$B$1:$AB$1,0)),"")</f>
        <v>9</v>
      </c>
      <c r="Z4" s="38">
        <f>IFERROR(INDEX(Calcs!$B$2:$AB$37,MATCH($N4,Calcs!$CJ$2:$CJ$37,0),MATCH(Z$1,Calcs!$B$1:$AB$1,0)),"")</f>
        <v>4</v>
      </c>
      <c r="AA4" s="38">
        <f>IFERROR(INDEX(Calcs!$B$2:$AB$37,MATCH($N4,Calcs!$CJ$2:$CJ$37,0),MATCH(AA$1,Calcs!$B$1:$AB$1,0)),"")</f>
        <v>3</v>
      </c>
      <c r="AB4" s="38">
        <f>IFERROR(INDEX(Calcs!$B$2:$AB$37,MATCH($N4,Calcs!$CJ$2:$CJ$37,0),MATCH(AB$1,Calcs!$B$1:$AB$1,0)),"")</f>
        <v>0</v>
      </c>
      <c r="AC4" s="38">
        <f>IFERROR(INDEX(Calcs!$B$2:$AB$37,MATCH($N4,Calcs!$CJ$2:$CJ$37,0),MATCH(AC$1,Calcs!$B$1:$AB$1,0)),"")</f>
        <v>1</v>
      </c>
      <c r="AD4" s="38">
        <f>IFERROR(INDEX(Calcs!$B$2:$AB$37,MATCH($N4,Calcs!$CJ$2:$CJ$37,0),MATCH(AD$1,Calcs!$B$1:$AB$1,0)),"")</f>
        <v>10</v>
      </c>
      <c r="AE4" s="38">
        <f>IFERROR(INDEX(Calcs!$B$2:$AB$37,MATCH($N4,Calcs!$CJ$2:$CJ$37,0),MATCH(AE$1,Calcs!$B$1:$AB$1,0)),"")</f>
        <v>4</v>
      </c>
      <c r="AF4" s="35">
        <f>IFERROR(INDEX(Calcs!$B$2:$AB$37,MATCH($N4,Calcs!$CJ$2:$CJ$37,0),MATCH(AF$1,Calcs!$B$1:$AB$1,0)),"")</f>
        <v>6</v>
      </c>
      <c r="AG4" s="37">
        <f>IFERROR(INDEX(Calcs!$B$2:$AB$37,MATCH($N4,Calcs!$CJ$2:$CJ$37,0),MATCH(AG$1,Calcs!$B$1:$AB$1,0)),"")</f>
        <v>6</v>
      </c>
      <c r="AH4" s="38">
        <f>IFERROR(INDEX(Calcs!$B$2:$AB$37,MATCH($N4,Calcs!$CJ$2:$CJ$37,0),MATCH(AH$1,Calcs!$B$1:$AB$1,0)),"")</f>
        <v>3</v>
      </c>
      <c r="AI4" s="38">
        <f>IFERROR(INDEX(Calcs!$B$2:$AB$37,MATCH($N4,Calcs!$CJ$2:$CJ$37,0),MATCH(AI$1,Calcs!$B$1:$AB$1,0)),"")</f>
        <v>2</v>
      </c>
      <c r="AJ4" s="38">
        <f>IFERROR(INDEX(Calcs!$B$2:$AB$37,MATCH($N4,Calcs!$CJ$2:$CJ$37,0),MATCH(AJ$1,Calcs!$B$1:$AB$1,0)),"")</f>
        <v>0</v>
      </c>
      <c r="AK4" s="38">
        <f>IFERROR(INDEX(Calcs!$B$2:$AB$37,MATCH($N4,Calcs!$CJ$2:$CJ$37,0),MATCH(AK$1,Calcs!$B$1:$AB$1,0)),"")</f>
        <v>1</v>
      </c>
      <c r="AL4" s="38">
        <f>IFERROR(INDEX(Calcs!$B$2:$AB$37,MATCH($N4,Calcs!$CJ$2:$CJ$37,0),MATCH(AL$1,Calcs!$B$1:$AB$1,0)),"")</f>
        <v>9</v>
      </c>
      <c r="AM4" s="38">
        <f>IFERROR(INDEX(Calcs!$B$2:$AB$37,MATCH($N4,Calcs!$CJ$2:$CJ$37,0),MATCH(AM$1,Calcs!$B$1:$AB$1,0)),"")</f>
        <v>4</v>
      </c>
      <c r="AN4" s="39">
        <f>IFERROR(INDEX(Calcs!$B$2:$AB$37,MATCH($N4,Calcs!$CJ$2:$CJ$37,0),MATCH(AN$1,Calcs!$B$1:$AB$1,0)),"")</f>
        <v>5</v>
      </c>
      <c r="AO4" s="38">
        <f>IFERROR(INDEX(Calcs!$B$2:$AB$37,MATCH($N4,Calcs!$CJ$2:$CJ$37,0),MATCH(AO$1,Calcs!$B$1:$AB$1,0)),"")</f>
        <v>73</v>
      </c>
      <c r="AP4" s="38">
        <f>IFERROR(INDEX(Calcs!$B$2:$AB$37,MATCH($N4,Calcs!$CJ$2:$CJ$37,0),MATCH(AP$1,Calcs!$B$1:$AB$1,0)),"")</f>
        <v>-15</v>
      </c>
      <c r="AQ4" s="39">
        <f>IFERROR(INDEX(Calcs!$B$2:$AB$37,MATCH($N4,Calcs!$CJ$2:$CJ$37,0),MATCH(AQ$1,Calcs!$B$1:$AB$1,0)),"")</f>
        <v>79</v>
      </c>
      <c r="AR4" s="74"/>
      <c r="AS4" s="9" t="str">
        <f>INDEX(Calcs!A$2:A$37,MATCH($N4,Calcs!$CF$2:$CF$37,0))</f>
        <v>Real Madrid</v>
      </c>
      <c r="AT4" s="177"/>
      <c r="AU4" s="149">
        <f>INDEX(Calcs!$BZ$2:$BZ$37,MATCH($AS4,Calcs!$A$2:$A$37,0))</f>
        <v>3</v>
      </c>
      <c r="AV4" s="149">
        <f t="shared" si="1"/>
        <v>1</v>
      </c>
      <c r="AW4" s="149" t="str">
        <f t="shared" si="2"/>
        <v>3.1</v>
      </c>
      <c r="AX4" s="149"/>
      <c r="AY4" s="74"/>
      <c r="AZ4" s="70" t="str">
        <f>TablaEquipos[[#This Row],[Team]]</f>
        <v>Atalanta</v>
      </c>
      <c r="BA4" s="178"/>
      <c r="BB4" s="74"/>
      <c r="BC4" s="74"/>
      <c r="BD4" s="74"/>
      <c r="BE4" s="74"/>
      <c r="BF4" s="247" t="str">
        <f t="shared" si="0"/>
        <v>Empate</v>
      </c>
      <c r="BH4" s="257">
        <v>3</v>
      </c>
      <c r="BI4" s="247" t="str" cm="1">
        <f t="array" ref="BI4">IFERROR(INDEX(Equipo_visitante,MATCH($BH4&amp;BI$1,Jornada&amp;Equipo_local,0)),INDEX(Equipo_local,MATCH($BH4&amp;BI$1,Jornada&amp;Equipo_visitante,0)))</f>
        <v>Chelsea</v>
      </c>
      <c r="BJ4" s="247" t="str" cm="1">
        <f t="array" ref="BJ4">IFERROR(INDEX(Equipo_visitante,MATCH($BH4&amp;BJ$1,Jornada&amp;Equipo_local,0)),INDEX(Equipo_local,MATCH($BH4&amp;BJ$1,Jornada&amp;Equipo_visitante,0)))</f>
        <v>Atlético Madrid</v>
      </c>
      <c r="BK4" s="247" t="str" cm="1">
        <f t="array" ref="BK4">IFERROR(INDEX(Equipo_visitante,MATCH($BH4&amp;BK$1,Jornada&amp;Equipo_local,0)),INDEX(Equipo_local,MATCH($BH4&amp;BK$1,Jornada&amp;Equipo_visitante,0)))</f>
        <v>Slavia Praha</v>
      </c>
      <c r="BL4" s="247" t="str" cm="1">
        <f t="array" ref="BL4">IFERROR(INDEX(Equipo_visitante,MATCH($BH4&amp;BL$1,Jornada&amp;Equipo_local,0)),INDEX(Equipo_local,MATCH($BH4&amp;BL$1,Jornada&amp;Equipo_visitante,0)))</f>
        <v>Qarabağ</v>
      </c>
      <c r="BM4" s="247" t="str" cm="1">
        <f t="array" ref="BM4">IFERROR(INDEX(Equipo_visitante,MATCH($BH4&amp;BM$1,Jornada&amp;Equipo_local,0)),INDEX(Equipo_local,MATCH($BH4&amp;BM$1,Jornada&amp;Equipo_visitante,0)))</f>
        <v>Arsenal</v>
      </c>
      <c r="BN4" s="247" t="str" cm="1">
        <f t="array" ref="BN4">IFERROR(INDEX(Equipo_visitante,MATCH($BH4&amp;BN$1,Jornada&amp;Equipo_local,0)),INDEX(Equipo_local,MATCH($BH4&amp;BN$1,Jornada&amp;Equipo_visitante,0)))</f>
        <v>Olympiakos</v>
      </c>
      <c r="BO4" s="247" t="str" cm="1">
        <f t="array" ref="BO4">IFERROR(INDEX(Equipo_visitante,MATCH($BH4&amp;BO$1,Jornada&amp;Equipo_local,0)),INDEX(Equipo_local,MATCH($BH4&amp;BO$1,Jornada&amp;Equipo_visitante,0)))</f>
        <v>PSG</v>
      </c>
      <c r="BP4" s="247" t="str" cm="1">
        <f t="array" ref="BP4">IFERROR(INDEX(Equipo_visitante,MATCH($BH4&amp;BP$1,Jornada&amp;Equipo_local,0)),INDEX(Equipo_local,MATCH($BH4&amp;BP$1,Jornada&amp;Equipo_visitante,0)))</f>
        <v>Brugge</v>
      </c>
      <c r="BQ4" s="247" t="str" cm="1">
        <f t="array" ref="BQ4">IFERROR(INDEX(Equipo_visitante,MATCH($BH4&amp;BQ$1,Jornada&amp;Equipo_local,0)),INDEX(Equipo_local,MATCH($BH4&amp;BQ$1,Jornada&amp;Equipo_visitante,0)))</f>
        <v>Newcastle</v>
      </c>
      <c r="BR4" s="247" t="str" cm="1">
        <f t="array" ref="BR4">IFERROR(INDEX(Equipo_visitante,MATCH($BH4&amp;BR$1,Jornada&amp;Equipo_local,0)),INDEX(Equipo_local,MATCH($BH4&amp;BR$1,Jornada&amp;Equipo_visitante,0)))</f>
        <v>Galatasaray</v>
      </c>
      <c r="BS4" s="247" t="str" cm="1">
        <f t="array" ref="BS4">IFERROR(INDEX(Equipo_visitante,MATCH($BH4&amp;BS$1,Jornada&amp;Equipo_local,0)),INDEX(Equipo_local,MATCH($BH4&amp;BS$1,Jornada&amp;Equipo_visitante,0)))</f>
        <v>Copenhagen</v>
      </c>
      <c r="BT4" s="247" t="str" cm="1">
        <f t="array" ref="BT4">IFERROR(INDEX(Equipo_visitante,MATCH($BH4&amp;BT$1,Jornada&amp;Equipo_local,0)),INDEX(Equipo_local,MATCH($BH4&amp;BT$1,Jornada&amp;Equipo_visitante,0)))</f>
        <v>Bayern München</v>
      </c>
      <c r="BU4" s="247" t="str" cm="1">
        <f t="array" ref="BU4">IFERROR(INDEX(Equipo_visitante,MATCH($BH4&amp;BU$1,Jornada&amp;Equipo_local,0)),INDEX(Equipo_local,MATCH($BH4&amp;BU$1,Jornada&amp;Equipo_visitante,0)))</f>
        <v>Ajax</v>
      </c>
      <c r="BV4" s="247" t="str" cm="1">
        <f t="array" ref="BV4">IFERROR(INDEX(Equipo_visitante,MATCH($BH4&amp;BV$1,Jornada&amp;Equipo_local,0)),INDEX(Equipo_local,MATCH($BH4&amp;BV$1,Jornada&amp;Equipo_visitante,0)))</f>
        <v>Borussia Dortmund</v>
      </c>
      <c r="BW4" s="247" t="str" cm="1">
        <f t="array" ref="BW4">IFERROR(INDEX(Equipo_visitante,MATCH($BH4&amp;BW$1,Jornada&amp;Equipo_local,0)),INDEX(Equipo_local,MATCH($BH4&amp;BW$1,Jornada&amp;Equipo_visitante,0)))</f>
        <v>Liverpool</v>
      </c>
      <c r="BX4" s="247" t="str" cm="1">
        <f t="array" ref="BX4">IFERROR(INDEX(Equipo_visitante,MATCH($BH4&amp;BX$1,Jornada&amp;Equipo_local,0)),INDEX(Equipo_local,MATCH($BH4&amp;BX$1,Jornada&amp;Equipo_visitante,0)))</f>
        <v>Bodø/Glimt</v>
      </c>
      <c r="BY4" s="247" t="str" cm="1">
        <f t="array" ref="BY4">IFERROR(INDEX(Equipo_visitante,MATCH($BH4&amp;BY$1,Jornada&amp;Equipo_local,0)),INDEX(Equipo_local,MATCH($BH4&amp;BY$1,Jornada&amp;Equipo_visitante,0)))</f>
        <v>Union Saint-Gilloise</v>
      </c>
      <c r="BZ4" s="247" t="str" cm="1">
        <f t="array" ref="BZ4">IFERROR(INDEX(Equipo_visitante,MATCH($BH4&amp;BZ$1,Jornada&amp;Equipo_local,0)),INDEX(Equipo_local,MATCH($BH4&amp;BZ$1,Jornada&amp;Equipo_visitante,0)))</f>
        <v>Real Madrid</v>
      </c>
      <c r="CA4" s="247" t="str" cm="1">
        <f t="array" ref="CA4">IFERROR(INDEX(Equipo_visitante,MATCH($BH4&amp;CA$1,Jornada&amp;Equipo_local,0)),INDEX(Equipo_local,MATCH($BH4&amp;CA$1,Jornada&amp;Equipo_visitante,0)))</f>
        <v>Pafos</v>
      </c>
      <c r="CB4" s="247" t="str" cm="1">
        <f t="array" ref="CB4">IFERROR(INDEX(Equipo_visitante,MATCH($BH4&amp;CB$1,Jornada&amp;Equipo_local,0)),INDEX(Equipo_local,MATCH($BH4&amp;CB$1,Jornada&amp;Equipo_visitante,0)))</f>
        <v>Eintracht Frankfurt</v>
      </c>
      <c r="CC4" s="247" t="str" cm="1">
        <f t="array" ref="CC4">IFERROR(INDEX(Equipo_visitante,MATCH($BH4&amp;CC$1,Jornada&amp;Equipo_local,0)),INDEX(Equipo_local,MATCH($BH4&amp;CC$1,Jornada&amp;Equipo_visitante,0)))</f>
        <v>Villarreal</v>
      </c>
      <c r="CD4" s="247" t="str" cm="1">
        <f t="array" ref="CD4">IFERROR(INDEX(Equipo_visitante,MATCH($BH4&amp;CD$1,Jornada&amp;Equipo_local,0)),INDEX(Equipo_local,MATCH($BH4&amp;CD$1,Jornada&amp;Equipo_visitante,0)))</f>
        <v>Sporting Portugal</v>
      </c>
      <c r="CE4" s="247" t="str" cm="1">
        <f t="array" ref="CE4">IFERROR(INDEX(Equipo_visitante,MATCH($BH4&amp;CE$1,Jornada&amp;Equipo_local,0)),INDEX(Equipo_local,MATCH($BH4&amp;CE$1,Jornada&amp;Equipo_visitante,0)))</f>
        <v>Tottenham</v>
      </c>
      <c r="CF4" s="247" t="str" cm="1">
        <f t="array" ref="CF4">IFERROR(INDEX(Equipo_visitante,MATCH($BH4&amp;CF$1,Jornada&amp;Equipo_local,0)),INDEX(Equipo_local,MATCH($BH4&amp;CF$1,Jornada&amp;Equipo_visitante,0)))</f>
        <v>PSV Eindhoven</v>
      </c>
      <c r="CG4" s="247" t="str" cm="1">
        <f t="array" ref="CG4">IFERROR(INDEX(Equipo_visitante,MATCH($BH4&amp;CG$1,Jornada&amp;Equipo_local,0)),INDEX(Equipo_local,MATCH($BH4&amp;CG$1,Jornada&amp;Equipo_visitante,0)))</f>
        <v>Benfica</v>
      </c>
      <c r="CH4" s="247" t="str" cm="1">
        <f t="array" ref="CH4">IFERROR(INDEX(Equipo_visitante,MATCH($BH4&amp;CH$1,Jornada&amp;Equipo_local,0)),INDEX(Equipo_local,MATCH($BH4&amp;CH$1,Jornada&amp;Equipo_visitante,0)))</f>
        <v>Barcelona</v>
      </c>
      <c r="CI4" s="247" t="str" cm="1">
        <f t="array" ref="CI4">IFERROR(INDEX(Equipo_visitante,MATCH($BH4&amp;CI$1,Jornada&amp;Equipo_local,0)),INDEX(Equipo_local,MATCH($BH4&amp;CI$1,Jornada&amp;Equipo_visitante,0)))</f>
        <v>Kairat Almaty </v>
      </c>
      <c r="CJ4" s="247" t="str" cm="1">
        <f t="array" ref="CJ4">IFERROR(INDEX(Equipo_visitante,MATCH($BH4&amp;CJ$1,Jornada&amp;Equipo_local,0)),INDEX(Equipo_local,MATCH($BH4&amp;CJ$1,Jornada&amp;Equipo_visitante,0)))</f>
        <v>Bayer Leverkusen</v>
      </c>
      <c r="CK4" s="247" t="str" cm="1">
        <f t="array" ref="CK4">IFERROR(INDEX(Equipo_visitante,MATCH($BH4&amp;CK$1,Jornada&amp;Equipo_local,0)),INDEX(Equipo_local,MATCH($BH4&amp;CK$1,Jornada&amp;Equipo_visitante,0)))</f>
        <v>Napoli</v>
      </c>
      <c r="CL4" s="247" t="str" cm="1">
        <f t="array" ref="CL4">IFERROR(INDEX(Equipo_visitante,MATCH($BH4&amp;CL$1,Jornada&amp;Equipo_local,0)),INDEX(Equipo_local,MATCH($BH4&amp;CL$1,Jornada&amp;Equipo_visitante,0)))</f>
        <v>Athletic Bilbao</v>
      </c>
      <c r="CM4" s="247" t="str" cm="1">
        <f t="array" ref="CM4">IFERROR(INDEX(Equipo_visitante,MATCH($BH4&amp;CM$1,Jornada&amp;Equipo_local,0)),INDEX(Equipo_local,MATCH($BH4&amp;CM$1,Jornada&amp;Equipo_visitante,0)))</f>
        <v>Juventus</v>
      </c>
      <c r="CN4" s="247" t="str" cm="1">
        <f t="array" ref="CN4">IFERROR(INDEX(Equipo_visitante,MATCH($BH4&amp;CN$1,Jornada&amp;Equipo_local,0)),INDEX(Equipo_local,MATCH($BH4&amp;CN$1,Jornada&amp;Equipo_visitante,0)))</f>
        <v>Atalanta</v>
      </c>
      <c r="CO4" s="247" t="str" cm="1">
        <f t="array" ref="CO4">IFERROR(INDEX(Equipo_visitante,MATCH($BH4&amp;CO$1,Jornada&amp;Equipo_local,0)),INDEX(Equipo_local,MATCH($BH4&amp;CO$1,Jornada&amp;Equipo_visitante,0)))</f>
        <v>Marseille</v>
      </c>
      <c r="CP4" s="247" t="str" cm="1">
        <f t="array" ref="CP4">IFERROR(INDEX(Equipo_visitante,MATCH($BH4&amp;CP$1,Jornada&amp;Equipo_local,0)),INDEX(Equipo_local,MATCH($BH4&amp;CP$1,Jornada&amp;Equipo_visitante,0)))</f>
        <v>Monaco</v>
      </c>
      <c r="CQ4" s="247" t="str" cm="1">
        <f t="array" ref="CQ4">IFERROR(INDEX(Equipo_visitante,MATCH($BH4&amp;CQ$1,Jornada&amp;Equipo_local,0)),INDEX(Equipo_local,MATCH($BH4&amp;CQ$1,Jornada&amp;Equipo_visitante,0)))</f>
        <v>Inter Milan</v>
      </c>
      <c r="CR4" s="247" t="str" cm="1">
        <f t="array" ref="CR4">IFERROR(INDEX(Equipo_visitante,MATCH($BH4&amp;CR$1,Jornada&amp;Equipo_local,0)),INDEX(Equipo_local,MATCH($BH4&amp;CR$1,Jornada&amp;Equipo_visitante,0)))</f>
        <v>Manchester City</v>
      </c>
      <c r="CS4" s="256"/>
      <c r="CT4" s="256"/>
      <c r="CU4" s="256"/>
      <c r="CV4" s="227"/>
    </row>
    <row r="5" spans="1:100" ht="17.100000000000001" customHeight="1">
      <c r="A5" s="222">
        <v>1</v>
      </c>
      <c r="B5" s="468">
        <f>Horarios!C5</f>
        <v>45916.875</v>
      </c>
      <c r="C5" s="469">
        <f>Horarios!C5</f>
        <v>45916.875</v>
      </c>
      <c r="D5" s="191" t="s">
        <v>28</v>
      </c>
      <c r="E5" s="79" t="e" vm="8">
        <f>INDEX(TablaEquipos[Badge],MATCH(D5,TablaEquipos[Team],0))</f>
        <v>#VALUE!</v>
      </c>
      <c r="F5" s="102"/>
      <c r="G5" s="470">
        <v>2</v>
      </c>
      <c r="H5" s="471">
        <v>1</v>
      </c>
      <c r="I5" s="472"/>
      <c r="J5" s="82" t="e" vm="9">
        <f>INDEX(TablaEquipos[Badge],MATCH(K5,TablaEquipos[Team],0))</f>
        <v>#VALUE!</v>
      </c>
      <c r="K5" s="209" t="s">
        <v>29</v>
      </c>
      <c r="L5" s="97"/>
      <c r="M5" s="74"/>
      <c r="N5" s="90">
        <v>4</v>
      </c>
      <c r="O5" s="31" t="e" vm="10">
        <f>INDEX(TablaEquipos[],MATCH(P5,TablaEquipos[Team],0),MATCH($O$1,TablaEquipos[#Headers],0))</f>
        <v>#VALUE!</v>
      </c>
      <c r="P5" s="32" t="str">
        <f>IFERROR(INDEX(Calcs!A$2:A$37,MATCH($N5,Calcs!$CJ$2:$CJ$37,0)),"")</f>
        <v>Liverpool</v>
      </c>
      <c r="Q5" s="37">
        <f>IFERROR(INDEX(Calcs!$B$2:$AB$37,MATCH($N5,Calcs!$CJ$2:$CJ$37,0),MATCH(Q$1,Calcs!$B$1:$AB$1,0)),"")</f>
        <v>15</v>
      </c>
      <c r="R5" s="38">
        <f>IFERROR(INDEX(Calcs!$B$2:$AB$37,MATCH($N5,Calcs!$CJ$2:$CJ$37,0),MATCH(R$1,Calcs!$B$1:$AB$1,0)),"")</f>
        <v>7</v>
      </c>
      <c r="S5" s="38">
        <f>IFERROR(INDEX(Calcs!$B$2:$AB$37,MATCH($N5,Calcs!$CJ$2:$CJ$37,0),MATCH(S$1,Calcs!$B$1:$AB$1,0)),"")</f>
        <v>5</v>
      </c>
      <c r="T5" s="38">
        <f>IFERROR(INDEX(Calcs!$B$2:$AB$37,MATCH($N5,Calcs!$CJ$2:$CJ$37,0),MATCH(T$1,Calcs!$B$1:$AB$1,0)),"")</f>
        <v>0</v>
      </c>
      <c r="U5" s="38">
        <f>IFERROR(INDEX(Calcs!$B$2:$AB$37,MATCH($N5,Calcs!$CJ$2:$CJ$37,0),MATCH(U$1,Calcs!$B$1:$AB$1,0)),"")</f>
        <v>2</v>
      </c>
      <c r="V5" s="38">
        <f>IFERROR(INDEX(Calcs!$B$2:$AB$37,MATCH($N5,Calcs!$CJ$2:$CJ$37,0),MATCH(V$1,Calcs!$B$1:$AB$1,0)),"")</f>
        <v>14</v>
      </c>
      <c r="W5" s="38">
        <f>IFERROR(INDEX(Calcs!$B$2:$AB$37,MATCH($N5,Calcs!$CJ$2:$CJ$37,0),MATCH(W$1,Calcs!$B$1:$AB$1,0)),"")</f>
        <v>8</v>
      </c>
      <c r="X5" s="35">
        <f>IFERROR(INDEX(Calcs!$B$2:$AB$37,MATCH($N5,Calcs!$CJ$2:$CJ$37,0),MATCH(X$1,Calcs!$B$1:$AB$1,0)),"")</f>
        <v>6</v>
      </c>
      <c r="Y5" s="37">
        <f>IFERROR(INDEX(Calcs!$B$2:$AB$37,MATCH($N5,Calcs!$CJ$2:$CJ$37,0),MATCH(Y$1,Calcs!$B$1:$AB$1,0)),"")</f>
        <v>6</v>
      </c>
      <c r="Z5" s="38">
        <f>IFERROR(INDEX(Calcs!$B$2:$AB$37,MATCH($N5,Calcs!$CJ$2:$CJ$37,0),MATCH(Z$1,Calcs!$B$1:$AB$1,0)),"")</f>
        <v>3</v>
      </c>
      <c r="AA5" s="38">
        <f>IFERROR(INDEX(Calcs!$B$2:$AB$37,MATCH($N5,Calcs!$CJ$2:$CJ$37,0),MATCH(AA$1,Calcs!$B$1:$AB$1,0)),"")</f>
        <v>2</v>
      </c>
      <c r="AB5" s="38">
        <f>IFERROR(INDEX(Calcs!$B$2:$AB$37,MATCH($N5,Calcs!$CJ$2:$CJ$37,0),MATCH(AB$1,Calcs!$B$1:$AB$1,0)),"")</f>
        <v>0</v>
      </c>
      <c r="AC5" s="38">
        <f>IFERROR(INDEX(Calcs!$B$2:$AB$37,MATCH($N5,Calcs!$CJ$2:$CJ$37,0),MATCH(AC$1,Calcs!$B$1:$AB$1,0)),"")</f>
        <v>1</v>
      </c>
      <c r="AD5" s="38">
        <f>IFERROR(INDEX(Calcs!$B$2:$AB$37,MATCH($N5,Calcs!$CJ$2:$CJ$37,0),MATCH(AD$1,Calcs!$B$1:$AB$1,0)),"")</f>
        <v>5</v>
      </c>
      <c r="AE5" s="38">
        <f>IFERROR(INDEX(Calcs!$B$2:$AB$37,MATCH($N5,Calcs!$CJ$2:$CJ$37,0),MATCH(AE$1,Calcs!$B$1:$AB$1,0)),"")</f>
        <v>6</v>
      </c>
      <c r="AF5" s="35">
        <f>IFERROR(INDEX(Calcs!$B$2:$AB$37,MATCH($N5,Calcs!$CJ$2:$CJ$37,0),MATCH(AF$1,Calcs!$B$1:$AB$1,0)),"")</f>
        <v>-1</v>
      </c>
      <c r="AG5" s="37">
        <f>IFERROR(INDEX(Calcs!$B$2:$AB$37,MATCH($N5,Calcs!$CJ$2:$CJ$37,0),MATCH(AG$1,Calcs!$B$1:$AB$1,0)),"")</f>
        <v>9</v>
      </c>
      <c r="AH5" s="38">
        <f>IFERROR(INDEX(Calcs!$B$2:$AB$37,MATCH($N5,Calcs!$CJ$2:$CJ$37,0),MATCH(AH$1,Calcs!$B$1:$AB$1,0)),"")</f>
        <v>4</v>
      </c>
      <c r="AI5" s="38">
        <f>IFERROR(INDEX(Calcs!$B$2:$AB$37,MATCH($N5,Calcs!$CJ$2:$CJ$37,0),MATCH(AI$1,Calcs!$B$1:$AB$1,0)),"")</f>
        <v>3</v>
      </c>
      <c r="AJ5" s="38">
        <f>IFERROR(INDEX(Calcs!$B$2:$AB$37,MATCH($N5,Calcs!$CJ$2:$CJ$37,0),MATCH(AJ$1,Calcs!$B$1:$AB$1,0)),"")</f>
        <v>0</v>
      </c>
      <c r="AK5" s="38">
        <f>IFERROR(INDEX(Calcs!$B$2:$AB$37,MATCH($N5,Calcs!$CJ$2:$CJ$37,0),MATCH(AK$1,Calcs!$B$1:$AB$1,0)),"")</f>
        <v>1</v>
      </c>
      <c r="AL5" s="38">
        <f>IFERROR(INDEX(Calcs!$B$2:$AB$37,MATCH($N5,Calcs!$CJ$2:$CJ$37,0),MATCH(AL$1,Calcs!$B$1:$AB$1,0)),"")</f>
        <v>9</v>
      </c>
      <c r="AM5" s="38">
        <f>IFERROR(INDEX(Calcs!$B$2:$AB$37,MATCH($N5,Calcs!$CJ$2:$CJ$37,0),MATCH(AM$1,Calcs!$B$1:$AB$1,0)),"")</f>
        <v>2</v>
      </c>
      <c r="AN5" s="39">
        <f>IFERROR(INDEX(Calcs!$B$2:$AB$37,MATCH($N5,Calcs!$CJ$2:$CJ$37,0),MATCH(AN$1,Calcs!$B$1:$AB$1,0)),"")</f>
        <v>7</v>
      </c>
      <c r="AO5" s="38">
        <f>IFERROR(INDEX(Calcs!$B$2:$AB$37,MATCH($N5,Calcs!$CJ$2:$CJ$37,0),MATCH(AO$1,Calcs!$B$1:$AB$1,0)),"")</f>
        <v>81</v>
      </c>
      <c r="AP5" s="38">
        <f>IFERROR(INDEX(Calcs!$B$2:$AB$37,MATCH($N5,Calcs!$CJ$2:$CJ$37,0),MATCH(AP$1,Calcs!$B$1:$AB$1,0)),"")</f>
        <v>10</v>
      </c>
      <c r="AQ5" s="39">
        <f>IFERROR(INDEX(Calcs!$B$2:$AB$37,MATCH($N5,Calcs!$CJ$2:$CJ$37,0),MATCH(AQ$1,Calcs!$B$1:$AB$1,0)),"")</f>
        <v>106</v>
      </c>
      <c r="AR5" s="74"/>
      <c r="AS5" s="9" t="str">
        <f>INDEX(Calcs!A$2:A$37,MATCH($N5,Calcs!$CF$2:$CF$37,0))</f>
        <v>Liverpool</v>
      </c>
      <c r="AT5" s="177"/>
      <c r="AU5" s="149">
        <f>INDEX(Calcs!$BZ$2:$BZ$37,MATCH($AS5,Calcs!$A$2:$A$37,0))</f>
        <v>4</v>
      </c>
      <c r="AV5" s="149">
        <f t="shared" si="1"/>
        <v>1</v>
      </c>
      <c r="AW5" s="149" t="str">
        <f t="shared" si="2"/>
        <v>4.1</v>
      </c>
      <c r="AX5" s="149"/>
      <c r="AY5" s="74"/>
      <c r="AZ5" s="71" t="str">
        <f>TablaEquipos[[#This Row],[Team]]</f>
        <v>Athletic Bilbao</v>
      </c>
      <c r="BA5" s="179"/>
      <c r="BB5" s="74"/>
      <c r="BC5" s="74"/>
      <c r="BD5" s="74"/>
      <c r="BE5" s="74"/>
      <c r="BF5" s="247" t="str">
        <f t="shared" si="0"/>
        <v>Local</v>
      </c>
      <c r="BH5" s="257">
        <v>4</v>
      </c>
      <c r="BI5" s="247" t="str" cm="1">
        <f t="array" ref="BI5">IFERROR(INDEX(Equipo_visitante,MATCH($BH5&amp;BI$1,Jornada&amp;Equipo_local,0)),INDEX(Equipo_local,MATCH($BH5&amp;BI$1,Jornada&amp;Equipo_visitante,0)))</f>
        <v>Galatasaray</v>
      </c>
      <c r="BJ5" s="247" t="str" cm="1">
        <f t="array" ref="BJ5">IFERROR(INDEX(Equipo_visitante,MATCH($BH5&amp;BJ$1,Jornada&amp;Equipo_local,0)),INDEX(Equipo_local,MATCH($BH5&amp;BJ$1,Jornada&amp;Equipo_visitante,0)))</f>
        <v>Slavia Praha</v>
      </c>
      <c r="BK5" s="247" t="str" cm="1">
        <f t="array" ref="BK5">IFERROR(INDEX(Equipo_visitante,MATCH($BH5&amp;BK$1,Jornada&amp;Equipo_local,0)),INDEX(Equipo_local,MATCH($BH5&amp;BK$1,Jornada&amp;Equipo_visitante,0)))</f>
        <v>Marseille</v>
      </c>
      <c r="BL5" s="247" t="str" cm="1">
        <f t="array" ref="BL5">IFERROR(INDEX(Equipo_visitante,MATCH($BH5&amp;BL$1,Jornada&amp;Equipo_local,0)),INDEX(Equipo_local,MATCH($BH5&amp;BL$1,Jornada&amp;Equipo_visitante,0)))</f>
        <v>Newcastle</v>
      </c>
      <c r="BM5" s="247" t="str" cm="1">
        <f t="array" ref="BM5">IFERROR(INDEX(Equipo_visitante,MATCH($BH5&amp;BM$1,Jornada&amp;Equipo_local,0)),INDEX(Equipo_local,MATCH($BH5&amp;BM$1,Jornada&amp;Equipo_visitante,0)))</f>
        <v>Union Saint-Gilloise</v>
      </c>
      <c r="BN5" s="247" t="str" cm="1">
        <f t="array" ref="BN5">IFERROR(INDEX(Equipo_visitante,MATCH($BH5&amp;BN$1,Jornada&amp;Equipo_local,0)),INDEX(Equipo_local,MATCH($BH5&amp;BN$1,Jornada&amp;Equipo_visitante,0)))</f>
        <v>Brugge</v>
      </c>
      <c r="BO5" s="247" t="str" cm="1">
        <f t="array" ref="BO5">IFERROR(INDEX(Equipo_visitante,MATCH($BH5&amp;BO$1,Jornada&amp;Equipo_local,0)),INDEX(Equipo_local,MATCH($BH5&amp;BO$1,Jornada&amp;Equipo_visitante,0)))</f>
        <v>Benfica</v>
      </c>
      <c r="BP5" s="247" t="str" cm="1">
        <f t="array" ref="BP5">IFERROR(INDEX(Equipo_visitante,MATCH($BH5&amp;BP$1,Jornada&amp;Equipo_local,0)),INDEX(Equipo_local,MATCH($BH5&amp;BP$1,Jornada&amp;Equipo_visitante,0)))</f>
        <v>PSG</v>
      </c>
      <c r="BQ5" s="247" t="str" cm="1">
        <f t="array" ref="BQ5">IFERROR(INDEX(Equipo_visitante,MATCH($BH5&amp;BQ$1,Jornada&amp;Equipo_local,0)),INDEX(Equipo_local,MATCH($BH5&amp;BQ$1,Jornada&amp;Equipo_visitante,0)))</f>
        <v>Bayer Leverkusen</v>
      </c>
      <c r="BR5" s="247" t="str" cm="1">
        <f t="array" ref="BR5">IFERROR(INDEX(Equipo_visitante,MATCH($BH5&amp;BR$1,Jornada&amp;Equipo_local,0)),INDEX(Equipo_local,MATCH($BH5&amp;BR$1,Jornada&amp;Equipo_visitante,0)))</f>
        <v>Monaco</v>
      </c>
      <c r="BS5" s="247" t="str" cm="1">
        <f t="array" ref="BS5">IFERROR(INDEX(Equipo_visitante,MATCH($BH5&amp;BS$1,Jornada&amp;Equipo_local,0)),INDEX(Equipo_local,MATCH($BH5&amp;BS$1,Jornada&amp;Equipo_visitante,0)))</f>
        <v>Manchester City</v>
      </c>
      <c r="BT5" s="247" t="str" cm="1">
        <f t="array" ref="BT5">IFERROR(INDEX(Equipo_visitante,MATCH($BH5&amp;BT$1,Jornada&amp;Equipo_local,0)),INDEX(Equipo_local,MATCH($BH5&amp;BT$1,Jornada&amp;Equipo_visitante,0)))</f>
        <v>Barcelona</v>
      </c>
      <c r="BU5" s="247" t="str" cm="1">
        <f t="array" ref="BU5">IFERROR(INDEX(Equipo_visitante,MATCH($BH5&amp;BU$1,Jornada&amp;Equipo_local,0)),INDEX(Equipo_local,MATCH($BH5&amp;BU$1,Jornada&amp;Equipo_visitante,0)))</f>
        <v>Qarabağ</v>
      </c>
      <c r="BV5" s="247" t="str" cm="1">
        <f t="array" ref="BV5">IFERROR(INDEX(Equipo_visitante,MATCH($BH5&amp;BV$1,Jornada&amp;Equipo_local,0)),INDEX(Equipo_local,MATCH($BH5&amp;BV$1,Jornada&amp;Equipo_visitante,0)))</f>
        <v>Tottenham</v>
      </c>
      <c r="BW5" s="247" t="str" cm="1">
        <f t="array" ref="BW5">IFERROR(INDEX(Equipo_visitante,MATCH($BH5&amp;BW$1,Jornada&amp;Equipo_local,0)),INDEX(Equipo_local,MATCH($BH5&amp;BW$1,Jornada&amp;Equipo_visitante,0)))</f>
        <v>Napoli</v>
      </c>
      <c r="BX5" s="247" t="str" cm="1">
        <f t="array" ref="BX5">IFERROR(INDEX(Equipo_visitante,MATCH($BH5&amp;BX$1,Jornada&amp;Equipo_local,0)),INDEX(Equipo_local,MATCH($BH5&amp;BX$1,Jornada&amp;Equipo_visitante,0)))</f>
        <v>Ajax</v>
      </c>
      <c r="BY5" s="247" t="str" cm="1">
        <f t="array" ref="BY5">IFERROR(INDEX(Equipo_visitante,MATCH($BH5&amp;BY$1,Jornada&amp;Equipo_local,0)),INDEX(Equipo_local,MATCH($BH5&amp;BY$1,Jornada&amp;Equipo_visitante,0)))</f>
        <v>Kairat Almaty </v>
      </c>
      <c r="BZ5" s="247" t="str" cm="1">
        <f t="array" ref="BZ5">IFERROR(INDEX(Equipo_visitante,MATCH($BH5&amp;BZ$1,Jornada&amp;Equipo_local,0)),INDEX(Equipo_local,MATCH($BH5&amp;BZ$1,Jornada&amp;Equipo_visitante,0)))</f>
        <v>Sporting Portugal</v>
      </c>
      <c r="CA5" s="247" t="str" cm="1">
        <f t="array" ref="CA5">IFERROR(INDEX(Equipo_visitante,MATCH($BH5&amp;CA$1,Jornada&amp;Equipo_local,0)),INDEX(Equipo_local,MATCH($BH5&amp;CA$1,Jornada&amp;Equipo_visitante,0)))</f>
        <v>Inter Milan</v>
      </c>
      <c r="CB5" s="247" t="str" cm="1">
        <f t="array" ref="CB5">IFERROR(INDEX(Equipo_visitante,MATCH($BH5&amp;CB$1,Jornada&amp;Equipo_local,0)),INDEX(Equipo_local,MATCH($BH5&amp;CB$1,Jornada&amp;Equipo_visitante,0)))</f>
        <v>Real Madrid</v>
      </c>
      <c r="CC5" s="247" t="str" cm="1">
        <f t="array" ref="CC5">IFERROR(INDEX(Equipo_visitante,MATCH($BH5&amp;CC$1,Jornada&amp;Equipo_local,0)),INDEX(Equipo_local,MATCH($BH5&amp;CC$1,Jornada&amp;Equipo_visitante,0)))</f>
        <v>Borussia Dortmund</v>
      </c>
      <c r="CD5" s="247" t="str" cm="1">
        <f t="array" ref="CD5">IFERROR(INDEX(Equipo_visitante,MATCH($BH5&amp;CD$1,Jornada&amp;Equipo_local,0)),INDEX(Equipo_local,MATCH($BH5&amp;CD$1,Jornada&amp;Equipo_visitante,0)))</f>
        <v>Atalanta</v>
      </c>
      <c r="CE5" s="247" t="str" cm="1">
        <f t="array" ref="CE5">IFERROR(INDEX(Equipo_visitante,MATCH($BH5&amp;CE$1,Jornada&amp;Equipo_local,0)),INDEX(Equipo_local,MATCH($BH5&amp;CE$1,Jornada&amp;Equipo_visitante,0)))</f>
        <v>Bodø/Glimt</v>
      </c>
      <c r="CF5" s="247" t="str" cm="1">
        <f t="array" ref="CF5">IFERROR(INDEX(Equipo_visitante,MATCH($BH5&amp;CF$1,Jornada&amp;Equipo_local,0)),INDEX(Equipo_local,MATCH($BH5&amp;CF$1,Jornada&amp;Equipo_visitante,0)))</f>
        <v>Eintracht Frankfurt</v>
      </c>
      <c r="CG5" s="247" t="str" cm="1">
        <f t="array" ref="CG5">IFERROR(INDEX(Equipo_visitante,MATCH($BH5&amp;CG$1,Jornada&amp;Equipo_local,0)),INDEX(Equipo_local,MATCH($BH5&amp;CG$1,Jornada&amp;Equipo_visitante,0)))</f>
        <v>Athletic Bilbao</v>
      </c>
      <c r="CH5" s="247" t="str" cm="1">
        <f t="array" ref="CH5">IFERROR(INDEX(Equipo_visitante,MATCH($BH5&amp;CH$1,Jornada&amp;Equipo_local,0)),INDEX(Equipo_local,MATCH($BH5&amp;CH$1,Jornada&amp;Equipo_visitante,0)))</f>
        <v>PSV Eindhoven</v>
      </c>
      <c r="CI5" s="247" t="str" cm="1">
        <f t="array" ref="CI5">IFERROR(INDEX(Equipo_visitante,MATCH($BH5&amp;CI$1,Jornada&amp;Equipo_local,0)),INDEX(Equipo_local,MATCH($BH5&amp;CI$1,Jornada&amp;Equipo_visitante,0)))</f>
        <v>Villarreal</v>
      </c>
      <c r="CJ5" s="247" t="str" cm="1">
        <f t="array" ref="CJ5">IFERROR(INDEX(Equipo_visitante,MATCH($BH5&amp;CJ$1,Jornada&amp;Equipo_local,0)),INDEX(Equipo_local,MATCH($BH5&amp;CJ$1,Jornada&amp;Equipo_visitante,0)))</f>
        <v>Bayern München</v>
      </c>
      <c r="CK5" s="247" t="str" cm="1">
        <f t="array" ref="CK5">IFERROR(INDEX(Equipo_visitante,MATCH($BH5&amp;CK$1,Jornada&amp;Equipo_local,0)),INDEX(Equipo_local,MATCH($BH5&amp;CK$1,Jornada&amp;Equipo_visitante,0)))</f>
        <v>Olympiakos</v>
      </c>
      <c r="CL5" s="247" t="str" cm="1">
        <f t="array" ref="CL5">IFERROR(INDEX(Equipo_visitante,MATCH($BH5&amp;CL$1,Jornada&amp;Equipo_local,0)),INDEX(Equipo_local,MATCH($BH5&amp;CL$1,Jornada&amp;Equipo_visitante,0)))</f>
        <v>Chelsea</v>
      </c>
      <c r="CM5" s="247" t="str" cm="1">
        <f t="array" ref="CM5">IFERROR(INDEX(Equipo_visitante,MATCH($BH5&amp;CM$1,Jornada&amp;Equipo_local,0)),INDEX(Equipo_local,MATCH($BH5&amp;CM$1,Jornada&amp;Equipo_visitante,0)))</f>
        <v>Liverpool</v>
      </c>
      <c r="CN5" s="247" t="str" cm="1">
        <f t="array" ref="CN5">IFERROR(INDEX(Equipo_visitante,MATCH($BH5&amp;CN$1,Jornada&amp;Equipo_local,0)),INDEX(Equipo_local,MATCH($BH5&amp;CN$1,Jornada&amp;Equipo_visitante,0)))</f>
        <v>Arsenal</v>
      </c>
      <c r="CO5" s="247" t="str" cm="1">
        <f t="array" ref="CO5">IFERROR(INDEX(Equipo_visitante,MATCH($BH5&amp;CO$1,Jornada&amp;Equipo_local,0)),INDEX(Equipo_local,MATCH($BH5&amp;CO$1,Jornada&amp;Equipo_visitante,0)))</f>
        <v>Juventus</v>
      </c>
      <c r="CP5" s="247" t="str" cm="1">
        <f t="array" ref="CP5">IFERROR(INDEX(Equipo_visitante,MATCH($BH5&amp;CP$1,Jornada&amp;Equipo_local,0)),INDEX(Equipo_local,MATCH($BH5&amp;CP$1,Jornada&amp;Equipo_visitante,0)))</f>
        <v>Copenhagen</v>
      </c>
      <c r="CQ5" s="247" t="str" cm="1">
        <f t="array" ref="CQ5">IFERROR(INDEX(Equipo_visitante,MATCH($BH5&amp;CQ$1,Jornada&amp;Equipo_local,0)),INDEX(Equipo_local,MATCH($BH5&amp;CQ$1,Jornada&amp;Equipo_visitante,0)))</f>
        <v>Atlético Madrid</v>
      </c>
      <c r="CR5" s="247" t="str" cm="1">
        <f t="array" ref="CR5">IFERROR(INDEX(Equipo_visitante,MATCH($BH5&amp;CR$1,Jornada&amp;Equipo_local,0)),INDEX(Equipo_local,MATCH($BH5&amp;CR$1,Jornada&amp;Equipo_visitante,0)))</f>
        <v>Pafos</v>
      </c>
      <c r="CS5" s="256"/>
      <c r="CT5" s="256"/>
      <c r="CU5" s="256"/>
      <c r="CV5" s="227"/>
    </row>
    <row r="6" spans="1:100" ht="17.100000000000001" customHeight="1">
      <c r="A6" s="473">
        <v>1</v>
      </c>
      <c r="B6" s="474">
        <f>Horarios!C6</f>
        <v>45916.875</v>
      </c>
      <c r="C6" s="475">
        <f>Horarios!C6</f>
        <v>45916.875</v>
      </c>
      <c r="D6" s="192" t="s">
        <v>30</v>
      </c>
      <c r="E6" s="80" t="e" vm="11">
        <f>INDEX(TablaEquipos[Badge],MATCH(D6,TablaEquipos[Team],0))</f>
        <v>#VALUE!</v>
      </c>
      <c r="F6" s="103"/>
      <c r="G6" s="476">
        <v>2</v>
      </c>
      <c r="H6" s="477">
        <v>3</v>
      </c>
      <c r="I6" s="478"/>
      <c r="J6" s="81" t="e" vm="12">
        <f>INDEX(TablaEquipos[Badge],MATCH(K6,TablaEquipos[Team],0))</f>
        <v>#VALUE!</v>
      </c>
      <c r="K6" s="403" t="s">
        <v>31</v>
      </c>
      <c r="L6" s="97"/>
      <c r="M6" s="74"/>
      <c r="N6" s="90">
        <v>5</v>
      </c>
      <c r="O6" s="31" t="e" vm="13">
        <f>INDEX(TablaEquipos[],MATCH(P6,TablaEquipos[Team],0),MATCH($O$1,TablaEquipos[#Headers],0))</f>
        <v>#VALUE!</v>
      </c>
      <c r="P6" s="40" t="str">
        <f>IFERROR(INDEX(Calcs!A$2:A$37,MATCH($N6,Calcs!$CJ$2:$CJ$37,0)),"")</f>
        <v>Tottenham</v>
      </c>
      <c r="Q6" s="33">
        <f>IFERROR(INDEX(Calcs!$B$2:$AB$37,MATCH($N6,Calcs!$CJ$2:$CJ$37,0),MATCH(Q$1,Calcs!$B$1:$AB$1,0)),"")</f>
        <v>14</v>
      </c>
      <c r="R6" s="34">
        <f>IFERROR(INDEX(Calcs!$B$2:$AB$37,MATCH($N6,Calcs!$CJ$2:$CJ$37,0),MATCH(R$1,Calcs!$B$1:$AB$1,0)),"")</f>
        <v>7</v>
      </c>
      <c r="S6" s="34">
        <f>IFERROR(INDEX(Calcs!$B$2:$AB$37,MATCH($N6,Calcs!$CJ$2:$CJ$37,0),MATCH(S$1,Calcs!$B$1:$AB$1,0)),"")</f>
        <v>4</v>
      </c>
      <c r="T6" s="34">
        <f>IFERROR(INDEX(Calcs!$B$2:$AB$37,MATCH($N6,Calcs!$CJ$2:$CJ$37,0),MATCH(T$1,Calcs!$B$1:$AB$1,0)),"")</f>
        <v>2</v>
      </c>
      <c r="U6" s="34">
        <f>IFERROR(INDEX(Calcs!$B$2:$AB$37,MATCH($N6,Calcs!$CJ$2:$CJ$37,0),MATCH(U$1,Calcs!$B$1:$AB$1,0)),"")</f>
        <v>1</v>
      </c>
      <c r="V6" s="34">
        <f>IFERROR(INDEX(Calcs!$B$2:$AB$37,MATCH($N6,Calcs!$CJ$2:$CJ$37,0),MATCH(V$1,Calcs!$B$1:$AB$1,0)),"")</f>
        <v>15</v>
      </c>
      <c r="W6" s="34">
        <f>IFERROR(INDEX(Calcs!$B$2:$AB$37,MATCH($N6,Calcs!$CJ$2:$CJ$37,0),MATCH(W$1,Calcs!$B$1:$AB$1,0)),"")</f>
        <v>7</v>
      </c>
      <c r="X6" s="41">
        <f>IFERROR(INDEX(Calcs!$B$2:$AB$37,MATCH($N6,Calcs!$CJ$2:$CJ$37,0),MATCH(X$1,Calcs!$B$1:$AB$1,0)),"")</f>
        <v>8</v>
      </c>
      <c r="Y6" s="33">
        <f>IFERROR(INDEX(Calcs!$B$2:$AB$37,MATCH($N6,Calcs!$CJ$2:$CJ$37,0),MATCH(Y$1,Calcs!$B$1:$AB$1,0)),"")</f>
        <v>12</v>
      </c>
      <c r="Z6" s="34">
        <f>IFERROR(INDEX(Calcs!$B$2:$AB$37,MATCH($N6,Calcs!$CJ$2:$CJ$37,0),MATCH(Z$1,Calcs!$B$1:$AB$1,0)),"")</f>
        <v>4</v>
      </c>
      <c r="AA6" s="34">
        <f>IFERROR(INDEX(Calcs!$B$2:$AB$37,MATCH($N6,Calcs!$CJ$2:$CJ$37,0),MATCH(AA$1,Calcs!$B$1:$AB$1,0)),"")</f>
        <v>4</v>
      </c>
      <c r="AB6" s="34">
        <f>IFERROR(INDEX(Calcs!$B$2:$AB$37,MATCH($N6,Calcs!$CJ$2:$CJ$37,0),MATCH(AB$1,Calcs!$B$1:$AB$1,0)),"")</f>
        <v>0</v>
      </c>
      <c r="AC6" s="34">
        <f>IFERROR(INDEX(Calcs!$B$2:$AB$37,MATCH($N6,Calcs!$CJ$2:$CJ$37,0),MATCH(AC$1,Calcs!$B$1:$AB$1,0)),"")</f>
        <v>0</v>
      </c>
      <c r="AD6" s="34">
        <f>IFERROR(INDEX(Calcs!$B$2:$AB$37,MATCH($N6,Calcs!$CJ$2:$CJ$37,0),MATCH(AD$1,Calcs!$B$1:$AB$1,0)),"")</f>
        <v>10</v>
      </c>
      <c r="AE6" s="34">
        <f>IFERROR(INDEX(Calcs!$B$2:$AB$37,MATCH($N6,Calcs!$CJ$2:$CJ$37,0),MATCH(AE$1,Calcs!$B$1:$AB$1,0)),"")</f>
        <v>0</v>
      </c>
      <c r="AF6" s="41">
        <f>IFERROR(INDEX(Calcs!$B$2:$AB$37,MATCH($N6,Calcs!$CJ$2:$CJ$37,0),MATCH(AF$1,Calcs!$B$1:$AB$1,0)),"")</f>
        <v>10</v>
      </c>
      <c r="AG6" s="33">
        <f>IFERROR(INDEX(Calcs!$B$2:$AB$37,MATCH($N6,Calcs!$CJ$2:$CJ$37,0),MATCH(AG$1,Calcs!$B$1:$AB$1,0)),"")</f>
        <v>2</v>
      </c>
      <c r="AH6" s="34">
        <f>IFERROR(INDEX(Calcs!$B$2:$AB$37,MATCH($N6,Calcs!$CJ$2:$CJ$37,0),MATCH(AH$1,Calcs!$B$1:$AB$1,0)),"")</f>
        <v>3</v>
      </c>
      <c r="AI6" s="34">
        <f>IFERROR(INDEX(Calcs!$B$2:$AB$37,MATCH($N6,Calcs!$CJ$2:$CJ$37,0),MATCH(AI$1,Calcs!$B$1:$AB$1,0)),"")</f>
        <v>0</v>
      </c>
      <c r="AJ6" s="34">
        <f>IFERROR(INDEX(Calcs!$B$2:$AB$37,MATCH($N6,Calcs!$CJ$2:$CJ$37,0),MATCH(AJ$1,Calcs!$B$1:$AB$1,0)),"")</f>
        <v>2</v>
      </c>
      <c r="AK6" s="34">
        <f>IFERROR(INDEX(Calcs!$B$2:$AB$37,MATCH($N6,Calcs!$CJ$2:$CJ$37,0),MATCH(AK$1,Calcs!$B$1:$AB$1,0)),"")</f>
        <v>1</v>
      </c>
      <c r="AL6" s="34">
        <f>IFERROR(INDEX(Calcs!$B$2:$AB$37,MATCH($N6,Calcs!$CJ$2:$CJ$37,0),MATCH(AL$1,Calcs!$B$1:$AB$1,0)),"")</f>
        <v>5</v>
      </c>
      <c r="AM6" s="34">
        <f>IFERROR(INDEX(Calcs!$B$2:$AB$37,MATCH($N6,Calcs!$CJ$2:$CJ$37,0),MATCH(AM$1,Calcs!$B$1:$AB$1,0)),"")</f>
        <v>7</v>
      </c>
      <c r="AN6" s="36">
        <f>IFERROR(INDEX(Calcs!$B$2:$AB$37,MATCH($N6,Calcs!$CJ$2:$CJ$37,0),MATCH(AN$1,Calcs!$B$1:$AB$1,0)),"")</f>
        <v>-2</v>
      </c>
      <c r="AO6" s="34">
        <f>IFERROR(INDEX(Calcs!$B$2:$AB$37,MATCH($N6,Calcs!$CJ$2:$CJ$37,0),MATCH(AO$1,Calcs!$B$1:$AB$1,0)),"")</f>
        <v>55</v>
      </c>
      <c r="AP6" s="34">
        <f>IFERROR(INDEX(Calcs!$B$2:$AB$37,MATCH($N6,Calcs!$CJ$2:$CJ$37,0),MATCH(AP$1,Calcs!$B$1:$AB$1,0)),"")</f>
        <v>-30</v>
      </c>
      <c r="AQ6" s="36">
        <f>IFERROR(INDEX(Calcs!$B$2:$AB$37,MATCH($N6,Calcs!$CJ$2:$CJ$37,0),MATCH(AQ$1,Calcs!$B$1:$AB$1,0)),"")</f>
        <v>89</v>
      </c>
      <c r="AR6" s="74"/>
      <c r="AS6" s="9" t="str">
        <f>INDEX(Calcs!A$2:A$37,MATCH($N6,Calcs!$CF$2:$CF$37,0))</f>
        <v>Tottenham</v>
      </c>
      <c r="AT6" s="177"/>
      <c r="AU6" s="149">
        <f>INDEX(Calcs!$BZ$2:$BZ$37,MATCH($AS6,Calcs!$A$2:$A$37,0))</f>
        <v>5</v>
      </c>
      <c r="AV6" s="149">
        <f t="shared" si="1"/>
        <v>1</v>
      </c>
      <c r="AW6" s="149" t="str">
        <f t="shared" si="2"/>
        <v>5.1</v>
      </c>
      <c r="AX6" s="149"/>
      <c r="AY6" s="74"/>
      <c r="AZ6" s="70" t="str">
        <f>TablaEquipos[[#This Row],[Team]]</f>
        <v>Atlético Madrid</v>
      </c>
      <c r="BA6" s="178"/>
      <c r="BB6" s="74"/>
      <c r="BC6" s="74"/>
      <c r="BD6" s="74"/>
      <c r="BE6" s="74"/>
      <c r="BF6" s="247" t="str">
        <f t="shared" si="0"/>
        <v>Visitante</v>
      </c>
      <c r="BG6" s="256" t="str" cm="1">
        <f t="array" ref="BG6">IFERROR(INDEX(Equipo_visitante,SMALL(IF(BI$1=Equipo_local,ROW(Equipo_visitante)-MIN(ROW(Equipo_local))+1,""),ROW()-5)),"")</f>
        <v>Inter Milan</v>
      </c>
      <c r="BH6" s="257">
        <v>5</v>
      </c>
      <c r="BI6" s="247" t="str" cm="1">
        <f t="array" ref="BI6">IFERROR(INDEX(Equipo_visitante,MATCH($BH6&amp;BI$1,Jornada&amp;Equipo_local,0)),INDEX(Equipo_local,MATCH($BH6&amp;BI$1,Jornada&amp;Equipo_visitante,0)))</f>
        <v>Benfica</v>
      </c>
      <c r="BJ6" s="247" t="str" cm="1">
        <f t="array" ref="BJ6">IFERROR(INDEX(Equipo_visitante,MATCH($BH6&amp;BJ$1,Jornada&amp;Equipo_local,0)),INDEX(Equipo_local,MATCH($BH6&amp;BJ$1,Jornada&amp;Equipo_visitante,0)))</f>
        <v>Bayern München</v>
      </c>
      <c r="BK6" s="247" t="str" cm="1">
        <f t="array" ref="BK6">IFERROR(INDEX(Equipo_visitante,MATCH($BH6&amp;BK$1,Jornada&amp;Equipo_local,0)),INDEX(Equipo_local,MATCH($BH6&amp;BK$1,Jornada&amp;Equipo_visitante,0)))</f>
        <v>Eintracht Frankfurt</v>
      </c>
      <c r="BL6" s="247" t="str" cm="1">
        <f t="array" ref="BL6">IFERROR(INDEX(Equipo_visitante,MATCH($BH6&amp;BL$1,Jornada&amp;Equipo_local,0)),INDEX(Equipo_local,MATCH($BH6&amp;BL$1,Jornada&amp;Equipo_visitante,0)))</f>
        <v>Slavia Praha</v>
      </c>
      <c r="BM6" s="247" t="str" cm="1">
        <f t="array" ref="BM6">IFERROR(INDEX(Equipo_visitante,MATCH($BH6&amp;BM$1,Jornada&amp;Equipo_local,0)),INDEX(Equipo_local,MATCH($BH6&amp;BM$1,Jornada&amp;Equipo_visitante,0)))</f>
        <v>Inter Milan</v>
      </c>
      <c r="BN6" s="247" t="str" cm="1">
        <f t="array" ref="BN6">IFERROR(INDEX(Equipo_visitante,MATCH($BH6&amp;BN$1,Jornada&amp;Equipo_local,0)),INDEX(Equipo_local,MATCH($BH6&amp;BN$1,Jornada&amp;Equipo_visitante,0)))</f>
        <v>Chelsea</v>
      </c>
      <c r="BO6" s="247" t="str" cm="1">
        <f t="array" ref="BO6">IFERROR(INDEX(Equipo_visitante,MATCH($BH6&amp;BO$1,Jornada&amp;Equipo_local,0)),INDEX(Equipo_local,MATCH($BH6&amp;BO$1,Jornada&amp;Equipo_visitante,0)))</f>
        <v>Manchester City</v>
      </c>
      <c r="BP6" s="247" t="str" cm="1">
        <f t="array" ref="BP6">IFERROR(INDEX(Equipo_visitante,MATCH($BH6&amp;BP$1,Jornada&amp;Equipo_local,0)),INDEX(Equipo_local,MATCH($BH6&amp;BP$1,Jornada&amp;Equipo_visitante,0)))</f>
        <v>Arsenal</v>
      </c>
      <c r="BQ6" s="247" t="str" cm="1">
        <f t="array" ref="BQ6">IFERROR(INDEX(Equipo_visitante,MATCH($BH6&amp;BQ$1,Jornada&amp;Equipo_local,0)),INDEX(Equipo_local,MATCH($BH6&amp;BQ$1,Jornada&amp;Equipo_visitante,0)))</f>
        <v>Ajax</v>
      </c>
      <c r="BR6" s="247" t="str" cm="1">
        <f t="array" ref="BR6">IFERROR(INDEX(Equipo_visitante,MATCH($BH6&amp;BR$1,Jornada&amp;Equipo_local,0)),INDEX(Equipo_local,MATCH($BH6&amp;BR$1,Jornada&amp;Equipo_visitante,0)))</f>
        <v>Juventus</v>
      </c>
      <c r="BS6" s="247" t="str" cm="1">
        <f t="array" ref="BS6">IFERROR(INDEX(Equipo_visitante,MATCH($BH6&amp;BS$1,Jornada&amp;Equipo_local,0)),INDEX(Equipo_local,MATCH($BH6&amp;BS$1,Jornada&amp;Equipo_visitante,0)))</f>
        <v>Villarreal</v>
      </c>
      <c r="BT6" s="247" t="str" cm="1">
        <f t="array" ref="BT6">IFERROR(INDEX(Equipo_visitante,MATCH($BH6&amp;BT$1,Jornada&amp;Equipo_local,0)),INDEX(Equipo_local,MATCH($BH6&amp;BT$1,Jornada&amp;Equipo_visitante,0)))</f>
        <v>Sporting Portugal</v>
      </c>
      <c r="BU6" s="247" t="str" cm="1">
        <f t="array" ref="BU6">IFERROR(INDEX(Equipo_visitante,MATCH($BH6&amp;BU$1,Jornada&amp;Equipo_local,0)),INDEX(Equipo_local,MATCH($BH6&amp;BU$1,Jornada&amp;Equipo_visitante,0)))</f>
        <v>Barcelona</v>
      </c>
      <c r="BV6" s="247" t="str" cm="1">
        <f t="array" ref="BV6">IFERROR(INDEX(Equipo_visitante,MATCH($BH6&amp;BV$1,Jornada&amp;Equipo_local,0)),INDEX(Equipo_local,MATCH($BH6&amp;BV$1,Jornada&amp;Equipo_visitante,0)))</f>
        <v>Kairat Almaty </v>
      </c>
      <c r="BW6" s="247" t="str" cm="1">
        <f t="array" ref="BW6">IFERROR(INDEX(Equipo_visitante,MATCH($BH6&amp;BW$1,Jornada&amp;Equipo_local,0)),INDEX(Equipo_local,MATCH($BH6&amp;BW$1,Jornada&amp;Equipo_visitante,0)))</f>
        <v>Atalanta</v>
      </c>
      <c r="BX6" s="247" t="str" cm="1">
        <f t="array" ref="BX6">IFERROR(INDEX(Equipo_visitante,MATCH($BH6&amp;BX$1,Jornada&amp;Equipo_local,0)),INDEX(Equipo_local,MATCH($BH6&amp;BX$1,Jornada&amp;Equipo_visitante,0)))</f>
        <v>Union Saint-Gilloise</v>
      </c>
      <c r="BY6" s="247" t="str" cm="1">
        <f t="array" ref="BY6">IFERROR(INDEX(Equipo_visitante,MATCH($BH6&amp;BY$1,Jornada&amp;Equipo_local,0)),INDEX(Equipo_local,MATCH($BH6&amp;BY$1,Jornada&amp;Equipo_visitante,0)))</f>
        <v>Atlético Madrid</v>
      </c>
      <c r="BZ6" s="247" t="str" cm="1">
        <f t="array" ref="BZ6">IFERROR(INDEX(Equipo_visitante,MATCH($BH6&amp;BZ$1,Jornada&amp;Equipo_local,0)),INDEX(Equipo_local,MATCH($BH6&amp;BZ$1,Jornada&amp;Equipo_visitante,0)))</f>
        <v>Bodø/Glimt</v>
      </c>
      <c r="CA6" s="247" t="str" cm="1">
        <f t="array" ref="CA6">IFERROR(INDEX(Equipo_visitante,MATCH($BH6&amp;CA$1,Jornada&amp;Equipo_local,0)),INDEX(Equipo_local,MATCH($BH6&amp;CA$1,Jornada&amp;Equipo_visitante,0)))</f>
        <v>Copenhagen</v>
      </c>
      <c r="CB6" s="247" t="str" cm="1">
        <f t="array" ref="CB6">IFERROR(INDEX(Equipo_visitante,MATCH($BH6&amp;CB$1,Jornada&amp;Equipo_local,0)),INDEX(Equipo_local,MATCH($BH6&amp;CB$1,Jornada&amp;Equipo_visitante,0)))</f>
        <v>PSV Eindhoven</v>
      </c>
      <c r="CC6" s="247" t="str" cm="1">
        <f t="array" ref="CC6">IFERROR(INDEX(Equipo_visitante,MATCH($BH6&amp;CC$1,Jornada&amp;Equipo_local,0)),INDEX(Equipo_local,MATCH($BH6&amp;CC$1,Jornada&amp;Equipo_visitante,0)))</f>
        <v>Bayer Leverkusen</v>
      </c>
      <c r="CD6" s="247" t="str" cm="1">
        <f t="array" ref="CD6">IFERROR(INDEX(Equipo_visitante,MATCH($BH6&amp;CD$1,Jornada&amp;Equipo_local,0)),INDEX(Equipo_local,MATCH($BH6&amp;CD$1,Jornada&amp;Equipo_visitante,0)))</f>
        <v>Newcastle</v>
      </c>
      <c r="CE6" s="247" t="str" cm="1">
        <f t="array" ref="CE6">IFERROR(INDEX(Equipo_visitante,MATCH($BH6&amp;CE$1,Jornada&amp;Equipo_local,0)),INDEX(Equipo_local,MATCH($BH6&amp;CE$1,Jornada&amp;Equipo_visitante,0)))</f>
        <v>Pafos</v>
      </c>
      <c r="CF6" s="247" t="str" cm="1">
        <f t="array" ref="CF6">IFERROR(INDEX(Equipo_visitante,MATCH($BH6&amp;CF$1,Jornada&amp;Equipo_local,0)),INDEX(Equipo_local,MATCH($BH6&amp;CF$1,Jornada&amp;Equipo_visitante,0)))</f>
        <v>Qarabağ</v>
      </c>
      <c r="CG6" s="247" t="str" cm="1">
        <f t="array" ref="CG6">IFERROR(INDEX(Equipo_visitante,MATCH($BH6&amp;CG$1,Jornada&amp;Equipo_local,0)),INDEX(Equipo_local,MATCH($BH6&amp;CG$1,Jornada&amp;Equipo_visitante,0)))</f>
        <v>Marseille</v>
      </c>
      <c r="CH6" s="247" t="str" cm="1">
        <f t="array" ref="CH6">IFERROR(INDEX(Equipo_visitante,MATCH($BH6&amp;CH$1,Jornada&amp;Equipo_local,0)),INDEX(Equipo_local,MATCH($BH6&amp;CH$1,Jornada&amp;Equipo_visitante,0)))</f>
        <v>Real Madrid</v>
      </c>
      <c r="CI6" s="247" t="str" cm="1">
        <f t="array" ref="CI6">IFERROR(INDEX(Equipo_visitante,MATCH($BH6&amp;CI$1,Jornada&amp;Equipo_local,0)),INDEX(Equipo_local,MATCH($BH6&amp;CI$1,Jornada&amp;Equipo_visitante,0)))</f>
        <v>Monaco</v>
      </c>
      <c r="CJ6" s="247" t="str" cm="1">
        <f t="array" ref="CJ6">IFERROR(INDEX(Equipo_visitante,MATCH($BH6&amp;CJ$1,Jornada&amp;Equipo_local,0)),INDEX(Equipo_local,MATCH($BH6&amp;CJ$1,Jornada&amp;Equipo_visitante,0)))</f>
        <v>Tottenham</v>
      </c>
      <c r="CK6" s="247" t="str" cm="1">
        <f t="array" ref="CK6">IFERROR(INDEX(Equipo_visitante,MATCH($BH6&amp;CK$1,Jornada&amp;Equipo_local,0)),INDEX(Equipo_local,MATCH($BH6&amp;CK$1,Jornada&amp;Equipo_visitante,0)))</f>
        <v>Liverpool</v>
      </c>
      <c r="CL6" s="247" t="str" cm="1">
        <f t="array" ref="CL6">IFERROR(INDEX(Equipo_visitante,MATCH($BH6&amp;CL$1,Jornada&amp;Equipo_local,0)),INDEX(Equipo_local,MATCH($BH6&amp;CL$1,Jornada&amp;Equipo_visitante,0)))</f>
        <v>Napoli</v>
      </c>
      <c r="CM6" s="247" t="str" cm="1">
        <f t="array" ref="CM6">IFERROR(INDEX(Equipo_visitante,MATCH($BH6&amp;CM$1,Jornada&amp;Equipo_local,0)),INDEX(Equipo_local,MATCH($BH6&amp;CM$1,Jornada&amp;Equipo_visitante,0)))</f>
        <v>Olympiakos</v>
      </c>
      <c r="CN6" s="247" t="str" cm="1">
        <f t="array" ref="CN6">IFERROR(INDEX(Equipo_visitante,MATCH($BH6&amp;CN$1,Jornada&amp;Equipo_local,0)),INDEX(Equipo_local,MATCH($BH6&amp;CN$1,Jornada&amp;Equipo_visitante,0)))</f>
        <v>Athletic Bilbao</v>
      </c>
      <c r="CO6" s="247" t="str" cm="1">
        <f t="array" ref="CO6">IFERROR(INDEX(Equipo_visitante,MATCH($BH6&amp;CO$1,Jornada&amp;Equipo_local,0)),INDEX(Equipo_local,MATCH($BH6&amp;CO$1,Jornada&amp;Equipo_visitante,0)))</f>
        <v>Brugge</v>
      </c>
      <c r="CP6" s="247" t="str" cm="1">
        <f t="array" ref="CP6">IFERROR(INDEX(Equipo_visitante,MATCH($BH6&amp;CP$1,Jornada&amp;Equipo_local,0)),INDEX(Equipo_local,MATCH($BH6&amp;CP$1,Jornada&amp;Equipo_visitante,0)))</f>
        <v>PSG</v>
      </c>
      <c r="CQ6" s="247" t="str" cm="1">
        <f t="array" ref="CQ6">IFERROR(INDEX(Equipo_visitante,MATCH($BH6&amp;CQ$1,Jornada&amp;Equipo_local,0)),INDEX(Equipo_local,MATCH($BH6&amp;CQ$1,Jornada&amp;Equipo_visitante,0)))</f>
        <v>Galatasaray</v>
      </c>
      <c r="CR6" s="247" t="str" cm="1">
        <f t="array" ref="CR6">IFERROR(INDEX(Equipo_visitante,MATCH($BH6&amp;CR$1,Jornada&amp;Equipo_local,0)),INDEX(Equipo_local,MATCH($BH6&amp;CR$1,Jornada&amp;Equipo_visitante,0)))</f>
        <v>Borussia Dortmund</v>
      </c>
      <c r="CS6" s="256"/>
      <c r="CT6" s="256"/>
      <c r="CU6" s="256"/>
      <c r="CV6" s="227"/>
    </row>
    <row r="7" spans="1:100" ht="17.100000000000001" customHeight="1">
      <c r="A7" s="222">
        <v>1</v>
      </c>
      <c r="B7" s="468">
        <f>Horarios!C7</f>
        <v>45916.875</v>
      </c>
      <c r="C7" s="469">
        <f>Horarios!C7</f>
        <v>45916.875</v>
      </c>
      <c r="D7" s="191" t="s">
        <v>32</v>
      </c>
      <c r="E7" s="79" t="e" vm="13">
        <f>INDEX(TablaEquipos[Badge],MATCH(D7,TablaEquipos[Team],0))</f>
        <v>#VALUE!</v>
      </c>
      <c r="F7" s="102"/>
      <c r="G7" s="470">
        <v>1</v>
      </c>
      <c r="H7" s="471">
        <v>0</v>
      </c>
      <c r="I7" s="472"/>
      <c r="J7" s="82" t="e" vm="14">
        <f>INDEX(TablaEquipos[Badge],MATCH(K7,TablaEquipos[Team],0))</f>
        <v>#VALUE!</v>
      </c>
      <c r="K7" s="209" t="s">
        <v>33</v>
      </c>
      <c r="L7" s="97"/>
      <c r="M7" s="96"/>
      <c r="N7" s="90">
        <v>6</v>
      </c>
      <c r="O7" s="31" t="e" vm="15">
        <f>INDEX(TablaEquipos[],MATCH(P7,TablaEquipos[Team],0),MATCH($O$1,TablaEquipos[#Headers],0))</f>
        <v>#VALUE!</v>
      </c>
      <c r="P7" s="32" t="str">
        <f>IFERROR(INDEX(Calcs!A$2:A$37,MATCH($N7,Calcs!$CJ$2:$CJ$37,0)),"")</f>
        <v>PSG</v>
      </c>
      <c r="Q7" s="37">
        <f>IFERROR(INDEX(Calcs!$B$2:$AB$37,MATCH($N7,Calcs!$CJ$2:$CJ$37,0),MATCH(Q$1,Calcs!$B$1:$AB$1,0)),"")</f>
        <v>13</v>
      </c>
      <c r="R7" s="38">
        <f>IFERROR(INDEX(Calcs!$B$2:$AB$37,MATCH($N7,Calcs!$CJ$2:$CJ$37,0),MATCH(R$1,Calcs!$B$1:$AB$1,0)),"")</f>
        <v>7</v>
      </c>
      <c r="S7" s="38">
        <f>IFERROR(INDEX(Calcs!$B$2:$AB$37,MATCH($N7,Calcs!$CJ$2:$CJ$37,0),MATCH(S$1,Calcs!$B$1:$AB$1,0)),"")</f>
        <v>4</v>
      </c>
      <c r="T7" s="38">
        <f>IFERROR(INDEX(Calcs!$B$2:$AB$37,MATCH($N7,Calcs!$CJ$2:$CJ$37,0),MATCH(T$1,Calcs!$B$1:$AB$1,0)),"")</f>
        <v>1</v>
      </c>
      <c r="U7" s="38">
        <f>IFERROR(INDEX(Calcs!$B$2:$AB$37,MATCH($N7,Calcs!$CJ$2:$CJ$37,0),MATCH(U$1,Calcs!$B$1:$AB$1,0)),"")</f>
        <v>2</v>
      </c>
      <c r="V7" s="38">
        <f>IFERROR(INDEX(Calcs!$B$2:$AB$37,MATCH($N7,Calcs!$CJ$2:$CJ$37,0),MATCH(V$1,Calcs!$B$1:$AB$1,0)),"")</f>
        <v>20</v>
      </c>
      <c r="W7" s="38">
        <f>IFERROR(INDEX(Calcs!$B$2:$AB$37,MATCH($N7,Calcs!$CJ$2:$CJ$37,0),MATCH(W$1,Calcs!$B$1:$AB$1,0)),"")</f>
        <v>10</v>
      </c>
      <c r="X7" s="35">
        <f>IFERROR(INDEX(Calcs!$B$2:$AB$37,MATCH($N7,Calcs!$CJ$2:$CJ$37,0),MATCH(X$1,Calcs!$B$1:$AB$1,0)),"")</f>
        <v>10</v>
      </c>
      <c r="Y7" s="37">
        <f>IFERROR(INDEX(Calcs!$B$2:$AB$37,MATCH($N7,Calcs!$CJ$2:$CJ$37,0),MATCH(Y$1,Calcs!$B$1:$AB$1,0)),"")</f>
        <v>6</v>
      </c>
      <c r="Z7" s="38">
        <f>IFERROR(INDEX(Calcs!$B$2:$AB$37,MATCH($N7,Calcs!$CJ$2:$CJ$37,0),MATCH(Z$1,Calcs!$B$1:$AB$1,0)),"")</f>
        <v>3</v>
      </c>
      <c r="AA7" s="38">
        <f>IFERROR(INDEX(Calcs!$B$2:$AB$37,MATCH($N7,Calcs!$CJ$2:$CJ$37,0),MATCH(AA$1,Calcs!$B$1:$AB$1,0)),"")</f>
        <v>2</v>
      </c>
      <c r="AB7" s="38">
        <f>IFERROR(INDEX(Calcs!$B$2:$AB$37,MATCH($N7,Calcs!$CJ$2:$CJ$37,0),MATCH(AB$1,Calcs!$B$1:$AB$1,0)),"")</f>
        <v>0</v>
      </c>
      <c r="AC7" s="38">
        <f>IFERROR(INDEX(Calcs!$B$2:$AB$37,MATCH($N7,Calcs!$CJ$2:$CJ$37,0),MATCH(AC$1,Calcs!$B$1:$AB$1,0)),"")</f>
        <v>1</v>
      </c>
      <c r="AD7" s="38">
        <f>IFERROR(INDEX(Calcs!$B$2:$AB$37,MATCH($N7,Calcs!$CJ$2:$CJ$37,0),MATCH(AD$1,Calcs!$B$1:$AB$1,0)),"")</f>
        <v>10</v>
      </c>
      <c r="AE7" s="38">
        <f>IFERROR(INDEX(Calcs!$B$2:$AB$37,MATCH($N7,Calcs!$CJ$2:$CJ$37,0),MATCH(AE$1,Calcs!$B$1:$AB$1,0)),"")</f>
        <v>5</v>
      </c>
      <c r="AF7" s="35">
        <f>IFERROR(INDEX(Calcs!$B$2:$AB$37,MATCH($N7,Calcs!$CJ$2:$CJ$37,0),MATCH(AF$1,Calcs!$B$1:$AB$1,0)),"")</f>
        <v>5</v>
      </c>
      <c r="AG7" s="37">
        <f>IFERROR(INDEX(Calcs!$B$2:$AB$37,MATCH($N7,Calcs!$CJ$2:$CJ$37,0),MATCH(AG$1,Calcs!$B$1:$AB$1,0)),"")</f>
        <v>7</v>
      </c>
      <c r="AH7" s="38">
        <f>IFERROR(INDEX(Calcs!$B$2:$AB$37,MATCH($N7,Calcs!$CJ$2:$CJ$37,0),MATCH(AH$1,Calcs!$B$1:$AB$1,0)),"")</f>
        <v>4</v>
      </c>
      <c r="AI7" s="38">
        <f>IFERROR(INDEX(Calcs!$B$2:$AB$37,MATCH($N7,Calcs!$CJ$2:$CJ$37,0),MATCH(AI$1,Calcs!$B$1:$AB$1,0)),"")</f>
        <v>2</v>
      </c>
      <c r="AJ7" s="38">
        <f>IFERROR(INDEX(Calcs!$B$2:$AB$37,MATCH($N7,Calcs!$CJ$2:$CJ$37,0),MATCH(AJ$1,Calcs!$B$1:$AB$1,0)),"")</f>
        <v>1</v>
      </c>
      <c r="AK7" s="38">
        <f>IFERROR(INDEX(Calcs!$B$2:$AB$37,MATCH($N7,Calcs!$CJ$2:$CJ$37,0),MATCH(AK$1,Calcs!$B$1:$AB$1,0)),"")</f>
        <v>1</v>
      </c>
      <c r="AL7" s="38">
        <f>IFERROR(INDEX(Calcs!$B$2:$AB$37,MATCH($N7,Calcs!$CJ$2:$CJ$37,0),MATCH(AL$1,Calcs!$B$1:$AB$1,0)),"")</f>
        <v>10</v>
      </c>
      <c r="AM7" s="38">
        <f>IFERROR(INDEX(Calcs!$B$2:$AB$37,MATCH($N7,Calcs!$CJ$2:$CJ$37,0),MATCH(AM$1,Calcs!$B$1:$AB$1,0)),"")</f>
        <v>5</v>
      </c>
      <c r="AN7" s="39">
        <f>IFERROR(INDEX(Calcs!$B$2:$AB$37,MATCH($N7,Calcs!$CJ$2:$CJ$37,0),MATCH(AN$1,Calcs!$B$1:$AB$1,0)),"")</f>
        <v>5</v>
      </c>
      <c r="AO7" s="38">
        <f>IFERROR(INDEX(Calcs!$B$2:$AB$37,MATCH($N7,Calcs!$CJ$2:$CJ$37,0),MATCH(AO$1,Calcs!$B$1:$AB$1,0)),"")</f>
        <v>101</v>
      </c>
      <c r="AP7" s="38">
        <f>IFERROR(INDEX(Calcs!$B$2:$AB$37,MATCH($N7,Calcs!$CJ$2:$CJ$37,0),MATCH(AP$1,Calcs!$B$1:$AB$1,0)),"")</f>
        <v>34</v>
      </c>
      <c r="AQ7" s="39">
        <f>IFERROR(INDEX(Calcs!$B$2:$AB$37,MATCH($N7,Calcs!$CJ$2:$CJ$37,0),MATCH(AQ$1,Calcs!$B$1:$AB$1,0)),"")</f>
        <v>110</v>
      </c>
      <c r="AR7" s="74"/>
      <c r="AS7" s="9" t="str">
        <f>INDEX(Calcs!A$2:A$37,MATCH($N7,Calcs!$CF$2:$CF$37,0))</f>
        <v>PSG</v>
      </c>
      <c r="AT7" s="177"/>
      <c r="AU7" s="149">
        <f>INDEX(Calcs!$BZ$2:$BZ$37,MATCH($AS7,Calcs!$A$2:$A$37,0))</f>
        <v>6</v>
      </c>
      <c r="AV7" s="149">
        <f t="shared" si="1"/>
        <v>1</v>
      </c>
      <c r="AW7" s="149" t="str">
        <f t="shared" si="2"/>
        <v>6.1</v>
      </c>
      <c r="AX7" s="149"/>
      <c r="AY7" s="74"/>
      <c r="AZ7" s="71" t="str">
        <f>TablaEquipos[[#This Row],[Team]]</f>
        <v>Barcelona</v>
      </c>
      <c r="BA7" s="179"/>
      <c r="BB7" s="74"/>
      <c r="BC7" s="74"/>
      <c r="BD7" s="74"/>
      <c r="BE7" s="74"/>
      <c r="BF7" s="247" t="str">
        <f t="shared" si="0"/>
        <v>Local</v>
      </c>
      <c r="BH7" s="257">
        <v>6</v>
      </c>
      <c r="BI7" s="247" t="str" cm="1">
        <f t="array" ref="BI7">IFERROR(INDEX(Equipo_visitante,MATCH($BH7&amp;BI$1,Jornada&amp;Equipo_local,0)),INDEX(Equipo_local,MATCH($BH7&amp;BI$1,Jornada&amp;Equipo_visitante,0)))</f>
        <v>Qarabağ</v>
      </c>
      <c r="BJ7" s="247" t="str" cm="1">
        <f t="array" ref="BJ7">IFERROR(INDEX(Equipo_visitante,MATCH($BH7&amp;BJ$1,Jornada&amp;Equipo_local,0)),INDEX(Equipo_local,MATCH($BH7&amp;BJ$1,Jornada&amp;Equipo_visitante,0)))</f>
        <v>Brugge</v>
      </c>
      <c r="BK7" s="247" t="str" cm="1">
        <f t="array" ref="BK7">IFERROR(INDEX(Equipo_visitante,MATCH($BH7&amp;BK$1,Jornada&amp;Equipo_local,0)),INDEX(Equipo_local,MATCH($BH7&amp;BK$1,Jornada&amp;Equipo_visitante,0)))</f>
        <v>Chelsea</v>
      </c>
      <c r="BL7" s="247" t="str" cm="1">
        <f t="array" ref="BL7">IFERROR(INDEX(Equipo_visitante,MATCH($BH7&amp;BL$1,Jornada&amp;Equipo_local,0)),INDEX(Equipo_local,MATCH($BH7&amp;BL$1,Jornada&amp;Equipo_visitante,0)))</f>
        <v>PSG</v>
      </c>
      <c r="BM7" s="247" t="str" cm="1">
        <f t="array" ref="BM7">IFERROR(INDEX(Equipo_visitante,MATCH($BH7&amp;BM$1,Jornada&amp;Equipo_local,0)),INDEX(Equipo_local,MATCH($BH7&amp;BM$1,Jornada&amp;Equipo_visitante,0)))</f>
        <v>PSV Eindhoven</v>
      </c>
      <c r="BN7" s="247" t="str" cm="1">
        <f t="array" ref="BN7">IFERROR(INDEX(Equipo_visitante,MATCH($BH7&amp;BN$1,Jornada&amp;Equipo_local,0)),INDEX(Equipo_local,MATCH($BH7&amp;BN$1,Jornada&amp;Equipo_visitante,0)))</f>
        <v>Eintracht Frankfurt</v>
      </c>
      <c r="BO7" s="247" t="str" cm="1">
        <f t="array" ref="BO7">IFERROR(INDEX(Equipo_visitante,MATCH($BH7&amp;BO$1,Jornada&amp;Equipo_local,0)),INDEX(Equipo_local,MATCH($BH7&amp;BO$1,Jornada&amp;Equipo_visitante,0)))</f>
        <v>Newcastle</v>
      </c>
      <c r="BP7" s="247" t="str" cm="1">
        <f t="array" ref="BP7">IFERROR(INDEX(Equipo_visitante,MATCH($BH7&amp;BP$1,Jornada&amp;Equipo_local,0)),INDEX(Equipo_local,MATCH($BH7&amp;BP$1,Jornada&amp;Equipo_visitante,0)))</f>
        <v>Sporting Portugal</v>
      </c>
      <c r="BQ7" s="247" t="str" cm="1">
        <f t="array" ref="BQ7">IFERROR(INDEX(Equipo_visitante,MATCH($BH7&amp;BQ$1,Jornada&amp;Equipo_local,0)),INDEX(Equipo_local,MATCH($BH7&amp;BQ$1,Jornada&amp;Equipo_visitante,0)))</f>
        <v>Napoli</v>
      </c>
      <c r="BR7" s="247" t="str" cm="1">
        <f t="array" ref="BR7">IFERROR(INDEX(Equipo_visitante,MATCH($BH7&amp;BR$1,Jornada&amp;Equipo_local,0)),INDEX(Equipo_local,MATCH($BH7&amp;BR$1,Jornada&amp;Equipo_visitante,0)))</f>
        <v>Borussia Dortmund</v>
      </c>
      <c r="BS7" s="247" t="str" cm="1">
        <f t="array" ref="BS7">IFERROR(INDEX(Equipo_visitante,MATCH($BH7&amp;BS$1,Jornada&amp;Equipo_local,0)),INDEX(Equipo_local,MATCH($BH7&amp;BS$1,Jornada&amp;Equipo_visitante,0)))</f>
        <v>Bodø/Glimt</v>
      </c>
      <c r="BT7" s="247" t="str" cm="1">
        <f t="array" ref="BT7">IFERROR(INDEX(Equipo_visitante,MATCH($BH7&amp;BT$1,Jornada&amp;Equipo_local,0)),INDEX(Equipo_local,MATCH($BH7&amp;BT$1,Jornada&amp;Equipo_visitante,0)))</f>
        <v>Arsenal</v>
      </c>
      <c r="BU7" s="247" t="str" cm="1">
        <f t="array" ref="BU7">IFERROR(INDEX(Equipo_visitante,MATCH($BH7&amp;BU$1,Jornada&amp;Equipo_local,0)),INDEX(Equipo_local,MATCH($BH7&amp;BU$1,Jornada&amp;Equipo_visitante,0)))</f>
        <v>Atalanta</v>
      </c>
      <c r="BV7" s="247" t="str" cm="1">
        <f t="array" ref="BV7">IFERROR(INDEX(Equipo_visitante,MATCH($BH7&amp;BV$1,Jornada&amp;Equipo_local,0)),INDEX(Equipo_local,MATCH($BH7&amp;BV$1,Jornada&amp;Equipo_visitante,0)))</f>
        <v>Villarreal</v>
      </c>
      <c r="BW7" s="247" t="str" cm="1">
        <f t="array" ref="BW7">IFERROR(INDEX(Equipo_visitante,MATCH($BH7&amp;BW$1,Jornada&amp;Equipo_local,0)),INDEX(Equipo_local,MATCH($BH7&amp;BW$1,Jornada&amp;Equipo_visitante,0)))</f>
        <v>Barcelona</v>
      </c>
      <c r="BX7" s="247" t="str" cm="1">
        <f t="array" ref="BX7">IFERROR(INDEX(Equipo_visitante,MATCH($BH7&amp;BX$1,Jornada&amp;Equipo_local,0)),INDEX(Equipo_local,MATCH($BH7&amp;BX$1,Jornada&amp;Equipo_visitante,0)))</f>
        <v>Monaco</v>
      </c>
      <c r="BY7" s="247" t="str" cm="1">
        <f t="array" ref="BY7">IFERROR(INDEX(Equipo_visitante,MATCH($BH7&amp;BY$1,Jornada&amp;Equipo_local,0)),INDEX(Equipo_local,MATCH($BH7&amp;BY$1,Jornada&amp;Equipo_visitante,0)))</f>
        <v>Liverpool</v>
      </c>
      <c r="BZ7" s="247" t="str" cm="1">
        <f t="array" ref="BZ7">IFERROR(INDEX(Equipo_visitante,MATCH($BH7&amp;BZ$1,Jornada&amp;Equipo_local,0)),INDEX(Equipo_local,MATCH($BH7&amp;BZ$1,Jornada&amp;Equipo_visitante,0)))</f>
        <v>Pafos</v>
      </c>
      <c r="CA7" s="247" t="str" cm="1">
        <f t="array" ref="CA7">IFERROR(INDEX(Equipo_visitante,MATCH($BH7&amp;CA$1,Jornada&amp;Equipo_local,0)),INDEX(Equipo_local,MATCH($BH7&amp;CA$1,Jornada&amp;Equipo_visitante,0)))</f>
        <v>Olympiakos</v>
      </c>
      <c r="CB7" s="247" t="str" cm="1">
        <f t="array" ref="CB7">IFERROR(INDEX(Equipo_visitante,MATCH($BH7&amp;CB$1,Jornada&amp;Equipo_local,0)),INDEX(Equipo_local,MATCH($BH7&amp;CB$1,Jornada&amp;Equipo_visitante,0)))</f>
        <v>Inter Milan</v>
      </c>
      <c r="CC7" s="247" t="str" cm="1">
        <f t="array" ref="CC7">IFERROR(INDEX(Equipo_visitante,MATCH($BH7&amp;CC$1,Jornada&amp;Equipo_local,0)),INDEX(Equipo_local,MATCH($BH7&amp;CC$1,Jornada&amp;Equipo_visitante,0)))</f>
        <v>Real Madrid</v>
      </c>
      <c r="CD7" s="247" t="str" cm="1">
        <f t="array" ref="CD7">IFERROR(INDEX(Equipo_visitante,MATCH($BH7&amp;CD$1,Jornada&amp;Equipo_local,0)),INDEX(Equipo_local,MATCH($BH7&amp;CD$1,Jornada&amp;Equipo_visitante,0)))</f>
        <v>Union Saint-Gilloise</v>
      </c>
      <c r="CE7" s="247" t="str" cm="1">
        <f t="array" ref="CE7">IFERROR(INDEX(Equipo_visitante,MATCH($BH7&amp;CE$1,Jornada&amp;Equipo_local,0)),INDEX(Equipo_local,MATCH($BH7&amp;CE$1,Jornada&amp;Equipo_visitante,0)))</f>
        <v>Galatasaray</v>
      </c>
      <c r="CF7" s="247" t="str" cm="1">
        <f t="array" ref="CF7">IFERROR(INDEX(Equipo_visitante,MATCH($BH7&amp;CF$1,Jornada&amp;Equipo_local,0)),INDEX(Equipo_local,MATCH($BH7&amp;CF$1,Jornada&amp;Equipo_visitante,0)))</f>
        <v>Benfica</v>
      </c>
      <c r="CG7" s="247" t="str" cm="1">
        <f t="array" ref="CG7">IFERROR(INDEX(Equipo_visitante,MATCH($BH7&amp;CG$1,Jornada&amp;Equipo_local,0)),INDEX(Equipo_local,MATCH($BH7&amp;CG$1,Jornada&amp;Equipo_visitante,0)))</f>
        <v>Bayer Leverkusen</v>
      </c>
      <c r="CH7" s="247" t="str" cm="1">
        <f t="array" ref="CH7">IFERROR(INDEX(Equipo_visitante,MATCH($BH7&amp;CH$1,Jornada&amp;Equipo_local,0)),INDEX(Equipo_local,MATCH($BH7&amp;CH$1,Jornada&amp;Equipo_visitante,0)))</f>
        <v>Kairat Almaty </v>
      </c>
      <c r="CI7" s="247" t="str" cm="1">
        <f t="array" ref="CI7">IFERROR(INDEX(Equipo_visitante,MATCH($BH7&amp;CI$1,Jornada&amp;Equipo_local,0)),INDEX(Equipo_local,MATCH($BH7&amp;CI$1,Jornada&amp;Equipo_visitante,0)))</f>
        <v>Juventus</v>
      </c>
      <c r="CJ7" s="247" t="str" cm="1">
        <f t="array" ref="CJ7">IFERROR(INDEX(Equipo_visitante,MATCH($BH7&amp;CJ$1,Jornada&amp;Equipo_local,0)),INDEX(Equipo_local,MATCH($BH7&amp;CJ$1,Jornada&amp;Equipo_visitante,0)))</f>
        <v>Athletic Bilbao</v>
      </c>
      <c r="CK7" s="247" t="str" cm="1">
        <f t="array" ref="CK7">IFERROR(INDEX(Equipo_visitante,MATCH($BH7&amp;CK$1,Jornada&amp;Equipo_local,0)),INDEX(Equipo_local,MATCH($BH7&amp;CK$1,Jornada&amp;Equipo_visitante,0)))</f>
        <v>Atlético Madrid</v>
      </c>
      <c r="CL7" s="247" t="str" cm="1">
        <f t="array" ref="CL7">IFERROR(INDEX(Equipo_visitante,MATCH($BH7&amp;CL$1,Jornada&amp;Equipo_local,0)),INDEX(Equipo_local,MATCH($BH7&amp;CL$1,Jornada&amp;Equipo_visitante,0)))</f>
        <v>Ajax</v>
      </c>
      <c r="CM7" s="247" t="str" cm="1">
        <f t="array" ref="CM7">IFERROR(INDEX(Equipo_visitante,MATCH($BH7&amp;CM$1,Jornada&amp;Equipo_local,0)),INDEX(Equipo_local,MATCH($BH7&amp;CM$1,Jornada&amp;Equipo_visitante,0)))</f>
        <v>Manchester City</v>
      </c>
      <c r="CN7" s="247" t="str" cm="1">
        <f t="array" ref="CN7">IFERROR(INDEX(Equipo_visitante,MATCH($BH7&amp;CN$1,Jornada&amp;Equipo_local,0)),INDEX(Equipo_local,MATCH($BH7&amp;CN$1,Jornada&amp;Equipo_visitante,0)))</f>
        <v>Tottenham</v>
      </c>
      <c r="CO7" s="247" t="str" cm="1">
        <f t="array" ref="CO7">IFERROR(INDEX(Equipo_visitante,MATCH($BH7&amp;CO$1,Jornada&amp;Equipo_local,0)),INDEX(Equipo_local,MATCH($BH7&amp;CO$1,Jornada&amp;Equipo_visitante,0)))</f>
        <v>Bayern München</v>
      </c>
      <c r="CP7" s="247" t="str" cm="1">
        <f t="array" ref="CP7">IFERROR(INDEX(Equipo_visitante,MATCH($BH7&amp;CP$1,Jornada&amp;Equipo_local,0)),INDEX(Equipo_local,MATCH($BH7&amp;CP$1,Jornada&amp;Equipo_visitante,0)))</f>
        <v>Slavia Praha</v>
      </c>
      <c r="CQ7" s="247" t="str" cm="1">
        <f t="array" ref="CQ7">IFERROR(INDEX(Equipo_visitante,MATCH($BH7&amp;CQ$1,Jornada&amp;Equipo_local,0)),INDEX(Equipo_local,MATCH($BH7&amp;CQ$1,Jornada&amp;Equipo_visitante,0)))</f>
        <v>Marseille</v>
      </c>
      <c r="CR7" s="247" t="str" cm="1">
        <f t="array" ref="CR7">IFERROR(INDEX(Equipo_visitante,MATCH($BH7&amp;CR$1,Jornada&amp;Equipo_local,0)),INDEX(Equipo_local,MATCH($BH7&amp;CR$1,Jornada&amp;Equipo_visitante,0)))</f>
        <v>Copenhagen</v>
      </c>
      <c r="CS7" s="256"/>
      <c r="CT7" s="256"/>
      <c r="CU7" s="256"/>
      <c r="CV7" s="227"/>
    </row>
    <row r="8" spans="1:100" ht="17.100000000000001" customHeight="1">
      <c r="A8" s="473">
        <v>1</v>
      </c>
      <c r="B8" s="474">
        <f>Horarios!C8</f>
        <v>45917.78125</v>
      </c>
      <c r="C8" s="475">
        <f>Horarios!C8</f>
        <v>45917.78125</v>
      </c>
      <c r="D8" s="192" t="s">
        <v>34</v>
      </c>
      <c r="E8" s="80" t="e" vm="16">
        <f>INDEX(TablaEquipos[Badge],MATCH(D8,TablaEquipos[Team],0))</f>
        <v>#VALUE!</v>
      </c>
      <c r="F8" s="103"/>
      <c r="G8" s="476">
        <v>0</v>
      </c>
      <c r="H8" s="477">
        <v>0</v>
      </c>
      <c r="I8" s="478"/>
      <c r="J8" s="81" t="e" vm="17">
        <f>INDEX(TablaEquipos[Badge],MATCH(K8,TablaEquipos[Team],0))</f>
        <v>#VALUE!</v>
      </c>
      <c r="K8" s="209" t="s">
        <v>35</v>
      </c>
      <c r="L8" s="97"/>
      <c r="M8" s="74"/>
      <c r="N8" s="90">
        <v>7</v>
      </c>
      <c r="O8" s="31" t="e" vm="18">
        <f>INDEX(TablaEquipos[],MATCH(P8,TablaEquipos[Team],0),MATCH($O$1,TablaEquipos[#Headers],0))</f>
        <v>#VALUE!</v>
      </c>
      <c r="P8" s="32" t="str">
        <f>IFERROR(INDEX(Calcs!A$2:A$37,MATCH($N8,Calcs!$CJ$2:$CJ$37,0)),"")</f>
        <v>Newcastle</v>
      </c>
      <c r="Q8" s="37">
        <f>IFERROR(INDEX(Calcs!$B$2:$AB$37,MATCH($N8,Calcs!$CJ$2:$CJ$37,0),MATCH(Q$1,Calcs!$B$1:$AB$1,0)),"")</f>
        <v>13</v>
      </c>
      <c r="R8" s="38">
        <f>IFERROR(INDEX(Calcs!$B$2:$AB$37,MATCH($N8,Calcs!$CJ$2:$CJ$37,0),MATCH(R$1,Calcs!$B$1:$AB$1,0)),"")</f>
        <v>7</v>
      </c>
      <c r="S8" s="38">
        <f>IFERROR(INDEX(Calcs!$B$2:$AB$37,MATCH($N8,Calcs!$CJ$2:$CJ$37,0),MATCH(S$1,Calcs!$B$1:$AB$1,0)),"")</f>
        <v>4</v>
      </c>
      <c r="T8" s="38">
        <f>IFERROR(INDEX(Calcs!$B$2:$AB$37,MATCH($N8,Calcs!$CJ$2:$CJ$37,0),MATCH(T$1,Calcs!$B$1:$AB$1,0)),"")</f>
        <v>1</v>
      </c>
      <c r="U8" s="38">
        <f>IFERROR(INDEX(Calcs!$B$2:$AB$37,MATCH($N8,Calcs!$CJ$2:$CJ$37,0),MATCH(U$1,Calcs!$B$1:$AB$1,0)),"")</f>
        <v>2</v>
      </c>
      <c r="V8" s="38">
        <f>IFERROR(INDEX(Calcs!$B$2:$AB$37,MATCH($N8,Calcs!$CJ$2:$CJ$37,0),MATCH(V$1,Calcs!$B$1:$AB$1,0)),"")</f>
        <v>16</v>
      </c>
      <c r="W8" s="38">
        <f>IFERROR(INDEX(Calcs!$B$2:$AB$37,MATCH($N8,Calcs!$CJ$2:$CJ$37,0),MATCH(W$1,Calcs!$B$1:$AB$1,0)),"")</f>
        <v>6</v>
      </c>
      <c r="X8" s="35">
        <f>IFERROR(INDEX(Calcs!$B$2:$AB$37,MATCH($N8,Calcs!$CJ$2:$CJ$37,0),MATCH(X$1,Calcs!$B$1:$AB$1,0)),"")</f>
        <v>10</v>
      </c>
      <c r="Y8" s="37">
        <f>IFERROR(INDEX(Calcs!$B$2:$AB$37,MATCH($N8,Calcs!$CJ$2:$CJ$37,0),MATCH(Y$1,Calcs!$B$1:$AB$1,0)),"")</f>
        <v>9</v>
      </c>
      <c r="Z8" s="38">
        <f>IFERROR(INDEX(Calcs!$B$2:$AB$37,MATCH($N8,Calcs!$CJ$2:$CJ$37,0),MATCH(Z$1,Calcs!$B$1:$AB$1,0)),"")</f>
        <v>4</v>
      </c>
      <c r="AA8" s="38">
        <f>IFERROR(INDEX(Calcs!$B$2:$AB$37,MATCH($N8,Calcs!$CJ$2:$CJ$37,0),MATCH(AA$1,Calcs!$B$1:$AB$1,0)),"")</f>
        <v>3</v>
      </c>
      <c r="AB8" s="38">
        <f>IFERROR(INDEX(Calcs!$B$2:$AB$37,MATCH($N8,Calcs!$CJ$2:$CJ$37,0),MATCH(AB$1,Calcs!$B$1:$AB$1,0)),"")</f>
        <v>0</v>
      </c>
      <c r="AC8" s="38">
        <f>IFERROR(INDEX(Calcs!$B$2:$AB$37,MATCH($N8,Calcs!$CJ$2:$CJ$37,0),MATCH(AC$1,Calcs!$B$1:$AB$1,0)),"")</f>
        <v>1</v>
      </c>
      <c r="AD8" s="38">
        <f>IFERROR(INDEX(Calcs!$B$2:$AB$37,MATCH($N8,Calcs!$CJ$2:$CJ$37,0),MATCH(AD$1,Calcs!$B$1:$AB$1,0)),"")</f>
        <v>9</v>
      </c>
      <c r="AE8" s="38">
        <f>IFERROR(INDEX(Calcs!$B$2:$AB$37,MATCH($N8,Calcs!$CJ$2:$CJ$37,0),MATCH(AE$1,Calcs!$B$1:$AB$1,0)),"")</f>
        <v>2</v>
      </c>
      <c r="AF8" s="35">
        <f>IFERROR(INDEX(Calcs!$B$2:$AB$37,MATCH($N8,Calcs!$CJ$2:$CJ$37,0),MATCH(AF$1,Calcs!$B$1:$AB$1,0)),"")</f>
        <v>7</v>
      </c>
      <c r="AG8" s="37">
        <f>IFERROR(INDEX(Calcs!$B$2:$AB$37,MATCH($N8,Calcs!$CJ$2:$CJ$37,0),MATCH(AG$1,Calcs!$B$1:$AB$1,0)),"")</f>
        <v>4</v>
      </c>
      <c r="AH8" s="38">
        <f>IFERROR(INDEX(Calcs!$B$2:$AB$37,MATCH($N8,Calcs!$CJ$2:$CJ$37,0),MATCH(AH$1,Calcs!$B$1:$AB$1,0)),"")</f>
        <v>3</v>
      </c>
      <c r="AI8" s="38">
        <f>IFERROR(INDEX(Calcs!$B$2:$AB$37,MATCH($N8,Calcs!$CJ$2:$CJ$37,0),MATCH(AI$1,Calcs!$B$1:$AB$1,0)),"")</f>
        <v>1</v>
      </c>
      <c r="AJ8" s="38">
        <f>IFERROR(INDEX(Calcs!$B$2:$AB$37,MATCH($N8,Calcs!$CJ$2:$CJ$37,0),MATCH(AJ$1,Calcs!$B$1:$AB$1,0)),"")</f>
        <v>1</v>
      </c>
      <c r="AK8" s="38">
        <f>IFERROR(INDEX(Calcs!$B$2:$AB$37,MATCH($N8,Calcs!$CJ$2:$CJ$37,0),MATCH(AK$1,Calcs!$B$1:$AB$1,0)),"")</f>
        <v>1</v>
      </c>
      <c r="AL8" s="38">
        <f>IFERROR(INDEX(Calcs!$B$2:$AB$37,MATCH($N8,Calcs!$CJ$2:$CJ$37,0),MATCH(AL$1,Calcs!$B$1:$AB$1,0)),"")</f>
        <v>7</v>
      </c>
      <c r="AM8" s="38">
        <f>IFERROR(INDEX(Calcs!$B$2:$AB$37,MATCH($N8,Calcs!$CJ$2:$CJ$37,0),MATCH(AM$1,Calcs!$B$1:$AB$1,0)),"")</f>
        <v>4</v>
      </c>
      <c r="AN8" s="39">
        <f>IFERROR(INDEX(Calcs!$B$2:$AB$37,MATCH($N8,Calcs!$CJ$2:$CJ$37,0),MATCH(AN$1,Calcs!$B$1:$AB$1,0)),"")</f>
        <v>3</v>
      </c>
      <c r="AO8" s="38">
        <f>IFERROR(INDEX(Calcs!$B$2:$AB$37,MATCH($N8,Calcs!$CJ$2:$CJ$37,0),MATCH(AO$1,Calcs!$B$1:$AB$1,0)),"")</f>
        <v>72</v>
      </c>
      <c r="AP8" s="38">
        <f>IFERROR(INDEX(Calcs!$B$2:$AB$37,MATCH($N8,Calcs!$CJ$2:$CJ$37,0),MATCH(AP$1,Calcs!$B$1:$AB$1,0)),"")</f>
        <v>-6</v>
      </c>
      <c r="AQ8" s="39">
        <f>IFERROR(INDEX(Calcs!$B$2:$AB$37,MATCH($N8,Calcs!$CJ$2:$CJ$37,0),MATCH(AQ$1,Calcs!$B$1:$AB$1,0)),"")</f>
        <v>94</v>
      </c>
      <c r="AR8" s="74"/>
      <c r="AS8" s="9" t="str">
        <f>INDEX(Calcs!A$2:A$37,MATCH($N8,Calcs!$CF$2:$CF$37,0))</f>
        <v>Newcastle</v>
      </c>
      <c r="AT8" s="177"/>
      <c r="AU8" s="149">
        <f>INDEX(Calcs!$BZ$2:$BZ$37,MATCH($AS8,Calcs!$A$2:$A$37,0))</f>
        <v>7</v>
      </c>
      <c r="AV8" s="149">
        <f t="shared" si="1"/>
        <v>1</v>
      </c>
      <c r="AW8" s="149" t="str">
        <f t="shared" si="2"/>
        <v>7.1</v>
      </c>
      <c r="AX8" s="149"/>
      <c r="AY8" s="74"/>
      <c r="AZ8" s="70" t="str">
        <f>TablaEquipos[[#This Row],[Team]]</f>
        <v>Bayer Leverkusen</v>
      </c>
      <c r="BA8" s="178"/>
      <c r="BB8" s="74"/>
      <c r="BC8" s="74"/>
      <c r="BD8" s="74"/>
      <c r="BE8" s="74"/>
      <c r="BF8" s="247" t="str">
        <f t="shared" si="0"/>
        <v>Empate</v>
      </c>
      <c r="BH8" s="257">
        <v>7</v>
      </c>
      <c r="BI8" s="247" t="str" cm="1">
        <f t="array" ref="BI8">IFERROR(INDEX(Equipo_visitante,MATCH($BH8&amp;BI$1,Jornada&amp;Equipo_local,0)),INDEX(Equipo_local,MATCH($BH8&amp;BI$1,Jornada&amp;Equipo_visitante,0)))</f>
        <v>Villarreal</v>
      </c>
      <c r="BJ8" s="247" t="str" cm="1">
        <f t="array" ref="BJ8">IFERROR(INDEX(Equipo_visitante,MATCH($BH8&amp;BJ$1,Jornada&amp;Equipo_local,0)),INDEX(Equipo_local,MATCH($BH8&amp;BJ$1,Jornada&amp;Equipo_visitante,0)))</f>
        <v>Inter Milan</v>
      </c>
      <c r="BK8" s="247" t="str" cm="1">
        <f t="array" ref="BK8">IFERROR(INDEX(Equipo_visitante,MATCH($BH8&amp;BK$1,Jornada&amp;Equipo_local,0)),INDEX(Equipo_local,MATCH($BH8&amp;BK$1,Jornada&amp;Equipo_visitante,0)))</f>
        <v>Athletic Bilbao</v>
      </c>
      <c r="BL8" s="247" t="str" cm="1">
        <f t="array" ref="BL8">IFERROR(INDEX(Equipo_visitante,MATCH($BH8&amp;BL$1,Jornada&amp;Equipo_local,0)),INDEX(Equipo_local,MATCH($BH8&amp;BL$1,Jornada&amp;Equipo_visitante,0)))</f>
        <v>Atalanta</v>
      </c>
      <c r="BM8" s="247" t="str" cm="1">
        <f t="array" ref="BM8">IFERROR(INDEX(Equipo_visitante,MATCH($BH8&amp;BM$1,Jornada&amp;Equipo_local,0)),INDEX(Equipo_local,MATCH($BH8&amp;BM$1,Jornada&amp;Equipo_visitante,0)))</f>
        <v>Galatasaray</v>
      </c>
      <c r="BN8" s="247" t="str" cm="1">
        <f t="array" ref="BN8">IFERROR(INDEX(Equipo_visitante,MATCH($BH8&amp;BN$1,Jornada&amp;Equipo_local,0)),INDEX(Equipo_local,MATCH($BH8&amp;BN$1,Jornada&amp;Equipo_visitante,0)))</f>
        <v>Slavia Praha</v>
      </c>
      <c r="BO8" s="247" t="str" cm="1">
        <f t="array" ref="BO8">IFERROR(INDEX(Equipo_visitante,MATCH($BH8&amp;BO$1,Jornada&amp;Equipo_local,0)),INDEX(Equipo_local,MATCH($BH8&amp;BO$1,Jornada&amp;Equipo_visitante,0)))</f>
        <v>Olympiakos</v>
      </c>
      <c r="BP8" s="247" t="str" cm="1">
        <f t="array" ref="BP8">IFERROR(INDEX(Equipo_visitante,MATCH($BH8&amp;BP$1,Jornada&amp;Equipo_local,0)),INDEX(Equipo_local,MATCH($BH8&amp;BP$1,Jornada&amp;Equipo_visitante,0)))</f>
        <v>Union Saint-Gilloise</v>
      </c>
      <c r="BQ8" s="247" t="str" cm="1">
        <f t="array" ref="BQ8">IFERROR(INDEX(Equipo_visitante,MATCH($BH8&amp;BQ$1,Jornada&amp;Equipo_local,0)),INDEX(Equipo_local,MATCH($BH8&amp;BQ$1,Jornada&amp;Equipo_visitante,0)))</f>
        <v>Juventus</v>
      </c>
      <c r="BR8" s="247" t="str" cm="1">
        <f t="array" ref="BR8">IFERROR(INDEX(Equipo_visitante,MATCH($BH8&amp;BR$1,Jornada&amp;Equipo_local,0)),INDEX(Equipo_local,MATCH($BH8&amp;BR$1,Jornada&amp;Equipo_visitante,0)))</f>
        <v>Manchester City</v>
      </c>
      <c r="BS8" s="247" t="str" cm="1">
        <f t="array" ref="BS8">IFERROR(INDEX(Equipo_visitante,MATCH($BH8&amp;BS$1,Jornada&amp;Equipo_local,0)),INDEX(Equipo_local,MATCH($BH8&amp;BS$1,Jornada&amp;Equipo_visitante,0)))</f>
        <v>Tottenham</v>
      </c>
      <c r="BT8" s="247" t="str" cm="1">
        <f t="array" ref="BT8">IFERROR(INDEX(Equipo_visitante,MATCH($BH8&amp;BT$1,Jornada&amp;Equipo_local,0)),INDEX(Equipo_local,MATCH($BH8&amp;BT$1,Jornada&amp;Equipo_visitante,0)))</f>
        <v>Kairat Almaty </v>
      </c>
      <c r="BU8" s="247" t="str" cm="1">
        <f t="array" ref="BU8">IFERROR(INDEX(Equipo_visitante,MATCH($BH8&amp;BU$1,Jornada&amp;Equipo_local,0)),INDEX(Equipo_local,MATCH($BH8&amp;BU$1,Jornada&amp;Equipo_visitante,0)))</f>
        <v>Pafos</v>
      </c>
      <c r="BV8" s="247" t="str" cm="1">
        <f t="array" ref="BV8">IFERROR(INDEX(Equipo_visitante,MATCH($BH8&amp;BV$1,Jornada&amp;Equipo_local,0)),INDEX(Equipo_local,MATCH($BH8&amp;BV$1,Jornada&amp;Equipo_visitante,0)))</f>
        <v>Napoli</v>
      </c>
      <c r="BW8" s="247" t="str" cm="1">
        <f t="array" ref="BW8">IFERROR(INDEX(Equipo_visitante,MATCH($BH8&amp;BW$1,Jornada&amp;Equipo_local,0)),INDEX(Equipo_local,MATCH($BH8&amp;BW$1,Jornada&amp;Equipo_visitante,0)))</f>
        <v>Qarabağ</v>
      </c>
      <c r="BX8" s="247" t="str" cm="1">
        <f t="array" ref="BX8">IFERROR(INDEX(Equipo_visitante,MATCH($BH8&amp;BX$1,Jornada&amp;Equipo_local,0)),INDEX(Equipo_local,MATCH($BH8&amp;BX$1,Jornada&amp;Equipo_visitante,0)))</f>
        <v>Atlético Madrid</v>
      </c>
      <c r="BY8" s="247" t="str" cm="1">
        <f t="array" ref="BY8">IFERROR(INDEX(Equipo_visitante,MATCH($BH8&amp;BY$1,Jornada&amp;Equipo_local,0)),INDEX(Equipo_local,MATCH($BH8&amp;BY$1,Jornada&amp;Equipo_visitante,0)))</f>
        <v>Arsenal</v>
      </c>
      <c r="BZ8" s="247" t="str" cm="1">
        <f t="array" ref="BZ8">IFERROR(INDEX(Equipo_visitante,MATCH($BH8&amp;BZ$1,Jornada&amp;Equipo_local,0)),INDEX(Equipo_local,MATCH($BH8&amp;BZ$1,Jornada&amp;Equipo_visitante,0)))</f>
        <v>Benfica</v>
      </c>
      <c r="CA8" s="247" t="str" cm="1">
        <f t="array" ref="CA8">IFERROR(INDEX(Equipo_visitante,MATCH($BH8&amp;CA$1,Jornada&amp;Equipo_local,0)),INDEX(Equipo_local,MATCH($BH8&amp;CA$1,Jornada&amp;Equipo_visitante,0)))</f>
        <v>Brugge</v>
      </c>
      <c r="CB8" s="247" t="str" cm="1">
        <f t="array" ref="CB8">IFERROR(INDEX(Equipo_visitante,MATCH($BH8&amp;CB$1,Jornada&amp;Equipo_local,0)),INDEX(Equipo_local,MATCH($BH8&amp;CB$1,Jornada&amp;Equipo_visitante,0)))</f>
        <v>Marseille</v>
      </c>
      <c r="CC8" s="247" t="str" cm="1">
        <f t="array" ref="CC8">IFERROR(INDEX(Equipo_visitante,MATCH($BH8&amp;CC$1,Jornada&amp;Equipo_local,0)),INDEX(Equipo_local,MATCH($BH8&amp;CC$1,Jornada&amp;Equipo_visitante,0)))</f>
        <v>Bodø/Glimt</v>
      </c>
      <c r="CD8" s="247" t="str" cm="1">
        <f t="array" ref="CD8">IFERROR(INDEX(Equipo_visitante,MATCH($BH8&amp;CD$1,Jornada&amp;Equipo_local,0)),INDEX(Equipo_local,MATCH($BH8&amp;CD$1,Jornada&amp;Equipo_visitante,0)))</f>
        <v>Liverpool</v>
      </c>
      <c r="CE8" s="247" t="str" cm="1">
        <f t="array" ref="CE8">IFERROR(INDEX(Equipo_visitante,MATCH($BH8&amp;CE$1,Jornada&amp;Equipo_local,0)),INDEX(Equipo_local,MATCH($BH8&amp;CE$1,Jornada&amp;Equipo_visitante,0)))</f>
        <v>Real Madrid</v>
      </c>
      <c r="CF8" s="247" t="str" cm="1">
        <f t="array" ref="CF8">IFERROR(INDEX(Equipo_visitante,MATCH($BH8&amp;CF$1,Jornada&amp;Equipo_local,0)),INDEX(Equipo_local,MATCH($BH8&amp;CF$1,Jornada&amp;Equipo_visitante,0)))</f>
        <v>Copenhagen</v>
      </c>
      <c r="CG8" s="247" t="str" cm="1">
        <f t="array" ref="CG8">IFERROR(INDEX(Equipo_visitante,MATCH($BH8&amp;CG$1,Jornada&amp;Equipo_local,0)),INDEX(Equipo_local,MATCH($BH8&amp;CG$1,Jornada&amp;Equipo_visitante,0)))</f>
        <v>PSV Eindhoven</v>
      </c>
      <c r="CH8" s="247" t="str" cm="1">
        <f t="array" ref="CH8">IFERROR(INDEX(Equipo_visitante,MATCH($BH8&amp;CH$1,Jornada&amp;Equipo_local,0)),INDEX(Equipo_local,MATCH($BH8&amp;CH$1,Jornada&amp;Equipo_visitante,0)))</f>
        <v>Bayer Leverkusen</v>
      </c>
      <c r="CI8" s="247" t="str" cm="1">
        <f t="array" ref="CI8">IFERROR(INDEX(Equipo_visitante,MATCH($BH8&amp;CI$1,Jornada&amp;Equipo_local,0)),INDEX(Equipo_local,MATCH($BH8&amp;CI$1,Jornada&amp;Equipo_visitante,0)))</f>
        <v>Chelsea</v>
      </c>
      <c r="CJ8" s="247" t="str" cm="1">
        <f t="array" ref="CJ8">IFERROR(INDEX(Equipo_visitante,MATCH($BH8&amp;CJ$1,Jornada&amp;Equipo_local,0)),INDEX(Equipo_local,MATCH($BH8&amp;CJ$1,Jornada&amp;Equipo_visitante,0)))</f>
        <v>Sporting Portugal</v>
      </c>
      <c r="CK8" s="247" t="str" cm="1">
        <f t="array" ref="CK8">IFERROR(INDEX(Equipo_visitante,MATCH($BH8&amp;CK$1,Jornada&amp;Equipo_local,0)),INDEX(Equipo_local,MATCH($BH8&amp;CK$1,Jornada&amp;Equipo_visitante,0)))</f>
        <v>Newcastle</v>
      </c>
      <c r="CL8" s="247" t="str" cm="1">
        <f t="array" ref="CL8">IFERROR(INDEX(Equipo_visitante,MATCH($BH8&amp;CL$1,Jornada&amp;Equipo_local,0)),INDEX(Equipo_local,MATCH($BH8&amp;CL$1,Jornada&amp;Equipo_visitante,0)))</f>
        <v>Eintracht Frankfurt</v>
      </c>
      <c r="CM8" s="247" t="str" cm="1">
        <f t="array" ref="CM8">IFERROR(INDEX(Equipo_visitante,MATCH($BH8&amp;CM$1,Jornada&amp;Equipo_local,0)),INDEX(Equipo_local,MATCH($BH8&amp;CM$1,Jornada&amp;Equipo_visitante,0)))</f>
        <v>Monaco</v>
      </c>
      <c r="CN8" s="247" t="str" cm="1">
        <f t="array" ref="CN8">IFERROR(INDEX(Equipo_visitante,MATCH($BH8&amp;CN$1,Jornada&amp;Equipo_local,0)),INDEX(Equipo_local,MATCH($BH8&amp;CN$1,Jornada&amp;Equipo_visitante,0)))</f>
        <v>Barcelona</v>
      </c>
      <c r="CO8" s="247" t="str" cm="1">
        <f t="array" ref="CO8">IFERROR(INDEX(Equipo_visitante,MATCH($BH8&amp;CO$1,Jornada&amp;Equipo_local,0)),INDEX(Equipo_local,MATCH($BH8&amp;CO$1,Jornada&amp;Equipo_visitante,0)))</f>
        <v>PSG</v>
      </c>
      <c r="CP8" s="247" t="str" cm="1">
        <f t="array" ref="CP8">IFERROR(INDEX(Equipo_visitante,MATCH($BH8&amp;CP$1,Jornada&amp;Equipo_local,0)),INDEX(Equipo_local,MATCH($BH8&amp;CP$1,Jornada&amp;Equipo_visitante,0)))</f>
        <v>Borussia Dortmund</v>
      </c>
      <c r="CQ8" s="247" t="str" cm="1">
        <f t="array" ref="CQ8">IFERROR(INDEX(Equipo_visitante,MATCH($BH8&amp;CQ$1,Jornada&amp;Equipo_local,0)),INDEX(Equipo_local,MATCH($BH8&amp;CQ$1,Jornada&amp;Equipo_visitante,0)))</f>
        <v>Bayern München</v>
      </c>
      <c r="CR8" s="247" t="str" cm="1">
        <f t="array" ref="CR8">IFERROR(INDEX(Equipo_visitante,MATCH($BH8&amp;CR$1,Jornada&amp;Equipo_local,0)),INDEX(Equipo_local,MATCH($BH8&amp;CR$1,Jornada&amp;Equipo_visitante,0)))</f>
        <v>Ajax</v>
      </c>
      <c r="CS8" s="256"/>
      <c r="CT8" s="256"/>
      <c r="CU8" s="256"/>
      <c r="CV8" s="227"/>
    </row>
    <row r="9" spans="1:100" ht="17.100000000000001" customHeight="1">
      <c r="A9" s="222">
        <v>1</v>
      </c>
      <c r="B9" s="468">
        <f>Horarios!C9</f>
        <v>45917.78125</v>
      </c>
      <c r="C9" s="469">
        <f>Horarios!C9</f>
        <v>45917.78125</v>
      </c>
      <c r="D9" s="191" t="s">
        <v>36</v>
      </c>
      <c r="E9" s="79" t="e" vm="19">
        <f>INDEX(TablaEquipos[Badge],MATCH(D9,TablaEquipos[Team],0))</f>
        <v>#VALUE!</v>
      </c>
      <c r="F9" s="102"/>
      <c r="G9" s="470">
        <v>2</v>
      </c>
      <c r="H9" s="471">
        <v>2</v>
      </c>
      <c r="I9" s="472"/>
      <c r="J9" s="82" t="e" vm="20">
        <f>INDEX(TablaEquipos[Badge],MATCH(K9,TablaEquipos[Team],0))</f>
        <v>#VALUE!</v>
      </c>
      <c r="K9" s="403" t="s">
        <v>37</v>
      </c>
      <c r="L9" s="97"/>
      <c r="M9" s="99"/>
      <c r="N9" s="90">
        <v>8</v>
      </c>
      <c r="O9" s="31" t="e" vm="21">
        <f>INDEX(TablaEquipos[],MATCH(P9,TablaEquipos[Team],0),MATCH($O$1,TablaEquipos[#Headers],0))</f>
        <v>#VALUE!</v>
      </c>
      <c r="P9" s="32" t="str">
        <f>IFERROR(INDEX(Calcs!A$2:A$37,MATCH($N9,Calcs!$CJ$2:$CJ$37,0)),"")</f>
        <v>Chelsea</v>
      </c>
      <c r="Q9" s="37">
        <f>IFERROR(INDEX(Calcs!$B$2:$AB$37,MATCH($N9,Calcs!$CJ$2:$CJ$37,0),MATCH(Q$1,Calcs!$B$1:$AB$1,0)),"")</f>
        <v>13</v>
      </c>
      <c r="R9" s="38">
        <f>IFERROR(INDEX(Calcs!$B$2:$AB$37,MATCH($N9,Calcs!$CJ$2:$CJ$37,0),MATCH(R$1,Calcs!$B$1:$AB$1,0)),"")</f>
        <v>7</v>
      </c>
      <c r="S9" s="38">
        <f>IFERROR(INDEX(Calcs!$B$2:$AB$37,MATCH($N9,Calcs!$CJ$2:$CJ$37,0),MATCH(S$1,Calcs!$B$1:$AB$1,0)),"")</f>
        <v>4</v>
      </c>
      <c r="T9" s="38">
        <f>IFERROR(INDEX(Calcs!$B$2:$AB$37,MATCH($N9,Calcs!$CJ$2:$CJ$37,0),MATCH(T$1,Calcs!$B$1:$AB$1,0)),"")</f>
        <v>1</v>
      </c>
      <c r="U9" s="38">
        <f>IFERROR(INDEX(Calcs!$B$2:$AB$37,MATCH($N9,Calcs!$CJ$2:$CJ$37,0),MATCH(U$1,Calcs!$B$1:$AB$1,0)),"")</f>
        <v>2</v>
      </c>
      <c r="V9" s="38">
        <f>IFERROR(INDEX(Calcs!$B$2:$AB$37,MATCH($N9,Calcs!$CJ$2:$CJ$37,0),MATCH(V$1,Calcs!$B$1:$AB$1,0)),"")</f>
        <v>14</v>
      </c>
      <c r="W9" s="38">
        <f>IFERROR(INDEX(Calcs!$B$2:$AB$37,MATCH($N9,Calcs!$CJ$2:$CJ$37,0),MATCH(W$1,Calcs!$B$1:$AB$1,0)),"")</f>
        <v>8</v>
      </c>
      <c r="X9" s="35">
        <f>IFERROR(INDEX(Calcs!$B$2:$AB$37,MATCH($N9,Calcs!$CJ$2:$CJ$37,0),MATCH(X$1,Calcs!$B$1:$AB$1,0)),"")</f>
        <v>6</v>
      </c>
      <c r="Y9" s="37">
        <f>IFERROR(INDEX(Calcs!$B$2:$AB$37,MATCH($N9,Calcs!$CJ$2:$CJ$37,0),MATCH(Y$1,Calcs!$B$1:$AB$1,0)),"")</f>
        <v>12</v>
      </c>
      <c r="Z9" s="38">
        <f>IFERROR(INDEX(Calcs!$B$2:$AB$37,MATCH($N9,Calcs!$CJ$2:$CJ$37,0),MATCH(Z$1,Calcs!$B$1:$AB$1,0)),"")</f>
        <v>4</v>
      </c>
      <c r="AA9" s="38">
        <f>IFERROR(INDEX(Calcs!$B$2:$AB$37,MATCH($N9,Calcs!$CJ$2:$CJ$37,0),MATCH(AA$1,Calcs!$B$1:$AB$1,0)),"")</f>
        <v>4</v>
      </c>
      <c r="AB9" s="38">
        <f>IFERROR(INDEX(Calcs!$B$2:$AB$37,MATCH($N9,Calcs!$CJ$2:$CJ$37,0),MATCH(AB$1,Calcs!$B$1:$AB$1,0)),"")</f>
        <v>0</v>
      </c>
      <c r="AC9" s="38">
        <f>IFERROR(INDEX(Calcs!$B$2:$AB$37,MATCH($N9,Calcs!$CJ$2:$CJ$37,0),MATCH(AC$1,Calcs!$B$1:$AB$1,0)),"")</f>
        <v>0</v>
      </c>
      <c r="AD9" s="38">
        <f>IFERROR(INDEX(Calcs!$B$2:$AB$37,MATCH($N9,Calcs!$CJ$2:$CJ$37,0),MATCH(AD$1,Calcs!$B$1:$AB$1,0)),"")</f>
        <v>10</v>
      </c>
      <c r="AE9" s="38">
        <f>IFERROR(INDEX(Calcs!$B$2:$AB$37,MATCH($N9,Calcs!$CJ$2:$CJ$37,0),MATCH(AE$1,Calcs!$B$1:$AB$1,0)),"")</f>
        <v>1</v>
      </c>
      <c r="AF9" s="35">
        <f>IFERROR(INDEX(Calcs!$B$2:$AB$37,MATCH($N9,Calcs!$CJ$2:$CJ$37,0),MATCH(AF$1,Calcs!$B$1:$AB$1,0)),"")</f>
        <v>9</v>
      </c>
      <c r="AG9" s="37">
        <f>IFERROR(INDEX(Calcs!$B$2:$AB$37,MATCH($N9,Calcs!$CJ$2:$CJ$37,0),MATCH(AG$1,Calcs!$B$1:$AB$1,0)),"")</f>
        <v>1</v>
      </c>
      <c r="AH9" s="38">
        <f>IFERROR(INDEX(Calcs!$B$2:$AB$37,MATCH($N9,Calcs!$CJ$2:$CJ$37,0),MATCH(AH$1,Calcs!$B$1:$AB$1,0)),"")</f>
        <v>3</v>
      </c>
      <c r="AI9" s="38">
        <f>IFERROR(INDEX(Calcs!$B$2:$AB$37,MATCH($N9,Calcs!$CJ$2:$CJ$37,0),MATCH(AI$1,Calcs!$B$1:$AB$1,0)),"")</f>
        <v>0</v>
      </c>
      <c r="AJ9" s="38">
        <f>IFERROR(INDEX(Calcs!$B$2:$AB$37,MATCH($N9,Calcs!$CJ$2:$CJ$37,0),MATCH(AJ$1,Calcs!$B$1:$AB$1,0)),"")</f>
        <v>1</v>
      </c>
      <c r="AK9" s="38">
        <f>IFERROR(INDEX(Calcs!$B$2:$AB$37,MATCH($N9,Calcs!$CJ$2:$CJ$37,0),MATCH(AK$1,Calcs!$B$1:$AB$1,0)),"")</f>
        <v>2</v>
      </c>
      <c r="AL9" s="38">
        <f>IFERROR(INDEX(Calcs!$B$2:$AB$37,MATCH($N9,Calcs!$CJ$2:$CJ$37,0),MATCH(AL$1,Calcs!$B$1:$AB$1,0)),"")</f>
        <v>4</v>
      </c>
      <c r="AM9" s="38">
        <f>IFERROR(INDEX(Calcs!$B$2:$AB$37,MATCH($N9,Calcs!$CJ$2:$CJ$37,0),MATCH(AM$1,Calcs!$B$1:$AB$1,0)),"")</f>
        <v>7</v>
      </c>
      <c r="AN9" s="39">
        <f>IFERROR(INDEX(Calcs!$B$2:$AB$37,MATCH($N9,Calcs!$CJ$2:$CJ$37,0),MATCH(AN$1,Calcs!$B$1:$AB$1,0)),"")</f>
        <v>-3</v>
      </c>
      <c r="AO9" s="38">
        <f>IFERROR(INDEX(Calcs!$B$2:$AB$37,MATCH($N9,Calcs!$CJ$2:$CJ$37,0),MATCH(AO$1,Calcs!$B$1:$AB$1,0)),"")</f>
        <v>80</v>
      </c>
      <c r="AP9" s="38">
        <f>IFERROR(INDEX(Calcs!$B$2:$AB$37,MATCH($N9,Calcs!$CJ$2:$CJ$37,0),MATCH(AP$1,Calcs!$B$1:$AB$1,0)),"")</f>
        <v>-10</v>
      </c>
      <c r="AQ9" s="39">
        <f>IFERROR(INDEX(Calcs!$B$2:$AB$37,MATCH($N9,Calcs!$CJ$2:$CJ$37,0),MATCH(AQ$1,Calcs!$B$1:$AB$1,0)),"")</f>
        <v>85</v>
      </c>
      <c r="AR9" s="74"/>
      <c r="AS9" s="9" t="str">
        <f>INDEX(Calcs!A$2:A$37,MATCH($N9,Calcs!$CF$2:$CF$37,0))</f>
        <v>Chelsea</v>
      </c>
      <c r="AT9" s="177"/>
      <c r="AU9" s="149">
        <f>INDEX(Calcs!$BZ$2:$BZ$37,MATCH($AS9,Calcs!$A$2:$A$37,0))</f>
        <v>8</v>
      </c>
      <c r="AV9" s="149">
        <f t="shared" si="1"/>
        <v>1</v>
      </c>
      <c r="AW9" s="149" t="str">
        <f t="shared" si="2"/>
        <v>8.1</v>
      </c>
      <c r="AX9" s="149"/>
      <c r="AY9" s="74"/>
      <c r="AZ9" s="71" t="str">
        <f>TablaEquipos[[#This Row],[Team]]</f>
        <v>Bayern München</v>
      </c>
      <c r="BA9" s="179"/>
      <c r="BB9" s="74"/>
      <c r="BC9" s="74"/>
      <c r="BD9" s="74"/>
      <c r="BE9" s="74"/>
      <c r="BF9" s="247" t="str">
        <f t="shared" si="0"/>
        <v>Empate</v>
      </c>
      <c r="BH9" s="257">
        <v>8</v>
      </c>
      <c r="BI9" s="247" t="str" cm="1">
        <f t="array" ref="BI9">IFERROR(INDEX(Equipo_visitante,MATCH($BH9&amp;BI$1,Jornada&amp;Equipo_local,0)),INDEX(Equipo_local,MATCH($BH9&amp;BI$1,Jornada&amp;Equipo_visitante,0)))</f>
        <v>Olympiakos</v>
      </c>
      <c r="BJ9" s="247" t="str" cm="1">
        <f t="array" ref="BJ9">IFERROR(INDEX(Equipo_visitante,MATCH($BH9&amp;BJ$1,Jornada&amp;Equipo_local,0)),INDEX(Equipo_local,MATCH($BH9&amp;BJ$1,Jornada&amp;Equipo_visitante,0)))</f>
        <v>Kairat Almaty </v>
      </c>
      <c r="BK9" s="247" t="str" cm="1">
        <f t="array" ref="BK9">IFERROR(INDEX(Equipo_visitante,MATCH($BH9&amp;BK$1,Jornada&amp;Equipo_local,0)),INDEX(Equipo_local,MATCH($BH9&amp;BK$1,Jornada&amp;Equipo_visitante,0)))</f>
        <v>Union Saint-Gilloise</v>
      </c>
      <c r="BL9" s="247" t="str" cm="1">
        <f t="array" ref="BL9">IFERROR(INDEX(Equipo_visitante,MATCH($BH9&amp;BL$1,Jornada&amp;Equipo_local,0)),INDEX(Equipo_local,MATCH($BH9&amp;BL$1,Jornada&amp;Equipo_visitante,0)))</f>
        <v>Sporting Portugal</v>
      </c>
      <c r="BM9" s="247" t="str" cm="1">
        <f t="array" ref="BM9">IFERROR(INDEX(Equipo_visitante,MATCH($BH9&amp;BM$1,Jornada&amp;Equipo_local,0)),INDEX(Equipo_local,MATCH($BH9&amp;BM$1,Jornada&amp;Equipo_visitante,0)))</f>
        <v>Bodø/Glimt</v>
      </c>
      <c r="BN9" s="247" t="str" cm="1">
        <f t="array" ref="BN9">IFERROR(INDEX(Equipo_visitante,MATCH($BH9&amp;BN$1,Jornada&amp;Equipo_local,0)),INDEX(Equipo_local,MATCH($BH9&amp;BN$1,Jornada&amp;Equipo_visitante,0)))</f>
        <v>Copenhagen</v>
      </c>
      <c r="BO9" s="247" t="str" cm="1">
        <f t="array" ref="BO9">IFERROR(INDEX(Equipo_visitante,MATCH($BH9&amp;BO$1,Jornada&amp;Equipo_local,0)),INDEX(Equipo_local,MATCH($BH9&amp;BO$1,Jornada&amp;Equipo_visitante,0)))</f>
        <v>Villarreal</v>
      </c>
      <c r="BP9" s="247" t="str" cm="1">
        <f t="array" ref="BP9">IFERROR(INDEX(Equipo_visitante,MATCH($BH9&amp;BP$1,Jornada&amp;Equipo_local,0)),INDEX(Equipo_local,MATCH($BH9&amp;BP$1,Jornada&amp;Equipo_visitante,0)))</f>
        <v>PSV Eindhoven</v>
      </c>
      <c r="BQ9" s="247" t="str" cm="1">
        <f t="array" ref="BQ9">IFERROR(INDEX(Equipo_visitante,MATCH($BH9&amp;BQ$1,Jornada&amp;Equipo_local,0)),INDEX(Equipo_local,MATCH($BH9&amp;BQ$1,Jornada&amp;Equipo_visitante,0)))</f>
        <v>Real Madrid</v>
      </c>
      <c r="BR9" s="247" t="str" cm="1">
        <f t="array" ref="BR9">IFERROR(INDEX(Equipo_visitante,MATCH($BH9&amp;BR$1,Jornada&amp;Equipo_local,0)),INDEX(Equipo_local,MATCH($BH9&amp;BR$1,Jornada&amp;Equipo_visitante,0)))</f>
        <v>Atlético Madrid</v>
      </c>
      <c r="BS9" s="247" t="str" cm="1">
        <f t="array" ref="BS9">IFERROR(INDEX(Equipo_visitante,MATCH($BH9&amp;BS$1,Jornada&amp;Equipo_local,0)),INDEX(Equipo_local,MATCH($BH9&amp;BS$1,Jornada&amp;Equipo_visitante,0)))</f>
        <v>Inter Milan</v>
      </c>
      <c r="BT9" s="247" t="str" cm="1">
        <f t="array" ref="BT9">IFERROR(INDEX(Equipo_visitante,MATCH($BH9&amp;BT$1,Jornada&amp;Equipo_local,0)),INDEX(Equipo_local,MATCH($BH9&amp;BT$1,Jornada&amp;Equipo_visitante,0)))</f>
        <v>Marseille</v>
      </c>
      <c r="BU9" s="247" t="str" cm="1">
        <f t="array" ref="BU9">IFERROR(INDEX(Equipo_visitante,MATCH($BH9&amp;BU$1,Jornada&amp;Equipo_local,0)),INDEX(Equipo_local,MATCH($BH9&amp;BU$1,Jornada&amp;Equipo_visitante,0)))</f>
        <v>Napoli</v>
      </c>
      <c r="BV9" s="247" t="str" cm="1">
        <f t="array" ref="BV9">IFERROR(INDEX(Equipo_visitante,MATCH($BH9&amp;BV$1,Jornada&amp;Equipo_local,0)),INDEX(Equipo_local,MATCH($BH9&amp;BV$1,Jornada&amp;Equipo_visitante,0)))</f>
        <v>Barcelona</v>
      </c>
      <c r="BW9" s="247" t="str" cm="1">
        <f t="array" ref="BW9">IFERROR(INDEX(Equipo_visitante,MATCH($BH9&amp;BW$1,Jornada&amp;Equipo_local,0)),INDEX(Equipo_local,MATCH($BH9&amp;BW$1,Jornada&amp;Equipo_visitante,0)))</f>
        <v>Tottenham</v>
      </c>
      <c r="BX9" s="247" t="str" cm="1">
        <f t="array" ref="BX9">IFERROR(INDEX(Equipo_visitante,MATCH($BH9&amp;BX$1,Jornada&amp;Equipo_local,0)),INDEX(Equipo_local,MATCH($BH9&amp;BX$1,Jornada&amp;Equipo_visitante,0)))</f>
        <v>Manchester City</v>
      </c>
      <c r="BY9" s="247" t="str" cm="1">
        <f t="array" ref="BY9">IFERROR(INDEX(Equipo_visitante,MATCH($BH9&amp;BY$1,Jornada&amp;Equipo_local,0)),INDEX(Equipo_local,MATCH($BH9&amp;BY$1,Jornada&amp;Equipo_visitante,0)))</f>
        <v>Borussia Dortmund</v>
      </c>
      <c r="BZ9" s="247" t="str" cm="1">
        <f t="array" ref="BZ9">IFERROR(INDEX(Equipo_visitante,MATCH($BH9&amp;BZ$1,Jornada&amp;Equipo_local,0)),INDEX(Equipo_local,MATCH($BH9&amp;BZ$1,Jornada&amp;Equipo_visitante,0)))</f>
        <v>Monaco</v>
      </c>
      <c r="CA9" s="247" t="str" cm="1">
        <f t="array" ref="CA9">IFERROR(INDEX(Equipo_visitante,MATCH($BH9&amp;CA$1,Jornada&amp;Equipo_local,0)),INDEX(Equipo_local,MATCH($BH9&amp;CA$1,Jornada&amp;Equipo_visitante,0)))</f>
        <v>Arsenal</v>
      </c>
      <c r="CB9" s="247" t="str" cm="1">
        <f t="array" ref="CB9">IFERROR(INDEX(Equipo_visitante,MATCH($BH9&amp;CB$1,Jornada&amp;Equipo_local,0)),INDEX(Equipo_local,MATCH($BH9&amp;CB$1,Jornada&amp;Equipo_visitante,0)))</f>
        <v>Qarabağ</v>
      </c>
      <c r="CC9" s="247" t="str" cm="1">
        <f t="array" ref="CC9">IFERROR(INDEX(Equipo_visitante,MATCH($BH9&amp;CC$1,Jornada&amp;Equipo_local,0)),INDEX(Equipo_local,MATCH($BH9&amp;CC$1,Jornada&amp;Equipo_visitante,0)))</f>
        <v>Galatasaray</v>
      </c>
      <c r="CD9" s="247" t="str" cm="1">
        <f t="array" ref="CD9">IFERROR(INDEX(Equipo_visitante,MATCH($BH9&amp;CD$1,Jornada&amp;Equipo_local,0)),INDEX(Equipo_local,MATCH($BH9&amp;CD$1,Jornada&amp;Equipo_visitante,0)))</f>
        <v>Brugge</v>
      </c>
      <c r="CE9" s="247" t="str" cm="1">
        <f t="array" ref="CE9">IFERROR(INDEX(Equipo_visitante,MATCH($BH9&amp;CE$1,Jornada&amp;Equipo_local,0)),INDEX(Equipo_local,MATCH($BH9&amp;CE$1,Jornada&amp;Equipo_visitante,0)))</f>
        <v>Juventus</v>
      </c>
      <c r="CF9" s="247" t="str" cm="1">
        <f t="array" ref="CF9">IFERROR(INDEX(Equipo_visitante,MATCH($BH9&amp;CF$1,Jornada&amp;Equipo_local,0)),INDEX(Equipo_local,MATCH($BH9&amp;CF$1,Jornada&amp;Equipo_visitante,0)))</f>
        <v>Chelsea</v>
      </c>
      <c r="CG9" s="247" t="str" cm="1">
        <f t="array" ref="CG9">IFERROR(INDEX(Equipo_visitante,MATCH($BH9&amp;CG$1,Jornada&amp;Equipo_local,0)),INDEX(Equipo_local,MATCH($BH9&amp;CG$1,Jornada&amp;Equipo_visitante,0)))</f>
        <v>PSG</v>
      </c>
      <c r="CH9" s="247" t="str" cm="1">
        <f t="array" ref="CH9">IFERROR(INDEX(Equipo_visitante,MATCH($BH9&amp;CH$1,Jornada&amp;Equipo_local,0)),INDEX(Equipo_local,MATCH($BH9&amp;CH$1,Jornada&amp;Equipo_visitante,0)))</f>
        <v>Ajax</v>
      </c>
      <c r="CI9" s="247" t="str" cm="1">
        <f t="array" ref="CI9">IFERROR(INDEX(Equipo_visitante,MATCH($BH9&amp;CI$1,Jornada&amp;Equipo_local,0)),INDEX(Equipo_local,MATCH($BH9&amp;CI$1,Jornada&amp;Equipo_visitante,0)))</f>
        <v>Slavia Praha</v>
      </c>
      <c r="CJ9" s="247" t="str" cm="1">
        <f t="array" ref="CJ9">IFERROR(INDEX(Equipo_visitante,MATCH($BH9&amp;CJ$1,Jornada&amp;Equipo_local,0)),INDEX(Equipo_local,MATCH($BH9&amp;CJ$1,Jornada&amp;Equipo_visitante,0)))</f>
        <v>Newcastle</v>
      </c>
      <c r="CK9" s="247" t="str" cm="1">
        <f t="array" ref="CK9">IFERROR(INDEX(Equipo_visitante,MATCH($BH9&amp;CK$1,Jornada&amp;Equipo_local,0)),INDEX(Equipo_local,MATCH($BH9&amp;CK$1,Jornada&amp;Equipo_visitante,0)))</f>
        <v>Bayern München</v>
      </c>
      <c r="CL9" s="247" t="str" cm="1">
        <f t="array" ref="CL9">IFERROR(INDEX(Equipo_visitante,MATCH($BH9&amp;CL$1,Jornada&amp;Equipo_local,0)),INDEX(Equipo_local,MATCH($BH9&amp;CL$1,Jornada&amp;Equipo_visitante,0)))</f>
        <v>Liverpool</v>
      </c>
      <c r="CM9" s="247" t="str" cm="1">
        <f t="array" ref="CM9">IFERROR(INDEX(Equipo_visitante,MATCH($BH9&amp;CM$1,Jornada&amp;Equipo_local,0)),INDEX(Equipo_local,MATCH($BH9&amp;CM$1,Jornada&amp;Equipo_visitante,0)))</f>
        <v>Benfica</v>
      </c>
      <c r="CN9" s="247" t="str" cm="1">
        <f t="array" ref="CN9">IFERROR(INDEX(Equipo_visitante,MATCH($BH9&amp;CN$1,Jornada&amp;Equipo_local,0)),INDEX(Equipo_local,MATCH($BH9&amp;CN$1,Jornada&amp;Equipo_visitante,0)))</f>
        <v>Pafos</v>
      </c>
      <c r="CO9" s="247" t="str" cm="1">
        <f t="array" ref="CO9">IFERROR(INDEX(Equipo_visitante,MATCH($BH9&amp;CO$1,Jornada&amp;Equipo_local,0)),INDEX(Equipo_local,MATCH($BH9&amp;CO$1,Jornada&amp;Equipo_visitante,0)))</f>
        <v>Athletic Bilbao</v>
      </c>
      <c r="CP9" s="247" t="str" cm="1">
        <f t="array" ref="CP9">IFERROR(INDEX(Equipo_visitante,MATCH($BH9&amp;CP$1,Jornada&amp;Equipo_local,0)),INDEX(Equipo_local,MATCH($BH9&amp;CP$1,Jornada&amp;Equipo_visitante,0)))</f>
        <v>Eintracht Frankfurt</v>
      </c>
      <c r="CQ9" s="247" t="str" cm="1">
        <f t="array" ref="CQ9">IFERROR(INDEX(Equipo_visitante,MATCH($BH9&amp;CQ$1,Jornada&amp;Equipo_local,0)),INDEX(Equipo_local,MATCH($BH9&amp;CQ$1,Jornada&amp;Equipo_visitante,0)))</f>
        <v>Atalanta</v>
      </c>
      <c r="CR9" s="247" t="str" cm="1">
        <f t="array" ref="CR9">IFERROR(INDEX(Equipo_visitante,MATCH($BH9&amp;CR$1,Jornada&amp;Equipo_local,0)),INDEX(Equipo_local,MATCH($BH9&amp;CR$1,Jornada&amp;Equipo_visitante,0)))</f>
        <v>Bayer Leverkusen</v>
      </c>
      <c r="CS9" s="256"/>
      <c r="CT9" s="256"/>
      <c r="CU9" s="256"/>
      <c r="CV9" s="227"/>
    </row>
    <row r="10" spans="1:100" ht="17.100000000000001" customHeight="1">
      <c r="A10" s="473">
        <v>1</v>
      </c>
      <c r="B10" s="474">
        <f>Horarios!C10</f>
        <v>45917.875</v>
      </c>
      <c r="C10" s="475">
        <f>Horarios!C10</f>
        <v>45917.875</v>
      </c>
      <c r="D10" s="192" t="s">
        <v>38</v>
      </c>
      <c r="E10" s="80" t="e" vm="22">
        <f>INDEX(TablaEquipos[Badge],MATCH(D10,TablaEquipos[Team],0))</f>
        <v>#VALUE!</v>
      </c>
      <c r="F10" s="103"/>
      <c r="G10" s="476">
        <v>0</v>
      </c>
      <c r="H10" s="477">
        <v>2</v>
      </c>
      <c r="I10" s="478"/>
      <c r="J10" s="81" t="e" vm="23">
        <f>INDEX(TablaEquipos[Badge],MATCH(K10,TablaEquipos[Team],0))</f>
        <v>#VALUE!</v>
      </c>
      <c r="K10" s="209" t="s">
        <v>39</v>
      </c>
      <c r="L10" s="97"/>
      <c r="M10" s="74"/>
      <c r="N10" s="91">
        <v>9</v>
      </c>
      <c r="O10" s="42" t="e" vm="24">
        <f>INDEX(TablaEquipos[],MATCH(P10,TablaEquipos[Team],0),MATCH($O$1,TablaEquipos[#Headers],0))</f>
        <v>#VALUE!</v>
      </c>
      <c r="P10" s="43" t="str">
        <f>IFERROR(INDEX(Calcs!A$2:A$37,MATCH($N10,Calcs!$CJ$2:$CJ$37,0)),"")</f>
        <v>Barcelona</v>
      </c>
      <c r="Q10" s="44">
        <f>IFERROR(INDEX(Calcs!$B$2:$AB$37,MATCH($N10,Calcs!$CJ$2:$CJ$37,0),MATCH(Q$1,Calcs!$B$1:$AB$1,0)),"")</f>
        <v>13</v>
      </c>
      <c r="R10" s="45">
        <f>IFERROR(INDEX(Calcs!$B$2:$AB$37,MATCH($N10,Calcs!$CJ$2:$CJ$37,0),MATCH(R$1,Calcs!$B$1:$AB$1,0)),"")</f>
        <v>7</v>
      </c>
      <c r="S10" s="45">
        <f>IFERROR(INDEX(Calcs!$B$2:$AB$37,MATCH($N10,Calcs!$CJ$2:$CJ$37,0),MATCH(S$1,Calcs!$B$1:$AB$1,0)),"")</f>
        <v>4</v>
      </c>
      <c r="T10" s="45">
        <f>IFERROR(INDEX(Calcs!$B$2:$AB$37,MATCH($N10,Calcs!$CJ$2:$CJ$37,0),MATCH(T$1,Calcs!$B$1:$AB$1,0)),"")</f>
        <v>1</v>
      </c>
      <c r="U10" s="45">
        <f>IFERROR(INDEX(Calcs!$B$2:$AB$37,MATCH($N10,Calcs!$CJ$2:$CJ$37,0),MATCH(U$1,Calcs!$B$1:$AB$1,0)),"")</f>
        <v>2</v>
      </c>
      <c r="V10" s="45">
        <f>IFERROR(INDEX(Calcs!$B$2:$AB$37,MATCH($N10,Calcs!$CJ$2:$CJ$37,0),MATCH(V$1,Calcs!$B$1:$AB$1,0)),"")</f>
        <v>18</v>
      </c>
      <c r="W10" s="45">
        <f>IFERROR(INDEX(Calcs!$B$2:$AB$37,MATCH($N10,Calcs!$CJ$2:$CJ$37,0),MATCH(W$1,Calcs!$B$1:$AB$1,0)),"")</f>
        <v>13</v>
      </c>
      <c r="X10" s="46">
        <f>IFERROR(INDEX(Calcs!$B$2:$AB$37,MATCH($N10,Calcs!$CJ$2:$CJ$37,0),MATCH(X$1,Calcs!$B$1:$AB$1,0)),"")</f>
        <v>5</v>
      </c>
      <c r="Y10" s="44">
        <f>IFERROR(INDEX(Calcs!$B$2:$AB$37,MATCH($N10,Calcs!$CJ$2:$CJ$37,0),MATCH(Y$1,Calcs!$B$1:$AB$1,0)),"")</f>
        <v>6</v>
      </c>
      <c r="Z10" s="45">
        <f>IFERROR(INDEX(Calcs!$B$2:$AB$37,MATCH($N10,Calcs!$CJ$2:$CJ$37,0),MATCH(Z$1,Calcs!$B$1:$AB$1,0)),"")</f>
        <v>3</v>
      </c>
      <c r="AA10" s="45">
        <f>IFERROR(INDEX(Calcs!$B$2:$AB$37,MATCH($N10,Calcs!$CJ$2:$CJ$37,0),MATCH(AA$1,Calcs!$B$1:$AB$1,0)),"")</f>
        <v>2</v>
      </c>
      <c r="AB10" s="45">
        <f>IFERROR(INDEX(Calcs!$B$2:$AB$37,MATCH($N10,Calcs!$CJ$2:$CJ$37,0),MATCH(AB$1,Calcs!$B$1:$AB$1,0)),"")</f>
        <v>0</v>
      </c>
      <c r="AC10" s="45">
        <f>IFERROR(INDEX(Calcs!$B$2:$AB$37,MATCH($N10,Calcs!$CJ$2:$CJ$37,0),MATCH(AC$1,Calcs!$B$1:$AB$1,0)),"")</f>
        <v>1</v>
      </c>
      <c r="AD10" s="45">
        <f>IFERROR(INDEX(Calcs!$B$2:$AB$37,MATCH($N10,Calcs!$CJ$2:$CJ$37,0),MATCH(AD$1,Calcs!$B$1:$AB$1,0)),"")</f>
        <v>9</v>
      </c>
      <c r="AE10" s="45">
        <f>IFERROR(INDEX(Calcs!$B$2:$AB$37,MATCH($N10,Calcs!$CJ$2:$CJ$37,0),MATCH(AE$1,Calcs!$B$1:$AB$1,0)),"")</f>
        <v>4</v>
      </c>
      <c r="AF10" s="46">
        <f>IFERROR(INDEX(Calcs!$B$2:$AB$37,MATCH($N10,Calcs!$CJ$2:$CJ$37,0),MATCH(AF$1,Calcs!$B$1:$AB$1,0)),"")</f>
        <v>5</v>
      </c>
      <c r="AG10" s="44">
        <f>IFERROR(INDEX(Calcs!$B$2:$AB$37,MATCH($N10,Calcs!$CJ$2:$CJ$37,0),MATCH(AG$1,Calcs!$B$1:$AB$1,0)),"")</f>
        <v>7</v>
      </c>
      <c r="AH10" s="45">
        <f>IFERROR(INDEX(Calcs!$B$2:$AB$37,MATCH($N10,Calcs!$CJ$2:$CJ$37,0),MATCH(AH$1,Calcs!$B$1:$AB$1,0)),"")</f>
        <v>4</v>
      </c>
      <c r="AI10" s="45">
        <f>IFERROR(INDEX(Calcs!$B$2:$AB$37,MATCH($N10,Calcs!$CJ$2:$CJ$37,0),MATCH(AI$1,Calcs!$B$1:$AB$1,0)),"")</f>
        <v>2</v>
      </c>
      <c r="AJ10" s="45">
        <f>IFERROR(INDEX(Calcs!$B$2:$AB$37,MATCH($N10,Calcs!$CJ$2:$CJ$37,0),MATCH(AJ$1,Calcs!$B$1:$AB$1,0)),"")</f>
        <v>1</v>
      </c>
      <c r="AK10" s="45">
        <f>IFERROR(INDEX(Calcs!$B$2:$AB$37,MATCH($N10,Calcs!$CJ$2:$CJ$37,0),MATCH(AK$1,Calcs!$B$1:$AB$1,0)),"")</f>
        <v>1</v>
      </c>
      <c r="AL10" s="45">
        <f>IFERROR(INDEX(Calcs!$B$2:$AB$37,MATCH($N10,Calcs!$CJ$2:$CJ$37,0),MATCH(AL$1,Calcs!$B$1:$AB$1,0)),"")</f>
        <v>9</v>
      </c>
      <c r="AM10" s="45">
        <f>IFERROR(INDEX(Calcs!$B$2:$AB$37,MATCH($N10,Calcs!$CJ$2:$CJ$37,0),MATCH(AM$1,Calcs!$B$1:$AB$1,0)),"")</f>
        <v>9</v>
      </c>
      <c r="AN10" s="47">
        <f>IFERROR(INDEX(Calcs!$B$2:$AB$37,MATCH($N10,Calcs!$CJ$2:$CJ$37,0),MATCH(AN$1,Calcs!$B$1:$AB$1,0)),"")</f>
        <v>0</v>
      </c>
      <c r="AO10" s="45">
        <f>IFERROR(INDEX(Calcs!$B$2:$AB$37,MATCH($N10,Calcs!$CJ$2:$CJ$37,0),MATCH(AO$1,Calcs!$B$1:$AB$1,0)),"")</f>
        <v>69</v>
      </c>
      <c r="AP10" s="45">
        <f>IFERROR(INDEX(Calcs!$B$2:$AB$37,MATCH($N10,Calcs!$CJ$2:$CJ$37,0),MATCH(AP$1,Calcs!$B$1:$AB$1,0)),"")</f>
        <v>-10</v>
      </c>
      <c r="AQ10" s="47">
        <f>IFERROR(INDEX(Calcs!$B$2:$AB$37,MATCH($N10,Calcs!$CJ$2:$CJ$37,0),MATCH(AQ$1,Calcs!$B$1:$AB$1,0)),"")</f>
        <v>95</v>
      </c>
      <c r="AR10" s="74"/>
      <c r="AS10" s="9" t="str">
        <f>INDEX(Calcs!A$2:A$37,MATCH($N10,Calcs!$CF$2:$CF$37,0))</f>
        <v>Barcelona</v>
      </c>
      <c r="AT10" s="177"/>
      <c r="AU10" s="149">
        <f>INDEX(Calcs!$BZ$2:$BZ$37,MATCH($AS10,Calcs!$A$2:$A$37,0))</f>
        <v>9</v>
      </c>
      <c r="AV10" s="149">
        <f t="shared" si="1"/>
        <v>1</v>
      </c>
      <c r="AW10" s="149" t="str">
        <f t="shared" si="2"/>
        <v>9.1</v>
      </c>
      <c r="AX10" s="149"/>
      <c r="AY10" s="74"/>
      <c r="AZ10" s="70" t="str">
        <f>TablaEquipos[[#This Row],[Team]]</f>
        <v>Benfica</v>
      </c>
      <c r="BA10" s="178"/>
      <c r="BB10" s="74"/>
      <c r="BC10" s="74"/>
      <c r="BD10" s="74"/>
      <c r="BE10" s="74"/>
      <c r="BF10" s="247" t="str">
        <f t="shared" si="0"/>
        <v>Visitante</v>
      </c>
      <c r="BH10" s="257" t="s">
        <v>40</v>
      </c>
      <c r="BI10" s="247">
        <f>SUMIF(Calcs!$A$2:$A$37,League!BI2,Calcs!$I$2:$I$37)-INDEX($BA$2:$BA$37,MATCH(BI2,$AZ$2:$AZ$37,0))</f>
        <v>12</v>
      </c>
      <c r="BJ10" s="247">
        <f>SUMIF(Calcs!$A$2:$A$37,League!BJ2,Calcs!$I$2:$I$37)-INDEX($BA$2:$BA$37,MATCH(BJ2,$AZ$2:$AZ$37,0))</f>
        <v>8</v>
      </c>
      <c r="BK10" s="247">
        <f>SUMIF(Calcs!$A$2:$A$37,League!BK2,Calcs!$I$2:$I$37)-INDEX($BA$2:$BA$37,MATCH(BK2,$AZ$2:$AZ$37,0))</f>
        <v>13</v>
      </c>
      <c r="BL10" s="247">
        <f>SUMIF(Calcs!$A$2:$A$37,League!BL2,Calcs!$I$2:$I$37)-INDEX($BA$2:$BA$37,MATCH(BL2,$AZ$2:$AZ$37,0))</f>
        <v>21</v>
      </c>
      <c r="BM10" s="247">
        <f>SUMIF(Calcs!$A$2:$A$37,League!BM2,Calcs!$I$2:$I$37)-INDEX($BA$2:$BA$37,MATCH(BM2,$AZ$2:$AZ$37,0))</f>
        <v>15</v>
      </c>
      <c r="BN10" s="247">
        <f>SUMIF(Calcs!$A$2:$A$37,League!BN2,Calcs!$I$2:$I$37)-INDEX($BA$2:$BA$37,MATCH(BN2,$AZ$2:$AZ$37,0))</f>
        <v>13</v>
      </c>
      <c r="BO10" s="247">
        <f>SUMIF(Calcs!$A$2:$A$37,League!BO2,Calcs!$I$2:$I$37)-INDEX($BA$2:$BA$37,MATCH(BO2,$AZ$2:$AZ$37,0))</f>
        <v>8</v>
      </c>
      <c r="BP10" s="247">
        <f>SUMIF(Calcs!$A$2:$A$37,League!BP2,Calcs!$I$2:$I$37)-INDEX($BA$2:$BA$37,MATCH(BP2,$AZ$2:$AZ$37,0))</f>
        <v>13</v>
      </c>
      <c r="BQ10" s="247">
        <f>SUMIF(Calcs!$A$2:$A$37,League!BQ2,Calcs!$I$2:$I$37)-INDEX($BA$2:$BA$37,MATCH(BQ2,$AZ$2:$AZ$37,0))</f>
        <v>10</v>
      </c>
      <c r="BR10" s="247">
        <f>SUMIF(Calcs!$A$2:$A$37,League!BR2,Calcs!$I$2:$I$37)-INDEX($BA$2:$BA$37,MATCH(BR2,$AZ$2:$AZ$37,0))</f>
        <v>3</v>
      </c>
      <c r="BS10" s="247">
        <f>SUMIF(Calcs!$A$2:$A$37,League!BS2,Calcs!$I$2:$I$37)-INDEX($BA$2:$BA$37,MATCH(BS2,$AZ$2:$AZ$37,0))</f>
        <v>12</v>
      </c>
      <c r="BT10" s="247">
        <f>SUMIF(Calcs!$A$2:$A$37,League!BT2,Calcs!$I$2:$I$37)-INDEX($BA$2:$BA$37,MATCH(BT2,$AZ$2:$AZ$37,0))</f>
        <v>9</v>
      </c>
      <c r="BU10" s="247">
        <f>SUMIF(Calcs!$A$2:$A$37,League!BU2,Calcs!$I$2:$I$37)-INDEX($BA$2:$BA$37,MATCH(BU2,$AZ$2:$AZ$37,0))</f>
        <v>18</v>
      </c>
      <c r="BV10" s="247">
        <f>SUMIF(Calcs!$A$2:$A$37,League!BV2,Calcs!$I$2:$I$37)-INDEX($BA$2:$BA$37,MATCH(BV2,$AZ$2:$AZ$37,0))</f>
        <v>9</v>
      </c>
      <c r="BW10" s="247">
        <f>SUMIF(Calcs!$A$2:$A$37,League!BW2,Calcs!$I$2:$I$37)-INDEX($BA$2:$BA$37,MATCH(BW2,$AZ$2:$AZ$37,0))</f>
        <v>10</v>
      </c>
      <c r="BX10" s="247">
        <f>SUMIF(Calcs!$A$2:$A$37,League!BX2,Calcs!$I$2:$I$37)-INDEX($BA$2:$BA$37,MATCH(BX2,$AZ$2:$AZ$37,0))</f>
        <v>4</v>
      </c>
      <c r="BY10" s="247">
        <f>SUMIF(Calcs!$A$2:$A$37,League!BY2,Calcs!$I$2:$I$37)-INDEX($BA$2:$BA$37,MATCH(BY2,$AZ$2:$AZ$37,0))</f>
        <v>6</v>
      </c>
      <c r="BZ10" s="247">
        <f>SUMIF(Calcs!$A$2:$A$37,League!BZ2,Calcs!$I$2:$I$37)-INDEX($BA$2:$BA$37,MATCH(BZ2,$AZ$2:$AZ$37,0))</f>
        <v>11</v>
      </c>
      <c r="CA10" s="247">
        <f>SUMIF(Calcs!$A$2:$A$37,League!CA2,Calcs!$I$2:$I$37)-INDEX($BA$2:$BA$37,MATCH(CA2,$AZ$2:$AZ$37,0))</f>
        <v>13</v>
      </c>
      <c r="CB10" s="247">
        <f>SUMIF(Calcs!$A$2:$A$37,League!CB2,Calcs!$I$2:$I$37)-INDEX($BA$2:$BA$37,MATCH(CB2,$AZ$2:$AZ$37,0))</f>
        <v>13</v>
      </c>
      <c r="CC10" s="247">
        <f>SUMIF(Calcs!$A$2:$A$37,League!CC2,Calcs!$I$2:$I$37)-INDEX($BA$2:$BA$37,MATCH(CC2,$AZ$2:$AZ$37,0))</f>
        <v>8</v>
      </c>
      <c r="CD10" s="247">
        <f>SUMIF(Calcs!$A$2:$A$37,League!CD2,Calcs!$I$2:$I$37)-INDEX($BA$2:$BA$37,MATCH(CD2,$AZ$2:$AZ$37,0))</f>
        <v>15</v>
      </c>
      <c r="CE10" s="247">
        <f>SUMIF(Calcs!$A$2:$A$37,League!CE2,Calcs!$I$2:$I$37)-INDEX($BA$2:$BA$37,MATCH(CE2,$AZ$2:$AZ$37,0))</f>
        <v>7</v>
      </c>
      <c r="CF10" s="247">
        <f>SUMIF(Calcs!$A$2:$A$37,League!CF2,Calcs!$I$2:$I$37)-INDEX($BA$2:$BA$37,MATCH(CF2,$AZ$2:$AZ$37,0))</f>
        <v>13</v>
      </c>
      <c r="CG10" s="247">
        <f>SUMIF(Calcs!$A$2:$A$37,League!CG2,Calcs!$I$2:$I$37)-INDEX($BA$2:$BA$37,MATCH(CG2,$AZ$2:$AZ$37,0))</f>
        <v>13</v>
      </c>
      <c r="CH10" s="247">
        <f>SUMIF(Calcs!$A$2:$A$37,League!CH2,Calcs!$I$2:$I$37)-INDEX($BA$2:$BA$37,MATCH(CH2,$AZ$2:$AZ$37,0))</f>
        <v>6</v>
      </c>
      <c r="CI10" s="247">
        <f>SUMIF(Calcs!$A$2:$A$37,League!CI2,Calcs!$I$2:$I$37)-INDEX($BA$2:$BA$37,MATCH(CI2,$AZ$2:$AZ$37,0))</f>
        <v>8</v>
      </c>
      <c r="CJ10" s="247">
        <f>SUMIF(Calcs!$A$2:$A$37,League!CJ2,Calcs!$I$2:$I$37)-INDEX($BA$2:$BA$37,MATCH(CJ2,$AZ$2:$AZ$37,0))</f>
        <v>13</v>
      </c>
      <c r="CK10" s="247">
        <f>SUMIF(Calcs!$A$2:$A$37,League!CK2,Calcs!$I$2:$I$37)-INDEX($BA$2:$BA$37,MATCH(CK2,$AZ$2:$AZ$37,0))</f>
        <v>6</v>
      </c>
      <c r="CL10" s="247">
        <f>SUMIF(Calcs!$A$2:$A$37,League!CL2,Calcs!$I$2:$I$37)-INDEX($BA$2:$BA$37,MATCH(CL2,$AZ$2:$AZ$37,0))</f>
        <v>6</v>
      </c>
      <c r="CM10" s="247">
        <f>SUMIF(Calcs!$A$2:$A$37,League!CM2,Calcs!$I$2:$I$37)-INDEX($BA$2:$BA$37,MATCH(CM2,$AZ$2:$AZ$37,0))</f>
        <v>9</v>
      </c>
      <c r="CN10" s="247">
        <f>SUMIF(Calcs!$A$2:$A$37,League!CN2,Calcs!$I$2:$I$37)-INDEX($BA$2:$BA$37,MATCH(CN2,$AZ$2:$AZ$37,0))</f>
        <v>6</v>
      </c>
      <c r="CO10" s="247">
        <f>SUMIF(Calcs!$A$2:$A$37,League!CO2,Calcs!$I$2:$I$37)-INDEX($BA$2:$BA$37,MATCH(CO2,$AZ$2:$AZ$37,0))</f>
        <v>1</v>
      </c>
      <c r="CP10" s="247">
        <f>SUMIF(Calcs!$A$2:$A$37,League!CP2,Calcs!$I$2:$I$37)-INDEX($BA$2:$BA$37,MATCH(CP2,$AZ$2:$AZ$37,0))</f>
        <v>1</v>
      </c>
      <c r="CQ10" s="247">
        <f>SUMIF(Calcs!$A$2:$A$37,League!CQ2,Calcs!$I$2:$I$37)-INDEX($BA$2:$BA$37,MATCH(CQ2,$AZ$2:$AZ$37,0))</f>
        <v>8</v>
      </c>
      <c r="CR10" s="247">
        <f>SUMIF(Calcs!$A$2:$A$37,League!CR2,Calcs!$I$2:$I$37)-INDEX($BA$2:$BA$37,MATCH(CR2,$AZ$2:$AZ$37,0))</f>
        <v>14</v>
      </c>
      <c r="CS10" s="256"/>
      <c r="CT10" s="256"/>
      <c r="CU10" s="256"/>
      <c r="CV10" s="227"/>
    </row>
    <row r="11" spans="1:100" ht="17.100000000000001" customHeight="1">
      <c r="A11" s="222">
        <v>1</v>
      </c>
      <c r="B11" s="468">
        <f>Horarios!C11</f>
        <v>45917.875</v>
      </c>
      <c r="C11" s="469">
        <f>Horarios!C11</f>
        <v>45917.875</v>
      </c>
      <c r="D11" s="191" t="s">
        <v>41</v>
      </c>
      <c r="E11" s="79" t="e" vm="5">
        <f>INDEX(TablaEquipos[Badge],MATCH(D11,TablaEquipos[Team],0))</f>
        <v>#VALUE!</v>
      </c>
      <c r="F11" s="102"/>
      <c r="G11" s="470">
        <v>3</v>
      </c>
      <c r="H11" s="471">
        <v>1</v>
      </c>
      <c r="I11" s="472"/>
      <c r="J11" s="82" t="e" vm="21">
        <f>INDEX(TablaEquipos[Badge],MATCH(K11,TablaEquipos[Team],0))</f>
        <v>#VALUE!</v>
      </c>
      <c r="K11" s="403" t="s">
        <v>42</v>
      </c>
      <c r="L11" s="97"/>
      <c r="M11" s="74"/>
      <c r="N11" s="91">
        <v>10</v>
      </c>
      <c r="O11" s="42" t="e" vm="25">
        <f>INDEX(TablaEquipos[],MATCH(P11,TablaEquipos[Team],0),MATCH($O$1,TablaEquipos[#Headers],0))</f>
        <v>#VALUE!</v>
      </c>
      <c r="P11" s="43" t="str">
        <f>IFERROR(INDEX(Calcs!A$2:A$37,MATCH($N11,Calcs!$CJ$2:$CJ$37,0)),"")</f>
        <v>Sporting Portugal</v>
      </c>
      <c r="Q11" s="44">
        <f>IFERROR(INDEX(Calcs!$B$2:$AB$37,MATCH($N11,Calcs!$CJ$2:$CJ$37,0),MATCH(Q$1,Calcs!$B$1:$AB$1,0)),"")</f>
        <v>13</v>
      </c>
      <c r="R11" s="45">
        <f>IFERROR(INDEX(Calcs!$B$2:$AB$37,MATCH($N11,Calcs!$CJ$2:$CJ$37,0),MATCH(R$1,Calcs!$B$1:$AB$1,0)),"")</f>
        <v>7</v>
      </c>
      <c r="S11" s="45">
        <f>IFERROR(INDEX(Calcs!$B$2:$AB$37,MATCH($N11,Calcs!$CJ$2:$CJ$37,0),MATCH(S$1,Calcs!$B$1:$AB$1,0)),"")</f>
        <v>4</v>
      </c>
      <c r="T11" s="45">
        <f>IFERROR(INDEX(Calcs!$B$2:$AB$37,MATCH($N11,Calcs!$CJ$2:$CJ$37,0),MATCH(T$1,Calcs!$B$1:$AB$1,0)),"")</f>
        <v>1</v>
      </c>
      <c r="U11" s="45">
        <f>IFERROR(INDEX(Calcs!$B$2:$AB$37,MATCH($N11,Calcs!$CJ$2:$CJ$37,0),MATCH(U$1,Calcs!$B$1:$AB$1,0)),"")</f>
        <v>2</v>
      </c>
      <c r="V11" s="45">
        <f>IFERROR(INDEX(Calcs!$B$2:$AB$37,MATCH($N11,Calcs!$CJ$2:$CJ$37,0),MATCH(V$1,Calcs!$B$1:$AB$1,0)),"")</f>
        <v>14</v>
      </c>
      <c r="W11" s="45">
        <f>IFERROR(INDEX(Calcs!$B$2:$AB$37,MATCH($N11,Calcs!$CJ$2:$CJ$37,0),MATCH(W$1,Calcs!$B$1:$AB$1,0)),"")</f>
        <v>9</v>
      </c>
      <c r="X11" s="46">
        <f>IFERROR(INDEX(Calcs!$B$2:$AB$37,MATCH($N11,Calcs!$CJ$2:$CJ$37,0),MATCH(X$1,Calcs!$B$1:$AB$1,0)),"")</f>
        <v>5</v>
      </c>
      <c r="Y11" s="44">
        <f>IFERROR(INDEX(Calcs!$B$2:$AB$37,MATCH($N11,Calcs!$CJ$2:$CJ$37,0),MATCH(Y$1,Calcs!$B$1:$AB$1,0)),"")</f>
        <v>12</v>
      </c>
      <c r="Z11" s="45">
        <f>IFERROR(INDEX(Calcs!$B$2:$AB$37,MATCH($N11,Calcs!$CJ$2:$CJ$37,0),MATCH(Z$1,Calcs!$B$1:$AB$1,0)),"")</f>
        <v>4</v>
      </c>
      <c r="AA11" s="45">
        <f>IFERROR(INDEX(Calcs!$B$2:$AB$37,MATCH($N11,Calcs!$CJ$2:$CJ$37,0),MATCH(AA$1,Calcs!$B$1:$AB$1,0)),"")</f>
        <v>4</v>
      </c>
      <c r="AB11" s="45">
        <f>IFERROR(INDEX(Calcs!$B$2:$AB$37,MATCH($N11,Calcs!$CJ$2:$CJ$37,0),MATCH(AB$1,Calcs!$B$1:$AB$1,0)),"")</f>
        <v>0</v>
      </c>
      <c r="AC11" s="45">
        <f>IFERROR(INDEX(Calcs!$B$2:$AB$37,MATCH($N11,Calcs!$CJ$2:$CJ$37,0),MATCH(AC$1,Calcs!$B$1:$AB$1,0)),"")</f>
        <v>0</v>
      </c>
      <c r="AD11" s="45">
        <f>IFERROR(INDEX(Calcs!$B$2:$AB$37,MATCH($N11,Calcs!$CJ$2:$CJ$37,0),MATCH(AD$1,Calcs!$B$1:$AB$1,0)),"")</f>
        <v>11</v>
      </c>
      <c r="AE11" s="45">
        <f>IFERROR(INDEX(Calcs!$B$2:$AB$37,MATCH($N11,Calcs!$CJ$2:$CJ$37,0),MATCH(AE$1,Calcs!$B$1:$AB$1,0)),"")</f>
        <v>3</v>
      </c>
      <c r="AF11" s="46">
        <f>IFERROR(INDEX(Calcs!$B$2:$AB$37,MATCH($N11,Calcs!$CJ$2:$CJ$37,0),MATCH(AF$1,Calcs!$B$1:$AB$1,0)),"")</f>
        <v>8</v>
      </c>
      <c r="AG11" s="44">
        <f>IFERROR(INDEX(Calcs!$B$2:$AB$37,MATCH($N11,Calcs!$CJ$2:$CJ$37,0),MATCH(AG$1,Calcs!$B$1:$AB$1,0)),"")</f>
        <v>1</v>
      </c>
      <c r="AH11" s="45">
        <f>IFERROR(INDEX(Calcs!$B$2:$AB$37,MATCH($N11,Calcs!$CJ$2:$CJ$37,0),MATCH(AH$1,Calcs!$B$1:$AB$1,0)),"")</f>
        <v>3</v>
      </c>
      <c r="AI11" s="45">
        <f>IFERROR(INDEX(Calcs!$B$2:$AB$37,MATCH($N11,Calcs!$CJ$2:$CJ$37,0),MATCH(AI$1,Calcs!$B$1:$AB$1,0)),"")</f>
        <v>0</v>
      </c>
      <c r="AJ11" s="45">
        <f>IFERROR(INDEX(Calcs!$B$2:$AB$37,MATCH($N11,Calcs!$CJ$2:$CJ$37,0),MATCH(AJ$1,Calcs!$B$1:$AB$1,0)),"")</f>
        <v>1</v>
      </c>
      <c r="AK11" s="45">
        <f>IFERROR(INDEX(Calcs!$B$2:$AB$37,MATCH($N11,Calcs!$CJ$2:$CJ$37,0),MATCH(AK$1,Calcs!$B$1:$AB$1,0)),"")</f>
        <v>2</v>
      </c>
      <c r="AL11" s="45">
        <f>IFERROR(INDEX(Calcs!$B$2:$AB$37,MATCH($N11,Calcs!$CJ$2:$CJ$37,0),MATCH(AL$1,Calcs!$B$1:$AB$1,0)),"")</f>
        <v>3</v>
      </c>
      <c r="AM11" s="45">
        <f>IFERROR(INDEX(Calcs!$B$2:$AB$37,MATCH($N11,Calcs!$CJ$2:$CJ$37,0),MATCH(AM$1,Calcs!$B$1:$AB$1,0)),"")</f>
        <v>6</v>
      </c>
      <c r="AN11" s="47">
        <f>IFERROR(INDEX(Calcs!$B$2:$AB$37,MATCH($N11,Calcs!$CJ$2:$CJ$37,0),MATCH(AN$1,Calcs!$B$1:$AB$1,0)),"")</f>
        <v>-3</v>
      </c>
      <c r="AO11" s="45">
        <f>IFERROR(INDEX(Calcs!$B$2:$AB$37,MATCH($N11,Calcs!$CJ$2:$CJ$37,0),MATCH(AO$1,Calcs!$B$1:$AB$1,0)),"")</f>
        <v>76</v>
      </c>
      <c r="AP11" s="45">
        <f>IFERROR(INDEX(Calcs!$B$2:$AB$37,MATCH($N11,Calcs!$CJ$2:$CJ$37,0),MATCH(AP$1,Calcs!$B$1:$AB$1,0)),"")</f>
        <v>-1</v>
      </c>
      <c r="AQ11" s="47">
        <f>IFERROR(INDEX(Calcs!$B$2:$AB$37,MATCH($N11,Calcs!$CJ$2:$CJ$37,0),MATCH(AQ$1,Calcs!$B$1:$AB$1,0)),"")</f>
        <v>96</v>
      </c>
      <c r="AR11" s="74"/>
      <c r="AS11" s="9" t="str">
        <f>INDEX(Calcs!A$2:A$37,MATCH($N11,Calcs!$CF$2:$CF$37,0))</f>
        <v>Sporting Portugal</v>
      </c>
      <c r="AT11" s="177"/>
      <c r="AU11" s="149">
        <f>INDEX(Calcs!$BZ$2:$BZ$37,MATCH($AS11,Calcs!$A$2:$A$37,0))</f>
        <v>10</v>
      </c>
      <c r="AV11" s="149">
        <f t="shared" si="1"/>
        <v>1</v>
      </c>
      <c r="AW11" s="149" t="str">
        <f t="shared" si="2"/>
        <v>10.1</v>
      </c>
      <c r="AX11" s="149"/>
      <c r="AY11" s="74"/>
      <c r="AZ11" s="71" t="str">
        <f>TablaEquipos[[#This Row],[Team]]</f>
        <v>Bodø/Glimt</v>
      </c>
      <c r="BA11" s="179"/>
      <c r="BB11" s="74"/>
      <c r="BC11" s="74"/>
      <c r="BD11" s="74"/>
      <c r="BE11" s="74"/>
      <c r="BF11" s="247" t="str">
        <f t="shared" si="0"/>
        <v>Local</v>
      </c>
      <c r="BI11" s="247">
        <f>SUMIF(Calcs!$A$2:$A$37,League!BI3,Calcs!$I$2:$I$37)-INDEX($BA$2:$BA$37,MATCH(BI3,$AZ$2:$AZ$37,0))</f>
        <v>9</v>
      </c>
      <c r="BJ11" s="247">
        <f>SUMIF(Calcs!$A$2:$A$37,League!BJ3,Calcs!$I$2:$I$37)-INDEX($BA$2:$BA$37,MATCH(BJ3,$AZ$2:$AZ$37,0))</f>
        <v>8</v>
      </c>
      <c r="BK11" s="247">
        <f>SUMIF(Calcs!$A$2:$A$37,League!BK3,Calcs!$I$2:$I$37)-INDEX($BA$2:$BA$37,MATCH(BK3,$AZ$2:$AZ$37,0))</f>
        <v>7</v>
      </c>
      <c r="BL11" s="247">
        <f>SUMIF(Calcs!$A$2:$A$37,League!BL3,Calcs!$I$2:$I$37)-INDEX($BA$2:$BA$37,MATCH(BL3,$AZ$2:$AZ$37,0))</f>
        <v>11</v>
      </c>
      <c r="BM11" s="247">
        <f>SUMIF(Calcs!$A$2:$A$37,League!BM3,Calcs!$I$2:$I$37)-INDEX($BA$2:$BA$37,MATCH(BM3,$AZ$2:$AZ$37,0))</f>
        <v>4</v>
      </c>
      <c r="BN11" s="247">
        <f>SUMIF(Calcs!$A$2:$A$37,League!BN3,Calcs!$I$2:$I$37)-INDEX($BA$2:$BA$37,MATCH(BN3,$AZ$2:$AZ$37,0))</f>
        <v>13</v>
      </c>
      <c r="BO11" s="247">
        <f>SUMIF(Calcs!$A$2:$A$37,League!BO3,Calcs!$I$2:$I$37)-INDEX($BA$2:$BA$37,MATCH(BO3,$AZ$2:$AZ$37,0))</f>
        <v>8</v>
      </c>
      <c r="BP11" s="247">
        <f>SUMIF(Calcs!$A$2:$A$37,League!BP3,Calcs!$I$2:$I$37)-INDEX($BA$2:$BA$37,MATCH(BP3,$AZ$2:$AZ$37,0))</f>
        <v>6</v>
      </c>
      <c r="BQ11" s="247">
        <f>SUMIF(Calcs!$A$2:$A$37,League!BQ3,Calcs!$I$2:$I$37)-INDEX($BA$2:$BA$37,MATCH(BQ3,$AZ$2:$AZ$37,0))</f>
        <v>13</v>
      </c>
      <c r="BR11" s="247">
        <f>SUMIF(Calcs!$A$2:$A$37,League!BR3,Calcs!$I$2:$I$37)-INDEX($BA$2:$BA$37,MATCH(BR3,$AZ$2:$AZ$37,0))</f>
        <v>14</v>
      </c>
      <c r="BS11" s="247">
        <f>SUMIF(Calcs!$A$2:$A$37,League!BS3,Calcs!$I$2:$I$37)-INDEX($BA$2:$BA$37,MATCH(BS3,$AZ$2:$AZ$37,0))</f>
        <v>8</v>
      </c>
      <c r="BT11" s="247">
        <f>SUMIF(Calcs!$A$2:$A$37,League!BT3,Calcs!$I$2:$I$37)-INDEX($BA$2:$BA$37,MATCH(BT3,$AZ$2:$AZ$37,0))</f>
        <v>13</v>
      </c>
      <c r="BU11" s="247">
        <f>SUMIF(Calcs!$A$2:$A$37,League!BU3,Calcs!$I$2:$I$37)-INDEX($BA$2:$BA$37,MATCH(BU3,$AZ$2:$AZ$37,0))</f>
        <v>6</v>
      </c>
      <c r="BV11" s="247">
        <f>SUMIF(Calcs!$A$2:$A$37,League!BV3,Calcs!$I$2:$I$37)-INDEX($BA$2:$BA$37,MATCH(BV3,$AZ$2:$AZ$37,0))</f>
        <v>10</v>
      </c>
      <c r="BW11" s="247">
        <f>SUMIF(Calcs!$A$2:$A$37,League!BW3,Calcs!$I$2:$I$37)-INDEX($BA$2:$BA$37,MATCH(BW3,$AZ$2:$AZ$37,0))</f>
        <v>13</v>
      </c>
      <c r="BX11" s="247">
        <f>SUMIF(Calcs!$A$2:$A$37,League!BX3,Calcs!$I$2:$I$37)-INDEX($BA$2:$BA$37,MATCH(BX3,$AZ$2:$AZ$37,0))</f>
        <v>15</v>
      </c>
      <c r="BY11" s="247">
        <f>SUMIF(Calcs!$A$2:$A$37,League!BY3,Calcs!$I$2:$I$37)-INDEX($BA$2:$BA$37,MATCH(BY3,$AZ$2:$AZ$37,0))</f>
        <v>3</v>
      </c>
      <c r="BZ11" s="247">
        <f>SUMIF(Calcs!$A$2:$A$37,League!BZ3,Calcs!$I$2:$I$37)-INDEX($BA$2:$BA$37,MATCH(BZ3,$AZ$2:$AZ$37,0))</f>
        <v>1</v>
      </c>
      <c r="CA11" s="247">
        <f>SUMIF(Calcs!$A$2:$A$37,League!CA3,Calcs!$I$2:$I$37)-INDEX($BA$2:$BA$37,MATCH(CA3,$AZ$2:$AZ$37,0))</f>
        <v>15</v>
      </c>
      <c r="CB11" s="247">
        <f>SUMIF(Calcs!$A$2:$A$37,League!CB3,Calcs!$I$2:$I$37)-INDEX($BA$2:$BA$37,MATCH(CB3,$AZ$2:$AZ$37,0))</f>
        <v>10</v>
      </c>
      <c r="CC11" s="247">
        <f>SUMIF(Calcs!$A$2:$A$37,League!CC3,Calcs!$I$2:$I$37)-INDEX($BA$2:$BA$37,MATCH(CC3,$AZ$2:$AZ$37,0))</f>
        <v>9</v>
      </c>
      <c r="CD11" s="247">
        <f>SUMIF(Calcs!$A$2:$A$37,League!CD3,Calcs!$I$2:$I$37)-INDEX($BA$2:$BA$37,MATCH(CD3,$AZ$2:$AZ$37,0))</f>
        <v>6</v>
      </c>
      <c r="CE11" s="247">
        <f>SUMIF(Calcs!$A$2:$A$37,League!CE3,Calcs!$I$2:$I$37)-INDEX($BA$2:$BA$37,MATCH(CE3,$AZ$2:$AZ$37,0))</f>
        <v>13</v>
      </c>
      <c r="CF11" s="247">
        <f>SUMIF(Calcs!$A$2:$A$37,League!CF3,Calcs!$I$2:$I$37)-INDEX($BA$2:$BA$37,MATCH(CF3,$AZ$2:$AZ$37,0))</f>
        <v>13</v>
      </c>
      <c r="CG11" s="247">
        <f>SUMIF(Calcs!$A$2:$A$37,League!CG3,Calcs!$I$2:$I$37)-INDEX($BA$2:$BA$37,MATCH(CG3,$AZ$2:$AZ$37,0))</f>
        <v>6</v>
      </c>
      <c r="CH11" s="247">
        <f>SUMIF(Calcs!$A$2:$A$37,League!CH3,Calcs!$I$2:$I$37)-INDEX($BA$2:$BA$37,MATCH(CH3,$AZ$2:$AZ$37,0))</f>
        <v>21</v>
      </c>
      <c r="CI11" s="247">
        <f>SUMIF(Calcs!$A$2:$A$37,League!CI3,Calcs!$I$2:$I$37)-INDEX($BA$2:$BA$37,MATCH(CI3,$AZ$2:$AZ$37,0))</f>
        <v>18</v>
      </c>
      <c r="CJ11" s="247">
        <f>SUMIF(Calcs!$A$2:$A$37,League!CJ3,Calcs!$I$2:$I$37)-INDEX($BA$2:$BA$37,MATCH(CJ3,$AZ$2:$AZ$37,0))</f>
        <v>13</v>
      </c>
      <c r="CK11" s="247">
        <f>SUMIF(Calcs!$A$2:$A$37,League!CK3,Calcs!$I$2:$I$37)-INDEX($BA$2:$BA$37,MATCH(CK3,$AZ$2:$AZ$37,0))</f>
        <v>9</v>
      </c>
      <c r="CL11" s="247">
        <f>SUMIF(Calcs!$A$2:$A$37,League!CL3,Calcs!$I$2:$I$37)-INDEX($BA$2:$BA$37,MATCH(CL3,$AZ$2:$AZ$37,0))</f>
        <v>8</v>
      </c>
      <c r="CM11" s="247">
        <f>SUMIF(Calcs!$A$2:$A$37,League!CM3,Calcs!$I$2:$I$37)-INDEX($BA$2:$BA$37,MATCH(CM3,$AZ$2:$AZ$37,0))</f>
        <v>1</v>
      </c>
      <c r="CN11" s="247">
        <f>SUMIF(Calcs!$A$2:$A$37,League!CN3,Calcs!$I$2:$I$37)-INDEX($BA$2:$BA$37,MATCH(CN3,$AZ$2:$AZ$37,0))</f>
        <v>12</v>
      </c>
      <c r="CO11" s="247">
        <f>SUMIF(Calcs!$A$2:$A$37,League!CO3,Calcs!$I$2:$I$37)-INDEX($BA$2:$BA$37,MATCH(CO3,$AZ$2:$AZ$37,0))</f>
        <v>8</v>
      </c>
      <c r="CP11" s="247">
        <f>SUMIF(Calcs!$A$2:$A$37,League!CP3,Calcs!$I$2:$I$37)-INDEX($BA$2:$BA$37,MATCH(CP3,$AZ$2:$AZ$37,0))</f>
        <v>6</v>
      </c>
      <c r="CQ11" s="247">
        <f>SUMIF(Calcs!$A$2:$A$37,League!CQ3,Calcs!$I$2:$I$37)-INDEX($BA$2:$BA$37,MATCH(CQ3,$AZ$2:$AZ$37,0))</f>
        <v>13</v>
      </c>
      <c r="CR11" s="247">
        <f>SUMIF(Calcs!$A$2:$A$37,League!CR3,Calcs!$I$2:$I$37)-INDEX($BA$2:$BA$37,MATCH(CR3,$AZ$2:$AZ$37,0))</f>
        <v>12</v>
      </c>
      <c r="CS11" s="256"/>
      <c r="CT11" s="256"/>
      <c r="CU11" s="256"/>
      <c r="CV11" s="227"/>
    </row>
    <row r="12" spans="1:100" ht="17.100000000000001" customHeight="1">
      <c r="A12" s="473">
        <v>1</v>
      </c>
      <c r="B12" s="474">
        <f>Horarios!C12</f>
        <v>45917.875</v>
      </c>
      <c r="C12" s="475">
        <f>Horarios!C12</f>
        <v>45917.875</v>
      </c>
      <c r="D12" s="192" t="s">
        <v>43</v>
      </c>
      <c r="E12" s="80" t="e" vm="10">
        <f>INDEX(TablaEquipos[Badge],MATCH(D12,TablaEquipos[Team],0))</f>
        <v>#VALUE!</v>
      </c>
      <c r="F12" s="103"/>
      <c r="G12" s="476">
        <v>3</v>
      </c>
      <c r="H12" s="477">
        <v>2</v>
      </c>
      <c r="I12" s="478"/>
      <c r="J12" s="81" t="e" vm="26">
        <f>INDEX(TablaEquipos[Badge],MATCH(K12,TablaEquipos[Team],0))</f>
        <v>#VALUE!</v>
      </c>
      <c r="K12" s="209" t="s">
        <v>44</v>
      </c>
      <c r="L12" s="97"/>
      <c r="M12" s="74"/>
      <c r="N12" s="91">
        <v>11</v>
      </c>
      <c r="O12" s="42" t="e" vm="27">
        <f>INDEX(TablaEquipos[],MATCH(P12,TablaEquipos[Team],0),MATCH($O$1,TablaEquipos[#Headers],0))</f>
        <v>#VALUE!</v>
      </c>
      <c r="P12" s="43" t="str">
        <f>IFERROR(INDEX(Calcs!A$2:A$37,MATCH($N12,Calcs!$CJ$2:$CJ$37,0)),"")</f>
        <v>Manchester City</v>
      </c>
      <c r="Q12" s="44">
        <f>IFERROR(INDEX(Calcs!$B$2:$AB$37,MATCH($N12,Calcs!$CJ$2:$CJ$37,0),MATCH(Q$1,Calcs!$B$1:$AB$1,0)),"")</f>
        <v>13</v>
      </c>
      <c r="R12" s="45">
        <f>IFERROR(INDEX(Calcs!$B$2:$AB$37,MATCH($N12,Calcs!$CJ$2:$CJ$37,0),MATCH(R$1,Calcs!$B$1:$AB$1,0)),"")</f>
        <v>7</v>
      </c>
      <c r="S12" s="45">
        <f>IFERROR(INDEX(Calcs!$B$2:$AB$37,MATCH($N12,Calcs!$CJ$2:$CJ$37,0),MATCH(S$1,Calcs!$B$1:$AB$1,0)),"")</f>
        <v>4</v>
      </c>
      <c r="T12" s="45">
        <f>IFERROR(INDEX(Calcs!$B$2:$AB$37,MATCH($N12,Calcs!$CJ$2:$CJ$37,0),MATCH(T$1,Calcs!$B$1:$AB$1,0)),"")</f>
        <v>1</v>
      </c>
      <c r="U12" s="45">
        <f>IFERROR(INDEX(Calcs!$B$2:$AB$37,MATCH($N12,Calcs!$CJ$2:$CJ$37,0),MATCH(U$1,Calcs!$B$1:$AB$1,0)),"")</f>
        <v>2</v>
      </c>
      <c r="V12" s="45">
        <f>IFERROR(INDEX(Calcs!$B$2:$AB$37,MATCH($N12,Calcs!$CJ$2:$CJ$37,0),MATCH(V$1,Calcs!$B$1:$AB$1,0)),"")</f>
        <v>13</v>
      </c>
      <c r="W12" s="45">
        <f>IFERROR(INDEX(Calcs!$B$2:$AB$37,MATCH($N12,Calcs!$CJ$2:$CJ$37,0),MATCH(W$1,Calcs!$B$1:$AB$1,0)),"")</f>
        <v>9</v>
      </c>
      <c r="X12" s="46">
        <f>IFERROR(INDEX(Calcs!$B$2:$AB$37,MATCH($N12,Calcs!$CJ$2:$CJ$37,0),MATCH(X$1,Calcs!$B$1:$AB$1,0)),"")</f>
        <v>4</v>
      </c>
      <c r="Y12" s="44">
        <f>IFERROR(INDEX(Calcs!$B$2:$AB$37,MATCH($N12,Calcs!$CJ$2:$CJ$37,0),MATCH(Y$1,Calcs!$B$1:$AB$1,0)),"")</f>
        <v>6</v>
      </c>
      <c r="Z12" s="45">
        <f>IFERROR(INDEX(Calcs!$B$2:$AB$37,MATCH($N12,Calcs!$CJ$2:$CJ$37,0),MATCH(Z$1,Calcs!$B$1:$AB$1,0)),"")</f>
        <v>3</v>
      </c>
      <c r="AA12" s="45">
        <f>IFERROR(INDEX(Calcs!$B$2:$AB$37,MATCH($N12,Calcs!$CJ$2:$CJ$37,0),MATCH(AA$1,Calcs!$B$1:$AB$1,0)),"")</f>
        <v>2</v>
      </c>
      <c r="AB12" s="45">
        <f>IFERROR(INDEX(Calcs!$B$2:$AB$37,MATCH($N12,Calcs!$CJ$2:$CJ$37,0),MATCH(AB$1,Calcs!$B$1:$AB$1,0)),"")</f>
        <v>0</v>
      </c>
      <c r="AC12" s="45">
        <f>IFERROR(INDEX(Calcs!$B$2:$AB$37,MATCH($N12,Calcs!$CJ$2:$CJ$37,0),MATCH(AC$1,Calcs!$B$1:$AB$1,0)),"")</f>
        <v>1</v>
      </c>
      <c r="AD12" s="45">
        <f>IFERROR(INDEX(Calcs!$B$2:$AB$37,MATCH($N12,Calcs!$CJ$2:$CJ$37,0),MATCH(AD$1,Calcs!$B$1:$AB$1,0)),"")</f>
        <v>6</v>
      </c>
      <c r="AE12" s="45">
        <f>IFERROR(INDEX(Calcs!$B$2:$AB$37,MATCH($N12,Calcs!$CJ$2:$CJ$37,0),MATCH(AE$1,Calcs!$B$1:$AB$1,0)),"")</f>
        <v>3</v>
      </c>
      <c r="AF12" s="46">
        <f>IFERROR(INDEX(Calcs!$B$2:$AB$37,MATCH($N12,Calcs!$CJ$2:$CJ$37,0),MATCH(AF$1,Calcs!$B$1:$AB$1,0)),"")</f>
        <v>3</v>
      </c>
      <c r="AG12" s="44">
        <f>IFERROR(INDEX(Calcs!$B$2:$AB$37,MATCH($N12,Calcs!$CJ$2:$CJ$37,0),MATCH(AG$1,Calcs!$B$1:$AB$1,0)),"")</f>
        <v>7</v>
      </c>
      <c r="AH12" s="45">
        <f>IFERROR(INDEX(Calcs!$B$2:$AB$37,MATCH($N12,Calcs!$CJ$2:$CJ$37,0),MATCH(AH$1,Calcs!$B$1:$AB$1,0)),"")</f>
        <v>4</v>
      </c>
      <c r="AI12" s="45">
        <f>IFERROR(INDEX(Calcs!$B$2:$AB$37,MATCH($N12,Calcs!$CJ$2:$CJ$37,0),MATCH(AI$1,Calcs!$B$1:$AB$1,0)),"")</f>
        <v>2</v>
      </c>
      <c r="AJ12" s="45">
        <f>IFERROR(INDEX(Calcs!$B$2:$AB$37,MATCH($N12,Calcs!$CJ$2:$CJ$37,0),MATCH(AJ$1,Calcs!$B$1:$AB$1,0)),"")</f>
        <v>1</v>
      </c>
      <c r="AK12" s="45">
        <f>IFERROR(INDEX(Calcs!$B$2:$AB$37,MATCH($N12,Calcs!$CJ$2:$CJ$37,0),MATCH(AK$1,Calcs!$B$1:$AB$1,0)),"")</f>
        <v>1</v>
      </c>
      <c r="AL12" s="45">
        <f>IFERROR(INDEX(Calcs!$B$2:$AB$37,MATCH($N12,Calcs!$CJ$2:$CJ$37,0),MATCH(AL$1,Calcs!$B$1:$AB$1,0)),"")</f>
        <v>7</v>
      </c>
      <c r="AM12" s="45">
        <f>IFERROR(INDEX(Calcs!$B$2:$AB$37,MATCH($N12,Calcs!$CJ$2:$CJ$37,0),MATCH(AM$1,Calcs!$B$1:$AB$1,0)),"")</f>
        <v>6</v>
      </c>
      <c r="AN12" s="47">
        <f>IFERROR(INDEX(Calcs!$B$2:$AB$37,MATCH($N12,Calcs!$CJ$2:$CJ$37,0),MATCH(AN$1,Calcs!$B$1:$AB$1,0)),"")</f>
        <v>1</v>
      </c>
      <c r="AO12" s="45">
        <f>IFERROR(INDEX(Calcs!$B$2:$AB$37,MATCH($N12,Calcs!$CJ$2:$CJ$37,0),MATCH(AO$1,Calcs!$B$1:$AB$1,0)),"")</f>
        <v>69</v>
      </c>
      <c r="AP12" s="45">
        <f>IFERROR(INDEX(Calcs!$B$2:$AB$37,MATCH($N12,Calcs!$CJ$2:$CJ$37,0),MATCH(AP$1,Calcs!$B$1:$AB$1,0)),"")</f>
        <v>-12</v>
      </c>
      <c r="AQ12" s="47">
        <f>IFERROR(INDEX(Calcs!$B$2:$AB$37,MATCH($N12,Calcs!$CJ$2:$CJ$37,0),MATCH(AQ$1,Calcs!$B$1:$AB$1,0)),"")</f>
        <v>89</v>
      </c>
      <c r="AR12" s="74"/>
      <c r="AS12" s="9" t="str">
        <f>INDEX(Calcs!A$2:A$37,MATCH($N12,Calcs!$CF$2:$CF$37,0))</f>
        <v>Manchester City</v>
      </c>
      <c r="AT12" s="177"/>
      <c r="AU12" s="149">
        <f>INDEX(Calcs!$BZ$2:$BZ$37,MATCH($AS12,Calcs!$A$2:$A$37,0))</f>
        <v>11</v>
      </c>
      <c r="AV12" s="149">
        <f t="shared" si="1"/>
        <v>1</v>
      </c>
      <c r="AW12" s="149" t="str">
        <f t="shared" si="2"/>
        <v>11.1</v>
      </c>
      <c r="AX12" s="149"/>
      <c r="AY12" s="74"/>
      <c r="AZ12" s="70" t="str">
        <f>TablaEquipos[[#This Row],[Team]]</f>
        <v>Borussia Dortmund</v>
      </c>
      <c r="BA12" s="178"/>
      <c r="BB12" s="74"/>
      <c r="BC12" s="74"/>
      <c r="BD12" s="74"/>
      <c r="BE12" s="74"/>
      <c r="BF12" s="247" t="str">
        <f t="shared" si="0"/>
        <v>Local</v>
      </c>
      <c r="BI12" s="247">
        <f>SUMIF(Calcs!$A$2:$A$37,League!BI4,Calcs!$I$2:$I$37)-INDEX($BA$2:$BA$37,MATCH(BI4,$AZ$2:$AZ$37,0))</f>
        <v>13</v>
      </c>
      <c r="BJ12" s="247">
        <f>SUMIF(Calcs!$A$2:$A$37,League!BJ4,Calcs!$I$2:$I$37)-INDEX($BA$2:$BA$37,MATCH(BJ4,$AZ$2:$AZ$37,0))</f>
        <v>13</v>
      </c>
      <c r="BK12" s="247">
        <f>SUMIF(Calcs!$A$2:$A$37,League!BK4,Calcs!$I$2:$I$37)-INDEX($BA$2:$BA$37,MATCH(BK4,$AZ$2:$AZ$37,0))</f>
        <v>3</v>
      </c>
      <c r="BL12" s="247">
        <f>SUMIF(Calcs!$A$2:$A$37,League!BL4,Calcs!$I$2:$I$37)-INDEX($BA$2:$BA$37,MATCH(BL4,$AZ$2:$AZ$37,0))</f>
        <v>10</v>
      </c>
      <c r="BM12" s="247">
        <f>SUMIF(Calcs!$A$2:$A$37,League!BM4,Calcs!$I$2:$I$37)-INDEX($BA$2:$BA$37,MATCH(BM4,$AZ$2:$AZ$37,0))</f>
        <v>21</v>
      </c>
      <c r="BN12" s="247">
        <f>SUMIF(Calcs!$A$2:$A$37,League!BN4,Calcs!$I$2:$I$37)-INDEX($BA$2:$BA$37,MATCH(BN4,$AZ$2:$AZ$37,0))</f>
        <v>8</v>
      </c>
      <c r="BO12" s="247">
        <f>SUMIF(Calcs!$A$2:$A$37,League!BO4,Calcs!$I$2:$I$37)-INDEX($BA$2:$BA$37,MATCH(BO4,$AZ$2:$AZ$37,0))</f>
        <v>13</v>
      </c>
      <c r="BP12" s="247">
        <f>SUMIF(Calcs!$A$2:$A$37,League!BP4,Calcs!$I$2:$I$37)-INDEX($BA$2:$BA$37,MATCH(BP4,$AZ$2:$AZ$37,0))</f>
        <v>7</v>
      </c>
      <c r="BQ12" s="247">
        <f>SUMIF(Calcs!$A$2:$A$37,League!BQ4,Calcs!$I$2:$I$37)-INDEX($BA$2:$BA$37,MATCH(BQ4,$AZ$2:$AZ$37,0))</f>
        <v>13</v>
      </c>
      <c r="BR12" s="247">
        <f>SUMIF(Calcs!$A$2:$A$37,League!BR4,Calcs!$I$2:$I$37)-INDEX($BA$2:$BA$37,MATCH(BR4,$AZ$2:$AZ$37,0))</f>
        <v>10</v>
      </c>
      <c r="BS12" s="247">
        <f>SUMIF(Calcs!$A$2:$A$37,League!BS4,Calcs!$I$2:$I$37)-INDEX($BA$2:$BA$37,MATCH(BS4,$AZ$2:$AZ$37,0))</f>
        <v>8</v>
      </c>
      <c r="BT12" s="247">
        <f>SUMIF(Calcs!$A$2:$A$37,League!BT4,Calcs!$I$2:$I$37)-INDEX($BA$2:$BA$37,MATCH(BT4,$AZ$2:$AZ$37,0))</f>
        <v>18</v>
      </c>
      <c r="BU12" s="247">
        <f>SUMIF(Calcs!$A$2:$A$37,League!BU4,Calcs!$I$2:$I$37)-INDEX($BA$2:$BA$37,MATCH(BU4,$AZ$2:$AZ$37,0))</f>
        <v>6</v>
      </c>
      <c r="BV12" s="247">
        <f>SUMIF(Calcs!$A$2:$A$37,League!BV4,Calcs!$I$2:$I$37)-INDEX($BA$2:$BA$37,MATCH(BV4,$AZ$2:$AZ$37,0))</f>
        <v>11</v>
      </c>
      <c r="BW12" s="247">
        <f>SUMIF(Calcs!$A$2:$A$37,League!BW4,Calcs!$I$2:$I$37)-INDEX($BA$2:$BA$37,MATCH(BW4,$AZ$2:$AZ$37,0))</f>
        <v>15</v>
      </c>
      <c r="BX12" s="247">
        <f>SUMIF(Calcs!$A$2:$A$37,League!BX4,Calcs!$I$2:$I$37)-INDEX($BA$2:$BA$37,MATCH(BX4,$AZ$2:$AZ$37,0))</f>
        <v>6</v>
      </c>
      <c r="BY12" s="247">
        <f>SUMIF(Calcs!$A$2:$A$37,League!BY4,Calcs!$I$2:$I$37)-INDEX($BA$2:$BA$37,MATCH(BY4,$AZ$2:$AZ$37,0))</f>
        <v>6</v>
      </c>
      <c r="BZ12" s="247">
        <f>SUMIF(Calcs!$A$2:$A$37,League!BZ4,Calcs!$I$2:$I$37)-INDEX($BA$2:$BA$37,MATCH(BZ4,$AZ$2:$AZ$37,0))</f>
        <v>15</v>
      </c>
      <c r="CA12" s="247">
        <f>SUMIF(Calcs!$A$2:$A$37,League!CA4,Calcs!$I$2:$I$37)-INDEX($BA$2:$BA$37,MATCH(CA4,$AZ$2:$AZ$37,0))</f>
        <v>6</v>
      </c>
      <c r="CB12" s="247">
        <f>SUMIF(Calcs!$A$2:$A$37,League!CB4,Calcs!$I$2:$I$37)-INDEX($BA$2:$BA$37,MATCH(CB4,$AZ$2:$AZ$37,0))</f>
        <v>4</v>
      </c>
      <c r="CC12" s="247">
        <f>SUMIF(Calcs!$A$2:$A$37,League!CC4,Calcs!$I$2:$I$37)-INDEX($BA$2:$BA$37,MATCH(CC4,$AZ$2:$AZ$37,0))</f>
        <v>1</v>
      </c>
      <c r="CD12" s="247">
        <f>SUMIF(Calcs!$A$2:$A$37,League!CD4,Calcs!$I$2:$I$37)-INDEX($BA$2:$BA$37,MATCH(CD4,$AZ$2:$AZ$37,0))</f>
        <v>13</v>
      </c>
      <c r="CE12" s="247">
        <f>SUMIF(Calcs!$A$2:$A$37,League!CE4,Calcs!$I$2:$I$37)-INDEX($BA$2:$BA$37,MATCH(CE4,$AZ$2:$AZ$37,0))</f>
        <v>14</v>
      </c>
      <c r="CF12" s="247">
        <f>SUMIF(Calcs!$A$2:$A$37,League!CF4,Calcs!$I$2:$I$37)-INDEX($BA$2:$BA$37,MATCH(CF4,$AZ$2:$AZ$37,0))</f>
        <v>8</v>
      </c>
      <c r="CG12" s="247">
        <f>SUMIF(Calcs!$A$2:$A$37,League!CG4,Calcs!$I$2:$I$37)-INDEX($BA$2:$BA$37,MATCH(CG4,$AZ$2:$AZ$37,0))</f>
        <v>6</v>
      </c>
      <c r="CH12" s="247">
        <f>SUMIF(Calcs!$A$2:$A$37,League!CH4,Calcs!$I$2:$I$37)-INDEX($BA$2:$BA$37,MATCH(CH4,$AZ$2:$AZ$37,0))</f>
        <v>13</v>
      </c>
      <c r="CI12" s="247">
        <f>SUMIF(Calcs!$A$2:$A$37,League!CI4,Calcs!$I$2:$I$37)-INDEX($BA$2:$BA$37,MATCH(CI4,$AZ$2:$AZ$37,0))</f>
        <v>1</v>
      </c>
      <c r="CJ12" s="247">
        <f>SUMIF(Calcs!$A$2:$A$37,League!CJ4,Calcs!$I$2:$I$37)-INDEX($BA$2:$BA$37,MATCH(CJ4,$AZ$2:$AZ$37,0))</f>
        <v>9</v>
      </c>
      <c r="CK12" s="247">
        <f>SUMIF(Calcs!$A$2:$A$37,League!CK4,Calcs!$I$2:$I$37)-INDEX($BA$2:$BA$37,MATCH(CK4,$AZ$2:$AZ$37,0))</f>
        <v>8</v>
      </c>
      <c r="CL12" s="247">
        <f>SUMIF(Calcs!$A$2:$A$37,League!CL4,Calcs!$I$2:$I$37)-INDEX($BA$2:$BA$37,MATCH(CL4,$AZ$2:$AZ$37,0))</f>
        <v>8</v>
      </c>
      <c r="CM12" s="247">
        <f>SUMIF(Calcs!$A$2:$A$37,League!CM4,Calcs!$I$2:$I$37)-INDEX($BA$2:$BA$37,MATCH(CM4,$AZ$2:$AZ$37,0))</f>
        <v>12</v>
      </c>
      <c r="CN12" s="247">
        <f>SUMIF(Calcs!$A$2:$A$37,League!CN4,Calcs!$I$2:$I$37)-INDEX($BA$2:$BA$37,MATCH(CN4,$AZ$2:$AZ$37,0))</f>
        <v>13</v>
      </c>
      <c r="CO12" s="247">
        <f>SUMIF(Calcs!$A$2:$A$37,League!CO4,Calcs!$I$2:$I$37)-INDEX($BA$2:$BA$37,MATCH(CO4,$AZ$2:$AZ$37,0))</f>
        <v>9</v>
      </c>
      <c r="CP12" s="247">
        <f>SUMIF(Calcs!$A$2:$A$37,League!CP4,Calcs!$I$2:$I$37)-INDEX($BA$2:$BA$37,MATCH(CP4,$AZ$2:$AZ$37,0))</f>
        <v>9</v>
      </c>
      <c r="CQ12" s="247">
        <f>SUMIF(Calcs!$A$2:$A$37,League!CQ4,Calcs!$I$2:$I$37)-INDEX($BA$2:$BA$37,MATCH(CQ4,$AZ$2:$AZ$37,0))</f>
        <v>12</v>
      </c>
      <c r="CR12" s="247">
        <f>SUMIF(Calcs!$A$2:$A$37,League!CR4,Calcs!$I$2:$I$37)-INDEX($BA$2:$BA$37,MATCH(CR4,$AZ$2:$AZ$37,0))</f>
        <v>13</v>
      </c>
      <c r="CS12" s="256"/>
      <c r="CT12" s="256"/>
      <c r="CU12" s="256"/>
      <c r="CV12" s="227"/>
    </row>
    <row r="13" spans="1:100" ht="17.100000000000001" customHeight="1">
      <c r="A13" s="222">
        <v>1</v>
      </c>
      <c r="B13" s="468">
        <f>Horarios!C13</f>
        <v>45917.875</v>
      </c>
      <c r="C13" s="469">
        <f>Horarios!C13</f>
        <v>45917.875</v>
      </c>
      <c r="D13" s="191" t="s">
        <v>45</v>
      </c>
      <c r="E13" s="79" t="e" vm="15">
        <f>INDEX(TablaEquipos[Badge],MATCH(D13,TablaEquipos[Team],0))</f>
        <v>#VALUE!</v>
      </c>
      <c r="F13" s="102"/>
      <c r="G13" s="470">
        <v>4</v>
      </c>
      <c r="H13" s="471">
        <v>0</v>
      </c>
      <c r="I13" s="472"/>
      <c r="J13" s="82" t="e" vm="28">
        <f>INDEX(TablaEquipos[Badge],MATCH(K13,TablaEquipos[Team],0))</f>
        <v>#VALUE!</v>
      </c>
      <c r="K13" s="403" t="s">
        <v>46</v>
      </c>
      <c r="L13" s="97"/>
      <c r="M13" s="74"/>
      <c r="N13" s="91">
        <v>12</v>
      </c>
      <c r="O13" s="42" t="e" vm="26">
        <f>INDEX(TablaEquipos[],MATCH(P13,TablaEquipos[Team],0),MATCH($O$1,TablaEquipos[#Headers],0))</f>
        <v>#VALUE!</v>
      </c>
      <c r="P13" s="43" t="str">
        <f>IFERROR(INDEX(Calcs!A$2:A$37,MATCH($N13,Calcs!$CJ$2:$CJ$37,0)),"")</f>
        <v>Atlético Madrid</v>
      </c>
      <c r="Q13" s="44">
        <f>IFERROR(INDEX(Calcs!$B$2:$AB$37,MATCH($N13,Calcs!$CJ$2:$CJ$37,0),MATCH(Q$1,Calcs!$B$1:$AB$1,0)),"")</f>
        <v>13</v>
      </c>
      <c r="R13" s="45">
        <f>IFERROR(INDEX(Calcs!$B$2:$AB$37,MATCH($N13,Calcs!$CJ$2:$CJ$37,0),MATCH(R$1,Calcs!$B$1:$AB$1,0)),"")</f>
        <v>7</v>
      </c>
      <c r="S13" s="45">
        <f>IFERROR(INDEX(Calcs!$B$2:$AB$37,MATCH($N13,Calcs!$CJ$2:$CJ$37,0),MATCH(S$1,Calcs!$B$1:$AB$1,0)),"")</f>
        <v>4</v>
      </c>
      <c r="T13" s="45">
        <f>IFERROR(INDEX(Calcs!$B$2:$AB$37,MATCH($N13,Calcs!$CJ$2:$CJ$37,0),MATCH(T$1,Calcs!$B$1:$AB$1,0)),"")</f>
        <v>1</v>
      </c>
      <c r="U13" s="45">
        <f>IFERROR(INDEX(Calcs!$B$2:$AB$37,MATCH($N13,Calcs!$CJ$2:$CJ$37,0),MATCH(U$1,Calcs!$B$1:$AB$1,0)),"")</f>
        <v>2</v>
      </c>
      <c r="V13" s="45">
        <f>IFERROR(INDEX(Calcs!$B$2:$AB$37,MATCH($N13,Calcs!$CJ$2:$CJ$37,0),MATCH(V$1,Calcs!$B$1:$AB$1,0)),"")</f>
        <v>16</v>
      </c>
      <c r="W13" s="45">
        <f>IFERROR(INDEX(Calcs!$B$2:$AB$37,MATCH($N13,Calcs!$CJ$2:$CJ$37,0),MATCH(W$1,Calcs!$B$1:$AB$1,0)),"")</f>
        <v>13</v>
      </c>
      <c r="X13" s="46">
        <f>IFERROR(INDEX(Calcs!$B$2:$AB$37,MATCH($N13,Calcs!$CJ$2:$CJ$37,0),MATCH(X$1,Calcs!$B$1:$AB$1,0)),"")</f>
        <v>3</v>
      </c>
      <c r="Y13" s="44">
        <f>IFERROR(INDEX(Calcs!$B$2:$AB$37,MATCH($N13,Calcs!$CJ$2:$CJ$37,0),MATCH(Y$1,Calcs!$B$1:$AB$1,0)),"")</f>
        <v>9</v>
      </c>
      <c r="Z13" s="45">
        <f>IFERROR(INDEX(Calcs!$B$2:$AB$37,MATCH($N13,Calcs!$CJ$2:$CJ$37,0),MATCH(Z$1,Calcs!$B$1:$AB$1,0)),"")</f>
        <v>3</v>
      </c>
      <c r="AA13" s="45">
        <f>IFERROR(INDEX(Calcs!$B$2:$AB$37,MATCH($N13,Calcs!$CJ$2:$CJ$37,0),MATCH(AA$1,Calcs!$B$1:$AB$1,0)),"")</f>
        <v>3</v>
      </c>
      <c r="AB13" s="45">
        <f>IFERROR(INDEX(Calcs!$B$2:$AB$37,MATCH($N13,Calcs!$CJ$2:$CJ$37,0),MATCH(AB$1,Calcs!$B$1:$AB$1,0)),"")</f>
        <v>0</v>
      </c>
      <c r="AC13" s="45">
        <f>IFERROR(INDEX(Calcs!$B$2:$AB$37,MATCH($N13,Calcs!$CJ$2:$CJ$37,0),MATCH(AC$1,Calcs!$B$1:$AB$1,0)),"")</f>
        <v>0</v>
      </c>
      <c r="AD13" s="45">
        <f>IFERROR(INDEX(Calcs!$B$2:$AB$37,MATCH($N13,Calcs!$CJ$2:$CJ$37,0),MATCH(AD$1,Calcs!$B$1:$AB$1,0)),"")</f>
        <v>10</v>
      </c>
      <c r="AE13" s="45">
        <f>IFERROR(INDEX(Calcs!$B$2:$AB$37,MATCH($N13,Calcs!$CJ$2:$CJ$37,0),MATCH(AE$1,Calcs!$B$1:$AB$1,0)),"")</f>
        <v>3</v>
      </c>
      <c r="AF13" s="46">
        <f>IFERROR(INDEX(Calcs!$B$2:$AB$37,MATCH($N13,Calcs!$CJ$2:$CJ$37,0),MATCH(AF$1,Calcs!$B$1:$AB$1,0)),"")</f>
        <v>7</v>
      </c>
      <c r="AG13" s="44">
        <f>IFERROR(INDEX(Calcs!$B$2:$AB$37,MATCH($N13,Calcs!$CJ$2:$CJ$37,0),MATCH(AG$1,Calcs!$B$1:$AB$1,0)),"")</f>
        <v>4</v>
      </c>
      <c r="AH13" s="45">
        <f>IFERROR(INDEX(Calcs!$B$2:$AB$37,MATCH($N13,Calcs!$CJ$2:$CJ$37,0),MATCH(AH$1,Calcs!$B$1:$AB$1,0)),"")</f>
        <v>4</v>
      </c>
      <c r="AI13" s="45">
        <f>IFERROR(INDEX(Calcs!$B$2:$AB$37,MATCH($N13,Calcs!$CJ$2:$CJ$37,0),MATCH(AI$1,Calcs!$B$1:$AB$1,0)),"")</f>
        <v>1</v>
      </c>
      <c r="AJ13" s="45">
        <f>IFERROR(INDEX(Calcs!$B$2:$AB$37,MATCH($N13,Calcs!$CJ$2:$CJ$37,0),MATCH(AJ$1,Calcs!$B$1:$AB$1,0)),"")</f>
        <v>1</v>
      </c>
      <c r="AK13" s="45">
        <f>IFERROR(INDEX(Calcs!$B$2:$AB$37,MATCH($N13,Calcs!$CJ$2:$CJ$37,0),MATCH(AK$1,Calcs!$B$1:$AB$1,0)),"")</f>
        <v>2</v>
      </c>
      <c r="AL13" s="45">
        <f>IFERROR(INDEX(Calcs!$B$2:$AB$37,MATCH($N13,Calcs!$CJ$2:$CJ$37,0),MATCH(AL$1,Calcs!$B$1:$AB$1,0)),"")</f>
        <v>6</v>
      </c>
      <c r="AM13" s="45">
        <f>IFERROR(INDEX(Calcs!$B$2:$AB$37,MATCH($N13,Calcs!$CJ$2:$CJ$37,0),MATCH(AM$1,Calcs!$B$1:$AB$1,0)),"")</f>
        <v>10</v>
      </c>
      <c r="AN13" s="47">
        <f>IFERROR(INDEX(Calcs!$B$2:$AB$37,MATCH($N13,Calcs!$CJ$2:$CJ$37,0),MATCH(AN$1,Calcs!$B$1:$AB$1,0)),"")</f>
        <v>-4</v>
      </c>
      <c r="AO13" s="45">
        <f>IFERROR(INDEX(Calcs!$B$2:$AB$37,MATCH($N13,Calcs!$CJ$2:$CJ$37,0),MATCH(AO$1,Calcs!$B$1:$AB$1,0)),"")</f>
        <v>82</v>
      </c>
      <c r="AP13" s="45">
        <f>IFERROR(INDEX(Calcs!$B$2:$AB$37,MATCH($N13,Calcs!$CJ$2:$CJ$37,0),MATCH(AP$1,Calcs!$B$1:$AB$1,0)),"")</f>
        <v>10</v>
      </c>
      <c r="AQ13" s="47">
        <f>IFERROR(INDEX(Calcs!$B$2:$AB$37,MATCH($N13,Calcs!$CJ$2:$CJ$37,0),MATCH(AQ$1,Calcs!$B$1:$AB$1,0)),"")</f>
        <v>100</v>
      </c>
      <c r="AR13" s="74"/>
      <c r="AS13" s="9" t="str">
        <f>INDEX(Calcs!A$2:A$37,MATCH($N13,Calcs!$CF$2:$CF$37,0))</f>
        <v>Atlético Madrid</v>
      </c>
      <c r="AT13" s="177"/>
      <c r="AU13" s="149">
        <f>INDEX(Calcs!$BZ$2:$BZ$37,MATCH($AS13,Calcs!$A$2:$A$37,0))</f>
        <v>12</v>
      </c>
      <c r="AV13" s="149">
        <f t="shared" si="1"/>
        <v>1</v>
      </c>
      <c r="AW13" s="149" t="str">
        <f t="shared" si="2"/>
        <v>12.1</v>
      </c>
      <c r="AX13" s="149"/>
      <c r="AY13" s="74"/>
      <c r="AZ13" s="71" t="str">
        <f>TablaEquipos[[#This Row],[Team]]</f>
        <v>Brugge</v>
      </c>
      <c r="BA13" s="179"/>
      <c r="BB13" s="74"/>
      <c r="BC13" s="74"/>
      <c r="BD13" s="74"/>
      <c r="BE13" s="74"/>
      <c r="BF13" s="247" t="str">
        <f t="shared" si="0"/>
        <v>Local</v>
      </c>
      <c r="BI13" s="247">
        <f>SUMIF(Calcs!$A$2:$A$37,League!BI5,Calcs!$I$2:$I$37)-INDEX($BA$2:$BA$37,MATCH(BI5,$AZ$2:$AZ$37,0))</f>
        <v>10</v>
      </c>
      <c r="BJ13" s="247">
        <f>SUMIF(Calcs!$A$2:$A$37,League!BJ5,Calcs!$I$2:$I$37)-INDEX($BA$2:$BA$37,MATCH(BJ5,$AZ$2:$AZ$37,0))</f>
        <v>3</v>
      </c>
      <c r="BK13" s="247">
        <f>SUMIF(Calcs!$A$2:$A$37,League!BK5,Calcs!$I$2:$I$37)-INDEX($BA$2:$BA$37,MATCH(BK5,$AZ$2:$AZ$37,0))</f>
        <v>9</v>
      </c>
      <c r="BL13" s="247">
        <f>SUMIF(Calcs!$A$2:$A$37,League!BL5,Calcs!$I$2:$I$37)-INDEX($BA$2:$BA$37,MATCH(BL5,$AZ$2:$AZ$37,0))</f>
        <v>13</v>
      </c>
      <c r="BM13" s="247">
        <f>SUMIF(Calcs!$A$2:$A$37,League!BM5,Calcs!$I$2:$I$37)-INDEX($BA$2:$BA$37,MATCH(BM5,$AZ$2:$AZ$37,0))</f>
        <v>6</v>
      </c>
      <c r="BN13" s="247">
        <f>SUMIF(Calcs!$A$2:$A$37,League!BN5,Calcs!$I$2:$I$37)-INDEX($BA$2:$BA$37,MATCH(BN5,$AZ$2:$AZ$37,0))</f>
        <v>7</v>
      </c>
      <c r="BO13" s="247">
        <f>SUMIF(Calcs!$A$2:$A$37,League!BO5,Calcs!$I$2:$I$37)-INDEX($BA$2:$BA$37,MATCH(BO5,$AZ$2:$AZ$37,0))</f>
        <v>6</v>
      </c>
      <c r="BP13" s="247">
        <f>SUMIF(Calcs!$A$2:$A$37,League!BP5,Calcs!$I$2:$I$37)-INDEX($BA$2:$BA$37,MATCH(BP5,$AZ$2:$AZ$37,0))</f>
        <v>13</v>
      </c>
      <c r="BQ13" s="247">
        <f>SUMIF(Calcs!$A$2:$A$37,League!BQ5,Calcs!$I$2:$I$37)-INDEX($BA$2:$BA$37,MATCH(BQ5,$AZ$2:$AZ$37,0))</f>
        <v>9</v>
      </c>
      <c r="BR13" s="247">
        <f>SUMIF(Calcs!$A$2:$A$37,League!BR5,Calcs!$I$2:$I$37)-INDEX($BA$2:$BA$37,MATCH(BR5,$AZ$2:$AZ$37,0))</f>
        <v>9</v>
      </c>
      <c r="BS13" s="247">
        <f>SUMIF(Calcs!$A$2:$A$37,League!BS5,Calcs!$I$2:$I$37)-INDEX($BA$2:$BA$37,MATCH(BS5,$AZ$2:$AZ$37,0))</f>
        <v>13</v>
      </c>
      <c r="BT13" s="247">
        <f>SUMIF(Calcs!$A$2:$A$37,League!BT5,Calcs!$I$2:$I$37)-INDEX($BA$2:$BA$37,MATCH(BT5,$AZ$2:$AZ$37,0))</f>
        <v>13</v>
      </c>
      <c r="BU13" s="247">
        <f>SUMIF(Calcs!$A$2:$A$37,League!BU5,Calcs!$I$2:$I$37)-INDEX($BA$2:$BA$37,MATCH(BU5,$AZ$2:$AZ$37,0))</f>
        <v>10</v>
      </c>
      <c r="BV13" s="247">
        <f>SUMIF(Calcs!$A$2:$A$37,League!BV5,Calcs!$I$2:$I$37)-INDEX($BA$2:$BA$37,MATCH(BV5,$AZ$2:$AZ$37,0))</f>
        <v>14</v>
      </c>
      <c r="BW13" s="247">
        <f>SUMIF(Calcs!$A$2:$A$37,League!BW5,Calcs!$I$2:$I$37)-INDEX($BA$2:$BA$37,MATCH(BW5,$AZ$2:$AZ$37,0))</f>
        <v>8</v>
      </c>
      <c r="BX13" s="247">
        <f>SUMIF(Calcs!$A$2:$A$37,League!BX5,Calcs!$I$2:$I$37)-INDEX($BA$2:$BA$37,MATCH(BX5,$AZ$2:$AZ$37,0))</f>
        <v>6</v>
      </c>
      <c r="BY13" s="247">
        <f>SUMIF(Calcs!$A$2:$A$37,League!BY5,Calcs!$I$2:$I$37)-INDEX($BA$2:$BA$37,MATCH(BY5,$AZ$2:$AZ$37,0))</f>
        <v>1</v>
      </c>
      <c r="BZ13" s="247">
        <f>SUMIF(Calcs!$A$2:$A$37,League!BZ5,Calcs!$I$2:$I$37)-INDEX($BA$2:$BA$37,MATCH(BZ5,$AZ$2:$AZ$37,0))</f>
        <v>13</v>
      </c>
      <c r="CA13" s="247">
        <f>SUMIF(Calcs!$A$2:$A$37,League!CA5,Calcs!$I$2:$I$37)-INDEX($BA$2:$BA$37,MATCH(CA5,$AZ$2:$AZ$37,0))</f>
        <v>12</v>
      </c>
      <c r="CB13" s="247">
        <f>SUMIF(Calcs!$A$2:$A$37,League!CB5,Calcs!$I$2:$I$37)-INDEX($BA$2:$BA$37,MATCH(CB5,$AZ$2:$AZ$37,0))</f>
        <v>15</v>
      </c>
      <c r="CC13" s="247">
        <f>SUMIF(Calcs!$A$2:$A$37,League!CC5,Calcs!$I$2:$I$37)-INDEX($BA$2:$BA$37,MATCH(CC5,$AZ$2:$AZ$37,0))</f>
        <v>11</v>
      </c>
      <c r="CD13" s="247">
        <f>SUMIF(Calcs!$A$2:$A$37,League!CD5,Calcs!$I$2:$I$37)-INDEX($BA$2:$BA$37,MATCH(CD5,$AZ$2:$AZ$37,0))</f>
        <v>13</v>
      </c>
      <c r="CE13" s="247">
        <f>SUMIF(Calcs!$A$2:$A$37,League!CE5,Calcs!$I$2:$I$37)-INDEX($BA$2:$BA$37,MATCH(CE5,$AZ$2:$AZ$37,0))</f>
        <v>6</v>
      </c>
      <c r="CF13" s="247">
        <f>SUMIF(Calcs!$A$2:$A$37,League!CF5,Calcs!$I$2:$I$37)-INDEX($BA$2:$BA$37,MATCH(CF5,$AZ$2:$AZ$37,0))</f>
        <v>4</v>
      </c>
      <c r="CG13" s="247">
        <f>SUMIF(Calcs!$A$2:$A$37,League!CG5,Calcs!$I$2:$I$37)-INDEX($BA$2:$BA$37,MATCH(CG5,$AZ$2:$AZ$37,0))</f>
        <v>8</v>
      </c>
      <c r="CH13" s="247">
        <f>SUMIF(Calcs!$A$2:$A$37,League!CH5,Calcs!$I$2:$I$37)-INDEX($BA$2:$BA$37,MATCH(CH5,$AZ$2:$AZ$37,0))</f>
        <v>8</v>
      </c>
      <c r="CI13" s="247">
        <f>SUMIF(Calcs!$A$2:$A$37,League!CI5,Calcs!$I$2:$I$37)-INDEX($BA$2:$BA$37,MATCH(CI5,$AZ$2:$AZ$37,0))</f>
        <v>1</v>
      </c>
      <c r="CJ13" s="247">
        <f>SUMIF(Calcs!$A$2:$A$37,League!CJ5,Calcs!$I$2:$I$37)-INDEX($BA$2:$BA$37,MATCH(CJ5,$AZ$2:$AZ$37,0))</f>
        <v>18</v>
      </c>
      <c r="CK13" s="247">
        <f>SUMIF(Calcs!$A$2:$A$37,League!CK5,Calcs!$I$2:$I$37)-INDEX($BA$2:$BA$37,MATCH(CK5,$AZ$2:$AZ$37,0))</f>
        <v>8</v>
      </c>
      <c r="CL13" s="247">
        <f>SUMIF(Calcs!$A$2:$A$37,League!CL5,Calcs!$I$2:$I$37)-INDEX($BA$2:$BA$37,MATCH(CL5,$AZ$2:$AZ$37,0))</f>
        <v>13</v>
      </c>
      <c r="CM13" s="247">
        <f>SUMIF(Calcs!$A$2:$A$37,League!CM5,Calcs!$I$2:$I$37)-INDEX($BA$2:$BA$37,MATCH(CM5,$AZ$2:$AZ$37,0))</f>
        <v>15</v>
      </c>
      <c r="CN13" s="247">
        <f>SUMIF(Calcs!$A$2:$A$37,League!CN5,Calcs!$I$2:$I$37)-INDEX($BA$2:$BA$37,MATCH(CN5,$AZ$2:$AZ$37,0))</f>
        <v>21</v>
      </c>
      <c r="CO13" s="247">
        <f>SUMIF(Calcs!$A$2:$A$37,League!CO5,Calcs!$I$2:$I$37)-INDEX($BA$2:$BA$37,MATCH(CO5,$AZ$2:$AZ$37,0))</f>
        <v>12</v>
      </c>
      <c r="CP13" s="247">
        <f>SUMIF(Calcs!$A$2:$A$37,League!CP5,Calcs!$I$2:$I$37)-INDEX($BA$2:$BA$37,MATCH(CP5,$AZ$2:$AZ$37,0))</f>
        <v>8</v>
      </c>
      <c r="CQ13" s="247">
        <f>SUMIF(Calcs!$A$2:$A$37,League!CQ5,Calcs!$I$2:$I$37)-INDEX($BA$2:$BA$37,MATCH(CQ5,$AZ$2:$AZ$37,0))</f>
        <v>13</v>
      </c>
      <c r="CR13" s="247">
        <f>SUMIF(Calcs!$A$2:$A$37,League!CR5,Calcs!$I$2:$I$37)-INDEX($BA$2:$BA$37,MATCH(CR5,$AZ$2:$AZ$37,0))</f>
        <v>6</v>
      </c>
      <c r="CS13" s="256"/>
      <c r="CT13" s="256"/>
      <c r="CU13" s="256"/>
      <c r="CV13" s="227"/>
    </row>
    <row r="14" spans="1:100" ht="17.100000000000001" customHeight="1">
      <c r="A14" s="473">
        <v>1</v>
      </c>
      <c r="B14" s="474">
        <f>Horarios!C14</f>
        <v>45918.78125</v>
      </c>
      <c r="C14" s="475">
        <f>Horarios!C14</f>
        <v>45918.78125</v>
      </c>
      <c r="D14" s="192" t="s">
        <v>47</v>
      </c>
      <c r="E14" s="80" t="e" vm="29">
        <f>INDEX(TablaEquipos[Badge],MATCH(D14,TablaEquipos[Team],0))</f>
        <v>#VALUE!</v>
      </c>
      <c r="F14" s="103"/>
      <c r="G14" s="476">
        <v>4</v>
      </c>
      <c r="H14" s="477">
        <v>1</v>
      </c>
      <c r="I14" s="478"/>
      <c r="J14" s="81" t="e" vm="30">
        <v>#VALUE!</v>
      </c>
      <c r="K14" s="209" t="s">
        <v>48</v>
      </c>
      <c r="L14" s="97"/>
      <c r="M14" s="74"/>
      <c r="N14" s="91">
        <v>13</v>
      </c>
      <c r="O14" s="42" t="e" vm="28">
        <f>INDEX(TablaEquipos[],MATCH(P14,TablaEquipos[Team],0),MATCH($O$1,TablaEquipos[#Headers],0))</f>
        <v>#VALUE!</v>
      </c>
      <c r="P14" s="43" t="str">
        <f>IFERROR(INDEX(Calcs!A$2:A$37,MATCH($N14,Calcs!$CJ$2:$CJ$37,0)),"")</f>
        <v>Atalanta</v>
      </c>
      <c r="Q14" s="44">
        <f>IFERROR(INDEX(Calcs!$B$2:$AB$37,MATCH($N14,Calcs!$CJ$2:$CJ$37,0),MATCH(Q$1,Calcs!$B$1:$AB$1,0)),"")</f>
        <v>13</v>
      </c>
      <c r="R14" s="45">
        <f>IFERROR(INDEX(Calcs!$B$2:$AB$37,MATCH($N14,Calcs!$CJ$2:$CJ$37,0),MATCH(R$1,Calcs!$B$1:$AB$1,0)),"")</f>
        <v>7</v>
      </c>
      <c r="S14" s="45">
        <f>IFERROR(INDEX(Calcs!$B$2:$AB$37,MATCH($N14,Calcs!$CJ$2:$CJ$37,0),MATCH(S$1,Calcs!$B$1:$AB$1,0)),"")</f>
        <v>4</v>
      </c>
      <c r="T14" s="45">
        <f>IFERROR(INDEX(Calcs!$B$2:$AB$37,MATCH($N14,Calcs!$CJ$2:$CJ$37,0),MATCH(T$1,Calcs!$B$1:$AB$1,0)),"")</f>
        <v>1</v>
      </c>
      <c r="U14" s="45">
        <f>IFERROR(INDEX(Calcs!$B$2:$AB$37,MATCH($N14,Calcs!$CJ$2:$CJ$37,0),MATCH(U$1,Calcs!$B$1:$AB$1,0)),"")</f>
        <v>2</v>
      </c>
      <c r="V14" s="45">
        <f>IFERROR(INDEX(Calcs!$B$2:$AB$37,MATCH($N14,Calcs!$CJ$2:$CJ$37,0),MATCH(V$1,Calcs!$B$1:$AB$1,0)),"")</f>
        <v>10</v>
      </c>
      <c r="W14" s="45">
        <f>IFERROR(INDEX(Calcs!$B$2:$AB$37,MATCH($N14,Calcs!$CJ$2:$CJ$37,0),MATCH(W$1,Calcs!$B$1:$AB$1,0)),"")</f>
        <v>9</v>
      </c>
      <c r="X14" s="46">
        <f>IFERROR(INDEX(Calcs!$B$2:$AB$37,MATCH($N14,Calcs!$CJ$2:$CJ$37,0),MATCH(X$1,Calcs!$B$1:$AB$1,0)),"")</f>
        <v>1</v>
      </c>
      <c r="Y14" s="44">
        <f>IFERROR(INDEX(Calcs!$B$2:$AB$37,MATCH($N14,Calcs!$CJ$2:$CJ$37,0),MATCH(Y$1,Calcs!$B$1:$AB$1,0)),"")</f>
        <v>7</v>
      </c>
      <c r="Z14" s="45">
        <f>IFERROR(INDEX(Calcs!$B$2:$AB$37,MATCH($N14,Calcs!$CJ$2:$CJ$37,0),MATCH(Z$1,Calcs!$B$1:$AB$1,0)),"")</f>
        <v>4</v>
      </c>
      <c r="AA14" s="45">
        <f>IFERROR(INDEX(Calcs!$B$2:$AB$37,MATCH($N14,Calcs!$CJ$2:$CJ$37,0),MATCH(AA$1,Calcs!$B$1:$AB$1,0)),"")</f>
        <v>2</v>
      </c>
      <c r="AB14" s="45">
        <f>IFERROR(INDEX(Calcs!$B$2:$AB$37,MATCH($N14,Calcs!$CJ$2:$CJ$37,0),MATCH(AB$1,Calcs!$B$1:$AB$1,0)),"")</f>
        <v>1</v>
      </c>
      <c r="AC14" s="45">
        <f>IFERROR(INDEX(Calcs!$B$2:$AB$37,MATCH($N14,Calcs!$CJ$2:$CJ$37,0),MATCH(AC$1,Calcs!$B$1:$AB$1,0)),"")</f>
        <v>1</v>
      </c>
      <c r="AD14" s="45">
        <f>IFERROR(INDEX(Calcs!$B$2:$AB$37,MATCH($N14,Calcs!$CJ$2:$CJ$37,0),MATCH(AD$1,Calcs!$B$1:$AB$1,0)),"")</f>
        <v>6</v>
      </c>
      <c r="AE14" s="45">
        <f>IFERROR(INDEX(Calcs!$B$2:$AB$37,MATCH($N14,Calcs!$CJ$2:$CJ$37,0),MATCH(AE$1,Calcs!$B$1:$AB$1,0)),"")</f>
        <v>5</v>
      </c>
      <c r="AF14" s="46">
        <f>IFERROR(INDEX(Calcs!$B$2:$AB$37,MATCH($N14,Calcs!$CJ$2:$CJ$37,0),MATCH(AF$1,Calcs!$B$1:$AB$1,0)),"")</f>
        <v>1</v>
      </c>
      <c r="AG14" s="44">
        <f>IFERROR(INDEX(Calcs!$B$2:$AB$37,MATCH($N14,Calcs!$CJ$2:$CJ$37,0),MATCH(AG$1,Calcs!$B$1:$AB$1,0)),"")</f>
        <v>6</v>
      </c>
      <c r="AH14" s="45">
        <f>IFERROR(INDEX(Calcs!$B$2:$AB$37,MATCH($N14,Calcs!$CJ$2:$CJ$37,0),MATCH(AH$1,Calcs!$B$1:$AB$1,0)),"")</f>
        <v>3</v>
      </c>
      <c r="AI14" s="45">
        <f>IFERROR(INDEX(Calcs!$B$2:$AB$37,MATCH($N14,Calcs!$CJ$2:$CJ$37,0),MATCH(AI$1,Calcs!$B$1:$AB$1,0)),"")</f>
        <v>2</v>
      </c>
      <c r="AJ14" s="45">
        <f>IFERROR(INDEX(Calcs!$B$2:$AB$37,MATCH($N14,Calcs!$CJ$2:$CJ$37,0),MATCH(AJ$1,Calcs!$B$1:$AB$1,0)),"")</f>
        <v>0</v>
      </c>
      <c r="AK14" s="45">
        <f>IFERROR(INDEX(Calcs!$B$2:$AB$37,MATCH($N14,Calcs!$CJ$2:$CJ$37,0),MATCH(AK$1,Calcs!$B$1:$AB$1,0)),"")</f>
        <v>1</v>
      </c>
      <c r="AL14" s="45">
        <f>IFERROR(INDEX(Calcs!$B$2:$AB$37,MATCH($N14,Calcs!$CJ$2:$CJ$37,0),MATCH(AL$1,Calcs!$B$1:$AB$1,0)),"")</f>
        <v>4</v>
      </c>
      <c r="AM14" s="45">
        <f>IFERROR(INDEX(Calcs!$B$2:$AB$37,MATCH($N14,Calcs!$CJ$2:$CJ$37,0),MATCH(AM$1,Calcs!$B$1:$AB$1,0)),"")</f>
        <v>4</v>
      </c>
      <c r="AN14" s="47">
        <f>IFERROR(INDEX(Calcs!$B$2:$AB$37,MATCH($N14,Calcs!$CJ$2:$CJ$37,0),MATCH(AN$1,Calcs!$B$1:$AB$1,0)),"")</f>
        <v>0</v>
      </c>
      <c r="AO14" s="45">
        <f>IFERROR(INDEX(Calcs!$B$2:$AB$37,MATCH($N14,Calcs!$CJ$2:$CJ$37,0),MATCH(AO$1,Calcs!$B$1:$AB$1,0)),"")</f>
        <v>63</v>
      </c>
      <c r="AP14" s="45">
        <f>IFERROR(INDEX(Calcs!$B$2:$AB$37,MATCH($N14,Calcs!$CJ$2:$CJ$37,0),MATCH(AP$1,Calcs!$B$1:$AB$1,0)),"")</f>
        <v>-23</v>
      </c>
      <c r="AQ14" s="47">
        <f>IFERROR(INDEX(Calcs!$B$2:$AB$37,MATCH($N14,Calcs!$CJ$2:$CJ$37,0),MATCH(AQ$1,Calcs!$B$1:$AB$1,0)),"")</f>
        <v>85</v>
      </c>
      <c r="AR14" s="74"/>
      <c r="AS14" s="9" t="str">
        <f>INDEX(Calcs!A$2:A$37,MATCH($N14,Calcs!$CF$2:$CF$37,0))</f>
        <v>Atalanta</v>
      </c>
      <c r="AT14" s="177"/>
      <c r="AU14" s="149">
        <f>INDEX(Calcs!$BZ$2:$BZ$37,MATCH($AS14,Calcs!$A$2:$A$37,0))</f>
        <v>13</v>
      </c>
      <c r="AV14" s="149">
        <f t="shared" si="1"/>
        <v>1</v>
      </c>
      <c r="AW14" s="149" t="str">
        <f t="shared" si="2"/>
        <v>13.1</v>
      </c>
      <c r="AX14" s="149"/>
      <c r="AY14" s="74"/>
      <c r="AZ14" s="70" t="str">
        <f>TablaEquipos[[#This Row],[Team]]</f>
        <v>Chelsea</v>
      </c>
      <c r="BA14" s="178"/>
      <c r="BB14" s="74"/>
      <c r="BC14" s="74"/>
      <c r="BD14" s="74"/>
      <c r="BE14" s="74"/>
      <c r="BF14" s="247" t="str">
        <f t="shared" si="0"/>
        <v>Local</v>
      </c>
      <c r="BI14" s="247">
        <f>SUMIF(Calcs!$A$2:$A$37,League!BI6,Calcs!$I$2:$I$37)-INDEX($BA$2:$BA$37,MATCH(BI6,$AZ$2:$AZ$37,0))</f>
        <v>6</v>
      </c>
      <c r="BJ14" s="247">
        <f>SUMIF(Calcs!$A$2:$A$37,League!BJ6,Calcs!$I$2:$I$37)-INDEX($BA$2:$BA$37,MATCH(BJ6,$AZ$2:$AZ$37,0))</f>
        <v>18</v>
      </c>
      <c r="BK14" s="247">
        <f>SUMIF(Calcs!$A$2:$A$37,League!BK6,Calcs!$I$2:$I$37)-INDEX($BA$2:$BA$37,MATCH(BK6,$AZ$2:$AZ$37,0))</f>
        <v>4</v>
      </c>
      <c r="BL14" s="247">
        <f>SUMIF(Calcs!$A$2:$A$37,League!BL6,Calcs!$I$2:$I$37)-INDEX($BA$2:$BA$37,MATCH(BL6,$AZ$2:$AZ$37,0))</f>
        <v>3</v>
      </c>
      <c r="BM14" s="247">
        <f>SUMIF(Calcs!$A$2:$A$37,League!BM6,Calcs!$I$2:$I$37)-INDEX($BA$2:$BA$37,MATCH(BM6,$AZ$2:$AZ$37,0))</f>
        <v>12</v>
      </c>
      <c r="BN14" s="247">
        <f>SUMIF(Calcs!$A$2:$A$37,League!BN6,Calcs!$I$2:$I$37)-INDEX($BA$2:$BA$37,MATCH(BN6,$AZ$2:$AZ$37,0))</f>
        <v>13</v>
      </c>
      <c r="BO14" s="247">
        <f>SUMIF(Calcs!$A$2:$A$37,League!BO6,Calcs!$I$2:$I$37)-INDEX($BA$2:$BA$37,MATCH(BO6,$AZ$2:$AZ$37,0))</f>
        <v>13</v>
      </c>
      <c r="BP14" s="247">
        <f>SUMIF(Calcs!$A$2:$A$37,League!BP6,Calcs!$I$2:$I$37)-INDEX($BA$2:$BA$37,MATCH(BP6,$AZ$2:$AZ$37,0))</f>
        <v>21</v>
      </c>
      <c r="BQ14" s="247">
        <f>SUMIF(Calcs!$A$2:$A$37,League!BQ6,Calcs!$I$2:$I$37)-INDEX($BA$2:$BA$37,MATCH(BQ6,$AZ$2:$AZ$37,0))</f>
        <v>6</v>
      </c>
      <c r="BR14" s="247">
        <f>SUMIF(Calcs!$A$2:$A$37,League!BR6,Calcs!$I$2:$I$37)-INDEX($BA$2:$BA$37,MATCH(BR6,$AZ$2:$AZ$37,0))</f>
        <v>12</v>
      </c>
      <c r="BS14" s="247">
        <f>SUMIF(Calcs!$A$2:$A$37,League!BS6,Calcs!$I$2:$I$37)-INDEX($BA$2:$BA$37,MATCH(BS6,$AZ$2:$AZ$37,0))</f>
        <v>1</v>
      </c>
      <c r="BT14" s="247">
        <f>SUMIF(Calcs!$A$2:$A$37,League!BT6,Calcs!$I$2:$I$37)-INDEX($BA$2:$BA$37,MATCH(BT6,$AZ$2:$AZ$37,0))</f>
        <v>13</v>
      </c>
      <c r="BU14" s="247">
        <f>SUMIF(Calcs!$A$2:$A$37,League!BU6,Calcs!$I$2:$I$37)-INDEX($BA$2:$BA$37,MATCH(BU6,$AZ$2:$AZ$37,0))</f>
        <v>13</v>
      </c>
      <c r="BV14" s="247">
        <f>SUMIF(Calcs!$A$2:$A$37,League!BV6,Calcs!$I$2:$I$37)-INDEX($BA$2:$BA$37,MATCH(BV6,$AZ$2:$AZ$37,0))</f>
        <v>1</v>
      </c>
      <c r="BW14" s="247">
        <f>SUMIF(Calcs!$A$2:$A$37,League!BW6,Calcs!$I$2:$I$37)-INDEX($BA$2:$BA$37,MATCH(BW6,$AZ$2:$AZ$37,0))</f>
        <v>13</v>
      </c>
      <c r="BX14" s="247">
        <f>SUMIF(Calcs!$A$2:$A$37,League!BX6,Calcs!$I$2:$I$37)-INDEX($BA$2:$BA$37,MATCH(BX6,$AZ$2:$AZ$37,0))</f>
        <v>6</v>
      </c>
      <c r="BY14" s="247">
        <f>SUMIF(Calcs!$A$2:$A$37,League!BY6,Calcs!$I$2:$I$37)-INDEX($BA$2:$BA$37,MATCH(BY6,$AZ$2:$AZ$37,0))</f>
        <v>13</v>
      </c>
      <c r="BZ14" s="247">
        <f>SUMIF(Calcs!$A$2:$A$37,League!BZ6,Calcs!$I$2:$I$37)-INDEX($BA$2:$BA$37,MATCH(BZ6,$AZ$2:$AZ$37,0))</f>
        <v>6</v>
      </c>
      <c r="CA14" s="247">
        <f>SUMIF(Calcs!$A$2:$A$37,League!CA6,Calcs!$I$2:$I$37)-INDEX($BA$2:$BA$37,MATCH(CA6,$AZ$2:$AZ$37,0))</f>
        <v>8</v>
      </c>
      <c r="CB14" s="247">
        <f>SUMIF(Calcs!$A$2:$A$37,League!CB6,Calcs!$I$2:$I$37)-INDEX($BA$2:$BA$37,MATCH(CB6,$AZ$2:$AZ$37,0))</f>
        <v>8</v>
      </c>
      <c r="CC14" s="247">
        <f>SUMIF(Calcs!$A$2:$A$37,League!CC6,Calcs!$I$2:$I$37)-INDEX($BA$2:$BA$37,MATCH(CC6,$AZ$2:$AZ$37,0))</f>
        <v>9</v>
      </c>
      <c r="CD14" s="247">
        <f>SUMIF(Calcs!$A$2:$A$37,League!CD6,Calcs!$I$2:$I$37)-INDEX($BA$2:$BA$37,MATCH(CD6,$AZ$2:$AZ$37,0))</f>
        <v>13</v>
      </c>
      <c r="CE14" s="247">
        <f>SUMIF(Calcs!$A$2:$A$37,League!CE6,Calcs!$I$2:$I$37)-INDEX($BA$2:$BA$37,MATCH(CE6,$AZ$2:$AZ$37,0))</f>
        <v>6</v>
      </c>
      <c r="CF14" s="247">
        <f>SUMIF(Calcs!$A$2:$A$37,League!CF6,Calcs!$I$2:$I$37)-INDEX($BA$2:$BA$37,MATCH(CF6,$AZ$2:$AZ$37,0))</f>
        <v>10</v>
      </c>
      <c r="CG14" s="247">
        <f>SUMIF(Calcs!$A$2:$A$37,League!CG6,Calcs!$I$2:$I$37)-INDEX($BA$2:$BA$37,MATCH(CG6,$AZ$2:$AZ$37,0))</f>
        <v>9</v>
      </c>
      <c r="CH14" s="247">
        <f>SUMIF(Calcs!$A$2:$A$37,League!CH6,Calcs!$I$2:$I$37)-INDEX($BA$2:$BA$37,MATCH(CH6,$AZ$2:$AZ$37,0))</f>
        <v>15</v>
      </c>
      <c r="CI14" s="247">
        <f>SUMIF(Calcs!$A$2:$A$37,League!CI6,Calcs!$I$2:$I$37)-INDEX($BA$2:$BA$37,MATCH(CI6,$AZ$2:$AZ$37,0))</f>
        <v>9</v>
      </c>
      <c r="CJ14" s="247">
        <f>SUMIF(Calcs!$A$2:$A$37,League!CJ6,Calcs!$I$2:$I$37)-INDEX($BA$2:$BA$37,MATCH(CJ6,$AZ$2:$AZ$37,0))</f>
        <v>14</v>
      </c>
      <c r="CK14" s="247">
        <f>SUMIF(Calcs!$A$2:$A$37,League!CK6,Calcs!$I$2:$I$37)-INDEX($BA$2:$BA$37,MATCH(CK6,$AZ$2:$AZ$37,0))</f>
        <v>15</v>
      </c>
      <c r="CL14" s="247">
        <f>SUMIF(Calcs!$A$2:$A$37,League!CL6,Calcs!$I$2:$I$37)-INDEX($BA$2:$BA$37,MATCH(CL6,$AZ$2:$AZ$37,0))</f>
        <v>8</v>
      </c>
      <c r="CM14" s="247">
        <f>SUMIF(Calcs!$A$2:$A$37,League!CM6,Calcs!$I$2:$I$37)-INDEX($BA$2:$BA$37,MATCH(CM6,$AZ$2:$AZ$37,0))</f>
        <v>8</v>
      </c>
      <c r="CN14" s="247">
        <f>SUMIF(Calcs!$A$2:$A$37,League!CN6,Calcs!$I$2:$I$37)-INDEX($BA$2:$BA$37,MATCH(CN6,$AZ$2:$AZ$37,0))</f>
        <v>8</v>
      </c>
      <c r="CO14" s="247">
        <f>SUMIF(Calcs!$A$2:$A$37,League!CO6,Calcs!$I$2:$I$37)-INDEX($BA$2:$BA$37,MATCH(CO6,$AZ$2:$AZ$37,0))</f>
        <v>7</v>
      </c>
      <c r="CP14" s="247">
        <f>SUMIF(Calcs!$A$2:$A$37,League!CP6,Calcs!$I$2:$I$37)-INDEX($BA$2:$BA$37,MATCH(CP6,$AZ$2:$AZ$37,0))</f>
        <v>13</v>
      </c>
      <c r="CQ14" s="247">
        <f>SUMIF(Calcs!$A$2:$A$37,League!CQ6,Calcs!$I$2:$I$37)-INDEX($BA$2:$BA$37,MATCH(CQ6,$AZ$2:$AZ$37,0))</f>
        <v>10</v>
      </c>
      <c r="CR14" s="247">
        <f>SUMIF(Calcs!$A$2:$A$37,League!CR6,Calcs!$I$2:$I$37)-INDEX($BA$2:$BA$37,MATCH(CR6,$AZ$2:$AZ$37,0))</f>
        <v>11</v>
      </c>
      <c r="CS14" s="256"/>
      <c r="CT14" s="256"/>
      <c r="CU14" s="256"/>
      <c r="CV14" s="227"/>
    </row>
    <row r="15" spans="1:100" ht="17.100000000000001" customHeight="1">
      <c r="A15" s="222">
        <v>1</v>
      </c>
      <c r="B15" s="468">
        <f>Horarios!C15</f>
        <v>45918.78125</v>
      </c>
      <c r="C15" s="469">
        <f>Horarios!C15</f>
        <v>45918.78125</v>
      </c>
      <c r="D15" s="191" t="s">
        <v>49</v>
      </c>
      <c r="E15" s="79" t="e" vm="31">
        <f>INDEX(TablaEquipos[Badge],MATCH(D15,TablaEquipos[Team],0))</f>
        <v>#VALUE!</v>
      </c>
      <c r="F15" s="102"/>
      <c r="G15" s="470">
        <v>2</v>
      </c>
      <c r="H15" s="471">
        <v>2</v>
      </c>
      <c r="I15" s="472"/>
      <c r="J15" s="82" t="e" vm="32">
        <f>INDEX(TablaEquipos[Badge],MATCH(K15,TablaEquipos[Team],0))</f>
        <v>#VALUE!</v>
      </c>
      <c r="K15" s="403" t="s">
        <v>50</v>
      </c>
      <c r="L15" s="97"/>
      <c r="M15" s="74"/>
      <c r="N15" s="91">
        <v>14</v>
      </c>
      <c r="O15" s="42" t="e" vm="23">
        <f>INDEX(TablaEquipos[],MATCH(P15,TablaEquipos[Team],0),MATCH($O$1,TablaEquipos[#Headers],0))</f>
        <v>#VALUE!</v>
      </c>
      <c r="P15" s="43" t="str">
        <f>IFERROR(INDEX(Calcs!A$2:A$37,MATCH($N15,Calcs!$CJ$2:$CJ$37,0)),"")</f>
        <v>Inter Milan</v>
      </c>
      <c r="Q15" s="44">
        <f>IFERROR(INDEX(Calcs!$B$2:$AB$37,MATCH($N15,Calcs!$CJ$2:$CJ$37,0),MATCH(Q$1,Calcs!$B$1:$AB$1,0)),"")</f>
        <v>12</v>
      </c>
      <c r="R15" s="45">
        <f>IFERROR(INDEX(Calcs!$B$2:$AB$37,MATCH($N15,Calcs!$CJ$2:$CJ$37,0),MATCH(R$1,Calcs!$B$1:$AB$1,0)),"")</f>
        <v>7</v>
      </c>
      <c r="S15" s="45">
        <f>IFERROR(INDEX(Calcs!$B$2:$AB$37,MATCH($N15,Calcs!$CJ$2:$CJ$37,0),MATCH(S$1,Calcs!$B$1:$AB$1,0)),"")</f>
        <v>4</v>
      </c>
      <c r="T15" s="45">
        <f>IFERROR(INDEX(Calcs!$B$2:$AB$37,MATCH($N15,Calcs!$CJ$2:$CJ$37,0),MATCH(T$1,Calcs!$B$1:$AB$1,0)),"")</f>
        <v>0</v>
      </c>
      <c r="U15" s="45">
        <f>IFERROR(INDEX(Calcs!$B$2:$AB$37,MATCH($N15,Calcs!$CJ$2:$CJ$37,0),MATCH(U$1,Calcs!$B$1:$AB$1,0)),"")</f>
        <v>3</v>
      </c>
      <c r="V15" s="45">
        <f>IFERROR(INDEX(Calcs!$B$2:$AB$37,MATCH($N15,Calcs!$CJ$2:$CJ$37,0),MATCH(V$1,Calcs!$B$1:$AB$1,0)),"")</f>
        <v>13</v>
      </c>
      <c r="W15" s="45">
        <f>IFERROR(INDEX(Calcs!$B$2:$AB$37,MATCH($N15,Calcs!$CJ$2:$CJ$37,0),MATCH(W$1,Calcs!$B$1:$AB$1,0)),"")</f>
        <v>7</v>
      </c>
      <c r="X15" s="46">
        <f>IFERROR(INDEX(Calcs!$B$2:$AB$37,MATCH($N15,Calcs!$CJ$2:$CJ$37,0),MATCH(X$1,Calcs!$B$1:$AB$1,0)),"")</f>
        <v>6</v>
      </c>
      <c r="Y15" s="44">
        <f>IFERROR(INDEX(Calcs!$B$2:$AB$37,MATCH($N15,Calcs!$CJ$2:$CJ$37,0),MATCH(Y$1,Calcs!$B$1:$AB$1,0)),"")</f>
        <v>6</v>
      </c>
      <c r="Z15" s="45">
        <f>IFERROR(INDEX(Calcs!$B$2:$AB$37,MATCH($N15,Calcs!$CJ$2:$CJ$37,0),MATCH(Z$1,Calcs!$B$1:$AB$1,0)),"")</f>
        <v>4</v>
      </c>
      <c r="AA15" s="45">
        <f>IFERROR(INDEX(Calcs!$B$2:$AB$37,MATCH($N15,Calcs!$CJ$2:$CJ$37,0),MATCH(AA$1,Calcs!$B$1:$AB$1,0)),"")</f>
        <v>2</v>
      </c>
      <c r="AB15" s="45">
        <f>IFERROR(INDEX(Calcs!$B$2:$AB$37,MATCH($N15,Calcs!$CJ$2:$CJ$37,0),MATCH(AB$1,Calcs!$B$1:$AB$1,0)),"")</f>
        <v>0</v>
      </c>
      <c r="AC15" s="45">
        <f>IFERROR(INDEX(Calcs!$B$2:$AB$37,MATCH($N15,Calcs!$CJ$2:$CJ$37,0),MATCH(AC$1,Calcs!$B$1:$AB$1,0)),"")</f>
        <v>2</v>
      </c>
      <c r="AD15" s="45">
        <f>IFERROR(INDEX(Calcs!$B$2:$AB$37,MATCH($N15,Calcs!$CJ$2:$CJ$37,0),MATCH(AD$1,Calcs!$B$1:$AB$1,0)),"")</f>
        <v>6</v>
      </c>
      <c r="AE15" s="45">
        <f>IFERROR(INDEX(Calcs!$B$2:$AB$37,MATCH($N15,Calcs!$CJ$2:$CJ$37,0),MATCH(AE$1,Calcs!$B$1:$AB$1,0)),"")</f>
        <v>5</v>
      </c>
      <c r="AF15" s="46">
        <f>IFERROR(INDEX(Calcs!$B$2:$AB$37,MATCH($N15,Calcs!$CJ$2:$CJ$37,0),MATCH(AF$1,Calcs!$B$1:$AB$1,0)),"")</f>
        <v>1</v>
      </c>
      <c r="AG15" s="44">
        <f>IFERROR(INDEX(Calcs!$B$2:$AB$37,MATCH($N15,Calcs!$CJ$2:$CJ$37,0),MATCH(AG$1,Calcs!$B$1:$AB$1,0)),"")</f>
        <v>6</v>
      </c>
      <c r="AH15" s="45">
        <f>IFERROR(INDEX(Calcs!$B$2:$AB$37,MATCH($N15,Calcs!$CJ$2:$CJ$37,0),MATCH(AH$1,Calcs!$B$1:$AB$1,0)),"")</f>
        <v>3</v>
      </c>
      <c r="AI15" s="45">
        <f>IFERROR(INDEX(Calcs!$B$2:$AB$37,MATCH($N15,Calcs!$CJ$2:$CJ$37,0),MATCH(AI$1,Calcs!$B$1:$AB$1,0)),"")</f>
        <v>2</v>
      </c>
      <c r="AJ15" s="45">
        <f>IFERROR(INDEX(Calcs!$B$2:$AB$37,MATCH($N15,Calcs!$CJ$2:$CJ$37,0),MATCH(AJ$1,Calcs!$B$1:$AB$1,0)),"")</f>
        <v>0</v>
      </c>
      <c r="AK15" s="45">
        <f>IFERROR(INDEX(Calcs!$B$2:$AB$37,MATCH($N15,Calcs!$CJ$2:$CJ$37,0),MATCH(AK$1,Calcs!$B$1:$AB$1,0)),"")</f>
        <v>1</v>
      </c>
      <c r="AL15" s="45">
        <f>IFERROR(INDEX(Calcs!$B$2:$AB$37,MATCH($N15,Calcs!$CJ$2:$CJ$37,0),MATCH(AL$1,Calcs!$B$1:$AB$1,0)),"")</f>
        <v>7</v>
      </c>
      <c r="AM15" s="45">
        <f>IFERROR(INDEX(Calcs!$B$2:$AB$37,MATCH($N15,Calcs!$CJ$2:$CJ$37,0),MATCH(AM$1,Calcs!$B$1:$AB$1,0)),"")</f>
        <v>2</v>
      </c>
      <c r="AN15" s="47">
        <f>IFERROR(INDEX(Calcs!$B$2:$AB$37,MATCH($N15,Calcs!$CJ$2:$CJ$37,0),MATCH(AN$1,Calcs!$B$1:$AB$1,0)),"")</f>
        <v>5</v>
      </c>
      <c r="AO15" s="45">
        <f>IFERROR(INDEX(Calcs!$B$2:$AB$37,MATCH($N15,Calcs!$CJ$2:$CJ$37,0),MATCH(AO$1,Calcs!$B$1:$AB$1,0)),"")</f>
        <v>76</v>
      </c>
      <c r="AP15" s="45">
        <f>IFERROR(INDEX(Calcs!$B$2:$AB$37,MATCH($N15,Calcs!$CJ$2:$CJ$37,0),MATCH(AP$1,Calcs!$B$1:$AB$1,0)),"")</f>
        <v>-16</v>
      </c>
      <c r="AQ15" s="47">
        <f>IFERROR(INDEX(Calcs!$B$2:$AB$37,MATCH($N15,Calcs!$CJ$2:$CJ$37,0),MATCH(AQ$1,Calcs!$B$1:$AB$1,0)),"")</f>
        <v>92</v>
      </c>
      <c r="AR15" s="74"/>
      <c r="AS15" s="9" t="str">
        <f>INDEX(Calcs!A$2:A$37,MATCH($N15,Calcs!$CF$2:$CF$37,0))</f>
        <v>Inter Milan</v>
      </c>
      <c r="AT15" s="177"/>
      <c r="AU15" s="149">
        <f>INDEX(Calcs!$BZ$2:$BZ$37,MATCH($AS15,Calcs!$A$2:$A$37,0))</f>
        <v>14</v>
      </c>
      <c r="AV15" s="149">
        <f t="shared" si="1"/>
        <v>1</v>
      </c>
      <c r="AW15" s="149" t="str">
        <f t="shared" si="2"/>
        <v>14.1</v>
      </c>
      <c r="AX15" s="149"/>
      <c r="AY15" s="74"/>
      <c r="AZ15" s="71" t="str">
        <f>TablaEquipos[[#This Row],[Team]]</f>
        <v>Copenhagen</v>
      </c>
      <c r="BA15" s="179"/>
      <c r="BB15" s="74"/>
      <c r="BC15" s="74"/>
      <c r="BD15" s="74"/>
      <c r="BE15" s="74"/>
      <c r="BF15" s="247" t="str">
        <f t="shared" si="0"/>
        <v>Empate</v>
      </c>
      <c r="BI15" s="247">
        <f>SUMIF(Calcs!$A$2:$A$37,League!BI7,Calcs!$I$2:$I$37)-INDEX($BA$2:$BA$37,MATCH(BI7,$AZ$2:$AZ$37,0))</f>
        <v>10</v>
      </c>
      <c r="BJ15" s="247">
        <f>SUMIF(Calcs!$A$2:$A$37,League!BJ7,Calcs!$I$2:$I$37)-INDEX($BA$2:$BA$37,MATCH(BJ7,$AZ$2:$AZ$37,0))</f>
        <v>7</v>
      </c>
      <c r="BK15" s="247">
        <f>SUMIF(Calcs!$A$2:$A$37,League!BK7,Calcs!$I$2:$I$37)-INDEX($BA$2:$BA$37,MATCH(BK7,$AZ$2:$AZ$37,0))</f>
        <v>13</v>
      </c>
      <c r="BL15" s="247">
        <f>SUMIF(Calcs!$A$2:$A$37,League!BL7,Calcs!$I$2:$I$37)-INDEX($BA$2:$BA$37,MATCH(BL7,$AZ$2:$AZ$37,0))</f>
        <v>13</v>
      </c>
      <c r="BM15" s="247">
        <f>SUMIF(Calcs!$A$2:$A$37,League!BM7,Calcs!$I$2:$I$37)-INDEX($BA$2:$BA$37,MATCH(BM7,$AZ$2:$AZ$37,0))</f>
        <v>8</v>
      </c>
      <c r="BN15" s="247">
        <f>SUMIF(Calcs!$A$2:$A$37,League!BN7,Calcs!$I$2:$I$37)-INDEX($BA$2:$BA$37,MATCH(BN7,$AZ$2:$AZ$37,0))</f>
        <v>4</v>
      </c>
      <c r="BO15" s="247">
        <f>SUMIF(Calcs!$A$2:$A$37,League!BO7,Calcs!$I$2:$I$37)-INDEX($BA$2:$BA$37,MATCH(BO7,$AZ$2:$AZ$37,0))</f>
        <v>13</v>
      </c>
      <c r="BP15" s="247">
        <f>SUMIF(Calcs!$A$2:$A$37,League!BP7,Calcs!$I$2:$I$37)-INDEX($BA$2:$BA$37,MATCH(BP7,$AZ$2:$AZ$37,0))</f>
        <v>13</v>
      </c>
      <c r="BQ15" s="247">
        <f>SUMIF(Calcs!$A$2:$A$37,League!BQ7,Calcs!$I$2:$I$37)-INDEX($BA$2:$BA$37,MATCH(BQ7,$AZ$2:$AZ$37,0))</f>
        <v>8</v>
      </c>
      <c r="BR15" s="247">
        <f>SUMIF(Calcs!$A$2:$A$37,League!BR7,Calcs!$I$2:$I$37)-INDEX($BA$2:$BA$37,MATCH(BR7,$AZ$2:$AZ$37,0))</f>
        <v>11</v>
      </c>
      <c r="BS15" s="247">
        <f>SUMIF(Calcs!$A$2:$A$37,League!BS7,Calcs!$I$2:$I$37)-INDEX($BA$2:$BA$37,MATCH(BS7,$AZ$2:$AZ$37,0))</f>
        <v>6</v>
      </c>
      <c r="BT15" s="247">
        <f>SUMIF(Calcs!$A$2:$A$37,League!BT7,Calcs!$I$2:$I$37)-INDEX($BA$2:$BA$37,MATCH(BT7,$AZ$2:$AZ$37,0))</f>
        <v>21</v>
      </c>
      <c r="BU15" s="247">
        <f>SUMIF(Calcs!$A$2:$A$37,League!BU7,Calcs!$I$2:$I$37)-INDEX($BA$2:$BA$37,MATCH(BU7,$AZ$2:$AZ$37,0))</f>
        <v>13</v>
      </c>
      <c r="BV15" s="247">
        <f>SUMIF(Calcs!$A$2:$A$37,League!BV7,Calcs!$I$2:$I$37)-INDEX($BA$2:$BA$37,MATCH(BV7,$AZ$2:$AZ$37,0))</f>
        <v>1</v>
      </c>
      <c r="BW15" s="247">
        <f>SUMIF(Calcs!$A$2:$A$37,League!BW7,Calcs!$I$2:$I$37)-INDEX($BA$2:$BA$37,MATCH(BW7,$AZ$2:$AZ$37,0))</f>
        <v>13</v>
      </c>
      <c r="BX15" s="247">
        <f>SUMIF(Calcs!$A$2:$A$37,League!BX7,Calcs!$I$2:$I$37)-INDEX($BA$2:$BA$37,MATCH(BX7,$AZ$2:$AZ$37,0))</f>
        <v>9</v>
      </c>
      <c r="BY15" s="247">
        <f>SUMIF(Calcs!$A$2:$A$37,League!BY7,Calcs!$I$2:$I$37)-INDEX($BA$2:$BA$37,MATCH(BY7,$AZ$2:$AZ$37,0))</f>
        <v>15</v>
      </c>
      <c r="BZ15" s="247">
        <f>SUMIF(Calcs!$A$2:$A$37,League!BZ7,Calcs!$I$2:$I$37)-INDEX($BA$2:$BA$37,MATCH(BZ7,$AZ$2:$AZ$37,0))</f>
        <v>6</v>
      </c>
      <c r="CA15" s="247">
        <f>SUMIF(Calcs!$A$2:$A$37,League!CA7,Calcs!$I$2:$I$37)-INDEX($BA$2:$BA$37,MATCH(CA7,$AZ$2:$AZ$37,0))</f>
        <v>8</v>
      </c>
      <c r="CB15" s="247">
        <f>SUMIF(Calcs!$A$2:$A$37,League!CB7,Calcs!$I$2:$I$37)-INDEX($BA$2:$BA$37,MATCH(CB7,$AZ$2:$AZ$37,0))</f>
        <v>12</v>
      </c>
      <c r="CC15" s="247">
        <f>SUMIF(Calcs!$A$2:$A$37,League!CC7,Calcs!$I$2:$I$37)-INDEX($BA$2:$BA$37,MATCH(CC7,$AZ$2:$AZ$37,0))</f>
        <v>15</v>
      </c>
      <c r="CD15" s="247">
        <f>SUMIF(Calcs!$A$2:$A$37,League!CD7,Calcs!$I$2:$I$37)-INDEX($BA$2:$BA$37,MATCH(CD7,$AZ$2:$AZ$37,0))</f>
        <v>6</v>
      </c>
      <c r="CE15" s="247">
        <f>SUMIF(Calcs!$A$2:$A$37,League!CE7,Calcs!$I$2:$I$37)-INDEX($BA$2:$BA$37,MATCH(CE7,$AZ$2:$AZ$37,0))</f>
        <v>10</v>
      </c>
      <c r="CF15" s="247">
        <f>SUMIF(Calcs!$A$2:$A$37,League!CF7,Calcs!$I$2:$I$37)-INDEX($BA$2:$BA$37,MATCH(CF7,$AZ$2:$AZ$37,0))</f>
        <v>6</v>
      </c>
      <c r="CG15" s="247">
        <f>SUMIF(Calcs!$A$2:$A$37,League!CG7,Calcs!$I$2:$I$37)-INDEX($BA$2:$BA$37,MATCH(CG7,$AZ$2:$AZ$37,0))</f>
        <v>9</v>
      </c>
      <c r="CH15" s="247">
        <f>SUMIF(Calcs!$A$2:$A$37,League!CH7,Calcs!$I$2:$I$37)-INDEX($BA$2:$BA$37,MATCH(CH7,$AZ$2:$AZ$37,0))</f>
        <v>1</v>
      </c>
      <c r="CI15" s="247">
        <f>SUMIF(Calcs!$A$2:$A$37,League!CI7,Calcs!$I$2:$I$37)-INDEX($BA$2:$BA$37,MATCH(CI7,$AZ$2:$AZ$37,0))</f>
        <v>12</v>
      </c>
      <c r="CJ15" s="247">
        <f>SUMIF(Calcs!$A$2:$A$37,League!CJ7,Calcs!$I$2:$I$37)-INDEX($BA$2:$BA$37,MATCH(CJ7,$AZ$2:$AZ$37,0))</f>
        <v>8</v>
      </c>
      <c r="CK15" s="247">
        <f>SUMIF(Calcs!$A$2:$A$37,League!CK7,Calcs!$I$2:$I$37)-INDEX($BA$2:$BA$37,MATCH(CK7,$AZ$2:$AZ$37,0))</f>
        <v>13</v>
      </c>
      <c r="CL15" s="247">
        <f>SUMIF(Calcs!$A$2:$A$37,League!CL7,Calcs!$I$2:$I$37)-INDEX($BA$2:$BA$37,MATCH(CL7,$AZ$2:$AZ$37,0))</f>
        <v>6</v>
      </c>
      <c r="CM15" s="247">
        <f>SUMIF(Calcs!$A$2:$A$37,League!CM7,Calcs!$I$2:$I$37)-INDEX($BA$2:$BA$37,MATCH(CM7,$AZ$2:$AZ$37,0))</f>
        <v>13</v>
      </c>
      <c r="CN15" s="247">
        <f>SUMIF(Calcs!$A$2:$A$37,League!CN7,Calcs!$I$2:$I$37)-INDEX($BA$2:$BA$37,MATCH(CN7,$AZ$2:$AZ$37,0))</f>
        <v>14</v>
      </c>
      <c r="CO15" s="247">
        <f>SUMIF(Calcs!$A$2:$A$37,League!CO7,Calcs!$I$2:$I$37)-INDEX($BA$2:$BA$37,MATCH(CO7,$AZ$2:$AZ$37,0))</f>
        <v>18</v>
      </c>
      <c r="CP15" s="247">
        <f>SUMIF(Calcs!$A$2:$A$37,League!CP7,Calcs!$I$2:$I$37)-INDEX($BA$2:$BA$37,MATCH(CP7,$AZ$2:$AZ$37,0))</f>
        <v>3</v>
      </c>
      <c r="CQ15" s="247">
        <f>SUMIF(Calcs!$A$2:$A$37,League!CQ7,Calcs!$I$2:$I$37)-INDEX($BA$2:$BA$37,MATCH(CQ7,$AZ$2:$AZ$37,0))</f>
        <v>9</v>
      </c>
      <c r="CR15" s="247">
        <f>SUMIF(Calcs!$A$2:$A$37,League!CR7,Calcs!$I$2:$I$37)-INDEX($BA$2:$BA$37,MATCH(CR7,$AZ$2:$AZ$37,0))</f>
        <v>8</v>
      </c>
      <c r="CS15" s="256"/>
      <c r="CT15" s="256"/>
      <c r="CU15" s="256"/>
      <c r="CV15" s="227"/>
    </row>
    <row r="16" spans="1:100" ht="17.100000000000001" customHeight="1">
      <c r="A16" s="473">
        <v>1</v>
      </c>
      <c r="B16" s="474">
        <f>Horarios!C16</f>
        <v>45918.875</v>
      </c>
      <c r="C16" s="475">
        <f>Horarios!C16</f>
        <v>45918.875</v>
      </c>
      <c r="D16" s="192" t="s">
        <v>51</v>
      </c>
      <c r="E16" s="80" t="e" vm="33">
        <f>INDEX(TablaEquipos[Badge],MATCH(D16,TablaEquipos[Team],0))</f>
        <v>#VALUE!</v>
      </c>
      <c r="F16" s="103"/>
      <c r="G16" s="476">
        <v>5</v>
      </c>
      <c r="H16" s="477">
        <v>1</v>
      </c>
      <c r="I16" s="478"/>
      <c r="J16" s="81" t="e" vm="34">
        <f>INDEX(TablaEquipos[Badge],MATCH(K16,TablaEquipos[Team],0))</f>
        <v>#VALUE!</v>
      </c>
      <c r="K16" s="209" t="s">
        <v>52</v>
      </c>
      <c r="L16" s="97"/>
      <c r="M16" s="74"/>
      <c r="N16" s="91">
        <v>15</v>
      </c>
      <c r="O16" s="42" t="e" vm="6">
        <f>INDEX(TablaEquipos[],MATCH(P16,TablaEquipos[Team],0),MATCH($O$1,TablaEquipos[#Headers],0))</f>
        <v>#VALUE!</v>
      </c>
      <c r="P16" s="43" t="str">
        <f>IFERROR(INDEX(Calcs!A$2:A$37,MATCH($N16,Calcs!$CJ$2:$CJ$37,0)),"")</f>
        <v>Juventus</v>
      </c>
      <c r="Q16" s="44">
        <f>IFERROR(INDEX(Calcs!$B$2:$AB$37,MATCH($N16,Calcs!$CJ$2:$CJ$37,0),MATCH(Q$1,Calcs!$B$1:$AB$1,0)),"")</f>
        <v>12</v>
      </c>
      <c r="R16" s="45">
        <f>IFERROR(INDEX(Calcs!$B$2:$AB$37,MATCH($N16,Calcs!$CJ$2:$CJ$37,0),MATCH(R$1,Calcs!$B$1:$AB$1,0)),"")</f>
        <v>7</v>
      </c>
      <c r="S16" s="45">
        <f>IFERROR(INDEX(Calcs!$B$2:$AB$37,MATCH($N16,Calcs!$CJ$2:$CJ$37,0),MATCH(S$1,Calcs!$B$1:$AB$1,0)),"")</f>
        <v>3</v>
      </c>
      <c r="T16" s="45">
        <f>IFERROR(INDEX(Calcs!$B$2:$AB$37,MATCH($N16,Calcs!$CJ$2:$CJ$37,0),MATCH(T$1,Calcs!$B$1:$AB$1,0)),"")</f>
        <v>3</v>
      </c>
      <c r="U16" s="45">
        <f>IFERROR(INDEX(Calcs!$B$2:$AB$37,MATCH($N16,Calcs!$CJ$2:$CJ$37,0),MATCH(U$1,Calcs!$B$1:$AB$1,0)),"")</f>
        <v>1</v>
      </c>
      <c r="V16" s="45">
        <f>IFERROR(INDEX(Calcs!$B$2:$AB$37,MATCH($N16,Calcs!$CJ$2:$CJ$37,0),MATCH(V$1,Calcs!$B$1:$AB$1,0)),"")</f>
        <v>14</v>
      </c>
      <c r="W16" s="45">
        <f>IFERROR(INDEX(Calcs!$B$2:$AB$37,MATCH($N16,Calcs!$CJ$2:$CJ$37,0),MATCH(W$1,Calcs!$B$1:$AB$1,0)),"")</f>
        <v>10</v>
      </c>
      <c r="X16" s="46">
        <f>IFERROR(INDEX(Calcs!$B$2:$AB$37,MATCH($N16,Calcs!$CJ$2:$CJ$37,0),MATCH(X$1,Calcs!$B$1:$AB$1,0)),"")</f>
        <v>4</v>
      </c>
      <c r="Y16" s="44">
        <f>IFERROR(INDEX(Calcs!$B$2:$AB$37,MATCH($N16,Calcs!$CJ$2:$CJ$37,0),MATCH(Y$1,Calcs!$B$1:$AB$1,0)),"")</f>
        <v>8</v>
      </c>
      <c r="Z16" s="45">
        <f>IFERROR(INDEX(Calcs!$B$2:$AB$37,MATCH($N16,Calcs!$CJ$2:$CJ$37,0),MATCH(Z$1,Calcs!$B$1:$AB$1,0)),"")</f>
        <v>4</v>
      </c>
      <c r="AA16" s="45">
        <f>IFERROR(INDEX(Calcs!$B$2:$AB$37,MATCH($N16,Calcs!$CJ$2:$CJ$37,0),MATCH(AA$1,Calcs!$B$1:$AB$1,0)),"")</f>
        <v>2</v>
      </c>
      <c r="AB16" s="45">
        <f>IFERROR(INDEX(Calcs!$B$2:$AB$37,MATCH($N16,Calcs!$CJ$2:$CJ$37,0),MATCH(AB$1,Calcs!$B$1:$AB$1,0)),"")</f>
        <v>2</v>
      </c>
      <c r="AC16" s="45">
        <f>IFERROR(INDEX(Calcs!$B$2:$AB$37,MATCH($N16,Calcs!$CJ$2:$CJ$37,0),MATCH(AC$1,Calcs!$B$1:$AB$1,0)),"")</f>
        <v>0</v>
      </c>
      <c r="AD16" s="45">
        <f>IFERROR(INDEX(Calcs!$B$2:$AB$37,MATCH($N16,Calcs!$CJ$2:$CJ$37,0),MATCH(AD$1,Calcs!$B$1:$AB$1,0)),"")</f>
        <v>9</v>
      </c>
      <c r="AE16" s="45">
        <f>IFERROR(INDEX(Calcs!$B$2:$AB$37,MATCH($N16,Calcs!$CJ$2:$CJ$37,0),MATCH(AE$1,Calcs!$B$1:$AB$1,0)),"")</f>
        <v>5</v>
      </c>
      <c r="AF16" s="46">
        <f>IFERROR(INDEX(Calcs!$B$2:$AB$37,MATCH($N16,Calcs!$CJ$2:$CJ$37,0),MATCH(AF$1,Calcs!$B$1:$AB$1,0)),"")</f>
        <v>4</v>
      </c>
      <c r="AG16" s="44">
        <f>IFERROR(INDEX(Calcs!$B$2:$AB$37,MATCH($N16,Calcs!$CJ$2:$CJ$37,0),MATCH(AG$1,Calcs!$B$1:$AB$1,0)),"")</f>
        <v>4</v>
      </c>
      <c r="AH16" s="45">
        <f>IFERROR(INDEX(Calcs!$B$2:$AB$37,MATCH($N16,Calcs!$CJ$2:$CJ$37,0),MATCH(AH$1,Calcs!$B$1:$AB$1,0)),"")</f>
        <v>3</v>
      </c>
      <c r="AI16" s="45">
        <f>IFERROR(INDEX(Calcs!$B$2:$AB$37,MATCH($N16,Calcs!$CJ$2:$CJ$37,0),MATCH(AI$1,Calcs!$B$1:$AB$1,0)),"")</f>
        <v>1</v>
      </c>
      <c r="AJ16" s="45">
        <f>IFERROR(INDEX(Calcs!$B$2:$AB$37,MATCH($N16,Calcs!$CJ$2:$CJ$37,0),MATCH(AJ$1,Calcs!$B$1:$AB$1,0)),"")</f>
        <v>1</v>
      </c>
      <c r="AK16" s="45">
        <f>IFERROR(INDEX(Calcs!$B$2:$AB$37,MATCH($N16,Calcs!$CJ$2:$CJ$37,0),MATCH(AK$1,Calcs!$B$1:$AB$1,0)),"")</f>
        <v>1</v>
      </c>
      <c r="AL16" s="45">
        <f>IFERROR(INDEX(Calcs!$B$2:$AB$37,MATCH($N16,Calcs!$CJ$2:$CJ$37,0),MATCH(AL$1,Calcs!$B$1:$AB$1,0)),"")</f>
        <v>5</v>
      </c>
      <c r="AM16" s="45">
        <f>IFERROR(INDEX(Calcs!$B$2:$AB$37,MATCH($N16,Calcs!$CJ$2:$CJ$37,0),MATCH(AM$1,Calcs!$B$1:$AB$1,0)),"")</f>
        <v>5</v>
      </c>
      <c r="AN16" s="47">
        <f>IFERROR(INDEX(Calcs!$B$2:$AB$37,MATCH($N16,Calcs!$CJ$2:$CJ$37,0),MATCH(AN$1,Calcs!$B$1:$AB$1,0)),"")</f>
        <v>0</v>
      </c>
      <c r="AO16" s="45">
        <f>IFERROR(INDEX(Calcs!$B$2:$AB$37,MATCH($N16,Calcs!$CJ$2:$CJ$37,0),MATCH(AO$1,Calcs!$B$1:$AB$1,0)),"")</f>
        <v>67</v>
      </c>
      <c r="AP16" s="45">
        <f>IFERROR(INDEX(Calcs!$B$2:$AB$37,MATCH($N16,Calcs!$CJ$2:$CJ$37,0),MATCH(AP$1,Calcs!$B$1:$AB$1,0)),"")</f>
        <v>-8</v>
      </c>
      <c r="AQ16" s="47">
        <f>IFERROR(INDEX(Calcs!$B$2:$AB$37,MATCH($N16,Calcs!$CJ$2:$CJ$37,0),MATCH(AQ$1,Calcs!$B$1:$AB$1,0)),"")</f>
        <v>87</v>
      </c>
      <c r="AR16" s="74"/>
      <c r="AS16" s="9" t="str">
        <f>INDEX(Calcs!A$2:A$37,MATCH($N16,Calcs!$CF$2:$CF$37,0))</f>
        <v>Juventus</v>
      </c>
      <c r="AT16" s="177"/>
      <c r="AU16" s="149">
        <f>INDEX(Calcs!$BZ$2:$BZ$37,MATCH($AS16,Calcs!$A$2:$A$37,0))</f>
        <v>15</v>
      </c>
      <c r="AV16" s="149">
        <f t="shared" si="1"/>
        <v>1</v>
      </c>
      <c r="AW16" s="149" t="str">
        <f t="shared" si="2"/>
        <v>15.1</v>
      </c>
      <c r="AX16" s="149"/>
      <c r="AY16" s="74"/>
      <c r="AZ16" s="70" t="str">
        <f>TablaEquipos[[#This Row],[Team]]</f>
        <v>Eintracht Frankfurt</v>
      </c>
      <c r="BA16" s="178"/>
      <c r="BB16" s="74"/>
      <c r="BC16" s="74"/>
      <c r="BD16" s="74"/>
      <c r="BE16" s="74"/>
      <c r="BF16" s="247" t="str">
        <f t="shared" si="0"/>
        <v>Local</v>
      </c>
      <c r="BI16" s="247">
        <f>SUMIF(Calcs!$A$2:$A$37,League!BI8,Calcs!$I$2:$I$37)-INDEX($BA$2:$BA$37,MATCH(BI8,$AZ$2:$AZ$37,0))</f>
        <v>1</v>
      </c>
      <c r="BJ16" s="247">
        <f>SUMIF(Calcs!$A$2:$A$37,League!BJ8,Calcs!$I$2:$I$37)-INDEX($BA$2:$BA$37,MATCH(BJ8,$AZ$2:$AZ$37,0))</f>
        <v>12</v>
      </c>
      <c r="BK16" s="247">
        <f>SUMIF(Calcs!$A$2:$A$37,League!BK8,Calcs!$I$2:$I$37)-INDEX($BA$2:$BA$37,MATCH(BK8,$AZ$2:$AZ$37,0))</f>
        <v>8</v>
      </c>
      <c r="BL16" s="247">
        <f>SUMIF(Calcs!$A$2:$A$37,League!BL8,Calcs!$I$2:$I$37)-INDEX($BA$2:$BA$37,MATCH(BL8,$AZ$2:$AZ$37,0))</f>
        <v>13</v>
      </c>
      <c r="BM16" s="247">
        <f>SUMIF(Calcs!$A$2:$A$37,League!BM8,Calcs!$I$2:$I$37)-INDEX($BA$2:$BA$37,MATCH(BM8,$AZ$2:$AZ$37,0))</f>
        <v>10</v>
      </c>
      <c r="BN16" s="247">
        <f>SUMIF(Calcs!$A$2:$A$37,League!BN8,Calcs!$I$2:$I$37)-INDEX($BA$2:$BA$37,MATCH(BN8,$AZ$2:$AZ$37,0))</f>
        <v>3</v>
      </c>
      <c r="BO16" s="247">
        <f>SUMIF(Calcs!$A$2:$A$37,League!BO8,Calcs!$I$2:$I$37)-INDEX($BA$2:$BA$37,MATCH(BO8,$AZ$2:$AZ$37,0))</f>
        <v>8</v>
      </c>
      <c r="BP16" s="247">
        <f>SUMIF(Calcs!$A$2:$A$37,League!BP8,Calcs!$I$2:$I$37)-INDEX($BA$2:$BA$37,MATCH(BP8,$AZ$2:$AZ$37,0))</f>
        <v>6</v>
      </c>
      <c r="BQ16" s="247">
        <f>SUMIF(Calcs!$A$2:$A$37,League!BQ8,Calcs!$I$2:$I$37)-INDEX($BA$2:$BA$37,MATCH(BQ8,$AZ$2:$AZ$37,0))</f>
        <v>12</v>
      </c>
      <c r="BR16" s="247">
        <f>SUMIF(Calcs!$A$2:$A$37,League!BR8,Calcs!$I$2:$I$37)-INDEX($BA$2:$BA$37,MATCH(BR8,$AZ$2:$AZ$37,0))</f>
        <v>13</v>
      </c>
      <c r="BS16" s="247">
        <f>SUMIF(Calcs!$A$2:$A$37,League!BS8,Calcs!$I$2:$I$37)-INDEX($BA$2:$BA$37,MATCH(BS8,$AZ$2:$AZ$37,0))</f>
        <v>14</v>
      </c>
      <c r="BT16" s="247">
        <f>SUMIF(Calcs!$A$2:$A$37,League!BT8,Calcs!$I$2:$I$37)-INDEX($BA$2:$BA$37,MATCH(BT8,$AZ$2:$AZ$37,0))</f>
        <v>1</v>
      </c>
      <c r="BU16" s="247">
        <f>SUMIF(Calcs!$A$2:$A$37,League!BU8,Calcs!$I$2:$I$37)-INDEX($BA$2:$BA$37,MATCH(BU8,$AZ$2:$AZ$37,0))</f>
        <v>6</v>
      </c>
      <c r="BV16" s="247">
        <f>SUMIF(Calcs!$A$2:$A$37,League!BV8,Calcs!$I$2:$I$37)-INDEX($BA$2:$BA$37,MATCH(BV8,$AZ$2:$AZ$37,0))</f>
        <v>8</v>
      </c>
      <c r="BW16" s="247">
        <f>SUMIF(Calcs!$A$2:$A$37,League!BW8,Calcs!$I$2:$I$37)-INDEX($BA$2:$BA$37,MATCH(BW8,$AZ$2:$AZ$37,0))</f>
        <v>10</v>
      </c>
      <c r="BX16" s="247">
        <f>SUMIF(Calcs!$A$2:$A$37,League!BX8,Calcs!$I$2:$I$37)-INDEX($BA$2:$BA$37,MATCH(BX8,$AZ$2:$AZ$37,0))</f>
        <v>13</v>
      </c>
      <c r="BY16" s="247">
        <f>SUMIF(Calcs!$A$2:$A$37,League!BY8,Calcs!$I$2:$I$37)-INDEX($BA$2:$BA$37,MATCH(BY8,$AZ$2:$AZ$37,0))</f>
        <v>21</v>
      </c>
      <c r="BZ16" s="247">
        <f>SUMIF(Calcs!$A$2:$A$37,League!BZ8,Calcs!$I$2:$I$37)-INDEX($BA$2:$BA$37,MATCH(BZ8,$AZ$2:$AZ$37,0))</f>
        <v>6</v>
      </c>
      <c r="CA16" s="247">
        <f>SUMIF(Calcs!$A$2:$A$37,League!CA8,Calcs!$I$2:$I$37)-INDEX($BA$2:$BA$37,MATCH(CA8,$AZ$2:$AZ$37,0))</f>
        <v>7</v>
      </c>
      <c r="CB16" s="247">
        <f>SUMIF(Calcs!$A$2:$A$37,League!CB8,Calcs!$I$2:$I$37)-INDEX($BA$2:$BA$37,MATCH(CB8,$AZ$2:$AZ$37,0))</f>
        <v>9</v>
      </c>
      <c r="CC16" s="247">
        <f>SUMIF(Calcs!$A$2:$A$37,League!CC8,Calcs!$I$2:$I$37)-INDEX($BA$2:$BA$37,MATCH(CC8,$AZ$2:$AZ$37,0))</f>
        <v>6</v>
      </c>
      <c r="CD16" s="247">
        <f>SUMIF(Calcs!$A$2:$A$37,League!CD8,Calcs!$I$2:$I$37)-INDEX($BA$2:$BA$37,MATCH(CD8,$AZ$2:$AZ$37,0))</f>
        <v>15</v>
      </c>
      <c r="CE16" s="247">
        <f>SUMIF(Calcs!$A$2:$A$37,League!CE8,Calcs!$I$2:$I$37)-INDEX($BA$2:$BA$37,MATCH(CE8,$AZ$2:$AZ$37,0))</f>
        <v>15</v>
      </c>
      <c r="CF16" s="247">
        <f>SUMIF(Calcs!$A$2:$A$37,League!CF8,Calcs!$I$2:$I$37)-INDEX($BA$2:$BA$37,MATCH(CF8,$AZ$2:$AZ$37,0))</f>
        <v>8</v>
      </c>
      <c r="CG16" s="247">
        <f>SUMIF(Calcs!$A$2:$A$37,League!CG8,Calcs!$I$2:$I$37)-INDEX($BA$2:$BA$37,MATCH(CG8,$AZ$2:$AZ$37,0))</f>
        <v>8</v>
      </c>
      <c r="CH16" s="247">
        <f>SUMIF(Calcs!$A$2:$A$37,League!CH8,Calcs!$I$2:$I$37)-INDEX($BA$2:$BA$37,MATCH(CH8,$AZ$2:$AZ$37,0))</f>
        <v>9</v>
      </c>
      <c r="CI16" s="247">
        <f>SUMIF(Calcs!$A$2:$A$37,League!CI8,Calcs!$I$2:$I$37)-INDEX($BA$2:$BA$37,MATCH(CI8,$AZ$2:$AZ$37,0))</f>
        <v>13</v>
      </c>
      <c r="CJ16" s="247">
        <f>SUMIF(Calcs!$A$2:$A$37,League!CJ8,Calcs!$I$2:$I$37)-INDEX($BA$2:$BA$37,MATCH(CJ8,$AZ$2:$AZ$37,0))</f>
        <v>13</v>
      </c>
      <c r="CK16" s="247">
        <f>SUMIF(Calcs!$A$2:$A$37,League!CK8,Calcs!$I$2:$I$37)-INDEX($BA$2:$BA$37,MATCH(CK8,$AZ$2:$AZ$37,0))</f>
        <v>13</v>
      </c>
      <c r="CL16" s="247">
        <f>SUMIF(Calcs!$A$2:$A$37,League!CL8,Calcs!$I$2:$I$37)-INDEX($BA$2:$BA$37,MATCH(CL8,$AZ$2:$AZ$37,0))</f>
        <v>4</v>
      </c>
      <c r="CM16" s="247">
        <f>SUMIF(Calcs!$A$2:$A$37,League!CM8,Calcs!$I$2:$I$37)-INDEX($BA$2:$BA$37,MATCH(CM8,$AZ$2:$AZ$37,0))</f>
        <v>9</v>
      </c>
      <c r="CN16" s="247">
        <f>SUMIF(Calcs!$A$2:$A$37,League!CN8,Calcs!$I$2:$I$37)-INDEX($BA$2:$BA$37,MATCH(CN8,$AZ$2:$AZ$37,0))</f>
        <v>13</v>
      </c>
      <c r="CO16" s="247">
        <f>SUMIF(Calcs!$A$2:$A$37,League!CO8,Calcs!$I$2:$I$37)-INDEX($BA$2:$BA$37,MATCH(CO8,$AZ$2:$AZ$37,0))</f>
        <v>13</v>
      </c>
      <c r="CP16" s="247">
        <f>SUMIF(Calcs!$A$2:$A$37,League!CP8,Calcs!$I$2:$I$37)-INDEX($BA$2:$BA$37,MATCH(CP8,$AZ$2:$AZ$37,0))</f>
        <v>11</v>
      </c>
      <c r="CQ16" s="247">
        <f>SUMIF(Calcs!$A$2:$A$37,League!CQ8,Calcs!$I$2:$I$37)-INDEX($BA$2:$BA$37,MATCH(CQ8,$AZ$2:$AZ$37,0))</f>
        <v>18</v>
      </c>
      <c r="CR16" s="247">
        <f>SUMIF(Calcs!$A$2:$A$37,League!CR8,Calcs!$I$2:$I$37)-INDEX($BA$2:$BA$37,MATCH(CR8,$AZ$2:$AZ$37,0))</f>
        <v>6</v>
      </c>
      <c r="CS16" s="256"/>
      <c r="CT16" s="256"/>
      <c r="CU16" s="256"/>
      <c r="CV16" s="227"/>
    </row>
    <row r="17" spans="1:100" ht="17.100000000000001" customHeight="1">
      <c r="A17" s="222">
        <v>1</v>
      </c>
      <c r="B17" s="468">
        <f>Horarios!C17</f>
        <v>45918.875</v>
      </c>
      <c r="C17" s="469">
        <f>Horarios!C17</f>
        <v>45918.875</v>
      </c>
      <c r="D17" s="191" t="s">
        <v>53</v>
      </c>
      <c r="E17" s="79" t="e" vm="27">
        <f>INDEX(TablaEquipos[Badge],MATCH(D17,TablaEquipos[Team],0))</f>
        <v>#VALUE!</v>
      </c>
      <c r="F17" s="102"/>
      <c r="G17" s="470">
        <v>2</v>
      </c>
      <c r="H17" s="471">
        <v>0</v>
      </c>
      <c r="I17" s="472"/>
      <c r="J17" s="82" t="e" vm="35">
        <f>INDEX(TablaEquipos[Badge],MATCH(K17,TablaEquipos[Team],0))</f>
        <v>#VALUE!</v>
      </c>
      <c r="K17" s="403" t="s">
        <v>54</v>
      </c>
      <c r="L17" s="97"/>
      <c r="M17" s="74"/>
      <c r="N17" s="91">
        <v>16</v>
      </c>
      <c r="O17" s="42" t="e" vm="7">
        <f>INDEX(TablaEquipos[],MATCH(P17,TablaEquipos[Team],0),MATCH($O$1,TablaEquipos[#Headers],0))</f>
        <v>#VALUE!</v>
      </c>
      <c r="P17" s="43" t="str">
        <f>IFERROR(INDEX(Calcs!A$2:A$37,MATCH($N17,Calcs!$CJ$2:$CJ$37,0)),"")</f>
        <v>Borussia Dortmund</v>
      </c>
      <c r="Q17" s="44">
        <f>IFERROR(INDEX(Calcs!$B$2:$AB$37,MATCH($N17,Calcs!$CJ$2:$CJ$37,0),MATCH(Q$1,Calcs!$B$1:$AB$1,0)),"")</f>
        <v>11</v>
      </c>
      <c r="R17" s="45">
        <f>IFERROR(INDEX(Calcs!$B$2:$AB$37,MATCH($N17,Calcs!$CJ$2:$CJ$37,0),MATCH(R$1,Calcs!$B$1:$AB$1,0)),"")</f>
        <v>7</v>
      </c>
      <c r="S17" s="45">
        <f>IFERROR(INDEX(Calcs!$B$2:$AB$37,MATCH($N17,Calcs!$CJ$2:$CJ$37,0),MATCH(S$1,Calcs!$B$1:$AB$1,0)),"")</f>
        <v>3</v>
      </c>
      <c r="T17" s="45">
        <f>IFERROR(INDEX(Calcs!$B$2:$AB$37,MATCH($N17,Calcs!$CJ$2:$CJ$37,0),MATCH(T$1,Calcs!$B$1:$AB$1,0)),"")</f>
        <v>2</v>
      </c>
      <c r="U17" s="45">
        <f>IFERROR(INDEX(Calcs!$B$2:$AB$37,MATCH($N17,Calcs!$CJ$2:$CJ$37,0),MATCH(U$1,Calcs!$B$1:$AB$1,0)),"")</f>
        <v>2</v>
      </c>
      <c r="V17" s="45">
        <f>IFERROR(INDEX(Calcs!$B$2:$AB$37,MATCH($N17,Calcs!$CJ$2:$CJ$37,0),MATCH(V$1,Calcs!$B$1:$AB$1,0)),"")</f>
        <v>19</v>
      </c>
      <c r="W17" s="45">
        <f>IFERROR(INDEX(Calcs!$B$2:$AB$37,MATCH($N17,Calcs!$CJ$2:$CJ$37,0),MATCH(W$1,Calcs!$B$1:$AB$1,0)),"")</f>
        <v>15</v>
      </c>
      <c r="X17" s="46">
        <f>IFERROR(INDEX(Calcs!$B$2:$AB$37,MATCH($N17,Calcs!$CJ$2:$CJ$37,0),MATCH(X$1,Calcs!$B$1:$AB$1,0)),"")</f>
        <v>4</v>
      </c>
      <c r="Y17" s="44">
        <f>IFERROR(INDEX(Calcs!$B$2:$AB$37,MATCH($N17,Calcs!$CJ$2:$CJ$37,0),MATCH(Y$1,Calcs!$B$1:$AB$1,0)),"")</f>
        <v>7</v>
      </c>
      <c r="Z17" s="45">
        <f>IFERROR(INDEX(Calcs!$B$2:$AB$37,MATCH($N17,Calcs!$CJ$2:$CJ$37,0),MATCH(Z$1,Calcs!$B$1:$AB$1,0)),"")</f>
        <v>3</v>
      </c>
      <c r="AA17" s="45">
        <f>IFERROR(INDEX(Calcs!$B$2:$AB$37,MATCH($N17,Calcs!$CJ$2:$CJ$37,0),MATCH(AA$1,Calcs!$B$1:$AB$1,0)),"")</f>
        <v>2</v>
      </c>
      <c r="AB17" s="45">
        <f>IFERROR(INDEX(Calcs!$B$2:$AB$37,MATCH($N17,Calcs!$CJ$2:$CJ$37,0),MATCH(AB$1,Calcs!$B$1:$AB$1,0)),"")</f>
        <v>1</v>
      </c>
      <c r="AC17" s="45">
        <f>IFERROR(INDEX(Calcs!$B$2:$AB$37,MATCH($N17,Calcs!$CJ$2:$CJ$37,0),MATCH(AC$1,Calcs!$B$1:$AB$1,0)),"")</f>
        <v>0</v>
      </c>
      <c r="AD17" s="45">
        <f>IFERROR(INDEX(Calcs!$B$2:$AB$37,MATCH($N17,Calcs!$CJ$2:$CJ$37,0),MATCH(AD$1,Calcs!$B$1:$AB$1,0)),"")</f>
        <v>10</v>
      </c>
      <c r="AE17" s="45">
        <f>IFERROR(INDEX(Calcs!$B$2:$AB$37,MATCH($N17,Calcs!$CJ$2:$CJ$37,0),MATCH(AE$1,Calcs!$B$1:$AB$1,0)),"")</f>
        <v>3</v>
      </c>
      <c r="AF17" s="46">
        <f>IFERROR(INDEX(Calcs!$B$2:$AB$37,MATCH($N17,Calcs!$CJ$2:$CJ$37,0),MATCH(AF$1,Calcs!$B$1:$AB$1,0)),"")</f>
        <v>7</v>
      </c>
      <c r="AG17" s="44">
        <f>IFERROR(INDEX(Calcs!$B$2:$AB$37,MATCH($N17,Calcs!$CJ$2:$CJ$37,0),MATCH(AG$1,Calcs!$B$1:$AB$1,0)),"")</f>
        <v>4</v>
      </c>
      <c r="AH17" s="45">
        <f>IFERROR(INDEX(Calcs!$B$2:$AB$37,MATCH($N17,Calcs!$CJ$2:$CJ$37,0),MATCH(AH$1,Calcs!$B$1:$AB$1,0)),"")</f>
        <v>4</v>
      </c>
      <c r="AI17" s="45">
        <f>IFERROR(INDEX(Calcs!$B$2:$AB$37,MATCH($N17,Calcs!$CJ$2:$CJ$37,0),MATCH(AI$1,Calcs!$B$1:$AB$1,0)),"")</f>
        <v>1</v>
      </c>
      <c r="AJ17" s="45">
        <f>IFERROR(INDEX(Calcs!$B$2:$AB$37,MATCH($N17,Calcs!$CJ$2:$CJ$37,0),MATCH(AJ$1,Calcs!$B$1:$AB$1,0)),"")</f>
        <v>1</v>
      </c>
      <c r="AK17" s="45">
        <f>IFERROR(INDEX(Calcs!$B$2:$AB$37,MATCH($N17,Calcs!$CJ$2:$CJ$37,0),MATCH(AK$1,Calcs!$B$1:$AB$1,0)),"")</f>
        <v>2</v>
      </c>
      <c r="AL17" s="45">
        <f>IFERROR(INDEX(Calcs!$B$2:$AB$37,MATCH($N17,Calcs!$CJ$2:$CJ$37,0),MATCH(AL$1,Calcs!$B$1:$AB$1,0)),"")</f>
        <v>9</v>
      </c>
      <c r="AM17" s="45">
        <f>IFERROR(INDEX(Calcs!$B$2:$AB$37,MATCH($N17,Calcs!$CJ$2:$CJ$37,0),MATCH(AM$1,Calcs!$B$1:$AB$1,0)),"")</f>
        <v>12</v>
      </c>
      <c r="AN17" s="47">
        <f>IFERROR(INDEX(Calcs!$B$2:$AB$37,MATCH($N17,Calcs!$CJ$2:$CJ$37,0),MATCH(AN$1,Calcs!$B$1:$AB$1,0)),"")</f>
        <v>-3</v>
      </c>
      <c r="AO17" s="45">
        <f>IFERROR(INDEX(Calcs!$B$2:$AB$37,MATCH($N17,Calcs!$CJ$2:$CJ$37,0),MATCH(AO$1,Calcs!$B$1:$AB$1,0)),"")</f>
        <v>74</v>
      </c>
      <c r="AP17" s="45">
        <f>IFERROR(INDEX(Calcs!$B$2:$AB$37,MATCH($N17,Calcs!$CJ$2:$CJ$37,0),MATCH(AP$1,Calcs!$B$1:$AB$1,0)),"")</f>
        <v>0</v>
      </c>
      <c r="AQ17" s="47">
        <f>IFERROR(INDEX(Calcs!$B$2:$AB$37,MATCH($N17,Calcs!$CJ$2:$CJ$37,0),MATCH(AQ$1,Calcs!$B$1:$AB$1,0)),"")</f>
        <v>90</v>
      </c>
      <c r="AR17" s="74"/>
      <c r="AS17" s="9" t="str">
        <f>INDEX(Calcs!A$2:A$37,MATCH($N17,Calcs!$CF$2:$CF$37,0))</f>
        <v>Borussia Dortmund</v>
      </c>
      <c r="AT17" s="177"/>
      <c r="AU17" s="149">
        <f>INDEX(Calcs!$BZ$2:$BZ$37,MATCH($AS17,Calcs!$A$2:$A$37,0))</f>
        <v>16</v>
      </c>
      <c r="AV17" s="149">
        <f t="shared" si="1"/>
        <v>1</v>
      </c>
      <c r="AW17" s="149" t="str">
        <f t="shared" si="2"/>
        <v>16.1</v>
      </c>
      <c r="AX17" s="149"/>
      <c r="AY17" s="74"/>
      <c r="AZ17" s="71" t="str">
        <f>TablaEquipos[[#This Row],[Team]]</f>
        <v>Galatasaray</v>
      </c>
      <c r="BA17" s="179"/>
      <c r="BB17" s="74"/>
      <c r="BC17" s="74"/>
      <c r="BD17" s="74"/>
      <c r="BE17" s="74"/>
      <c r="BF17" s="247" t="str">
        <f t="shared" si="0"/>
        <v>Local</v>
      </c>
      <c r="BI17" s="247">
        <f>SUMIF(Calcs!$A$2:$A$37,League!BI9,Calcs!$I$2:$I$37)-INDEX($BA$2:$BA$37,MATCH(BI9,$AZ$2:$AZ$37,0))</f>
        <v>8</v>
      </c>
      <c r="BJ17" s="247">
        <f>SUMIF(Calcs!$A$2:$A$37,League!BJ9,Calcs!$I$2:$I$37)-INDEX($BA$2:$BA$37,MATCH(BJ9,$AZ$2:$AZ$37,0))</f>
        <v>1</v>
      </c>
      <c r="BK17" s="247">
        <f>SUMIF(Calcs!$A$2:$A$37,League!BK9,Calcs!$I$2:$I$37)-INDEX($BA$2:$BA$37,MATCH(BK9,$AZ$2:$AZ$37,0))</f>
        <v>6</v>
      </c>
      <c r="BL17" s="247">
        <f>SUMIF(Calcs!$A$2:$A$37,League!BL9,Calcs!$I$2:$I$37)-INDEX($BA$2:$BA$37,MATCH(BL9,$AZ$2:$AZ$37,0))</f>
        <v>13</v>
      </c>
      <c r="BM17" s="247">
        <f>SUMIF(Calcs!$A$2:$A$37,League!BM9,Calcs!$I$2:$I$37)-INDEX($BA$2:$BA$37,MATCH(BM9,$AZ$2:$AZ$37,0))</f>
        <v>6</v>
      </c>
      <c r="BN17" s="247">
        <f>SUMIF(Calcs!$A$2:$A$37,League!BN9,Calcs!$I$2:$I$37)-INDEX($BA$2:$BA$37,MATCH(BN9,$AZ$2:$AZ$37,0))</f>
        <v>8</v>
      </c>
      <c r="BO17" s="247">
        <f>SUMIF(Calcs!$A$2:$A$37,League!BO9,Calcs!$I$2:$I$37)-INDEX($BA$2:$BA$37,MATCH(BO9,$AZ$2:$AZ$37,0))</f>
        <v>1</v>
      </c>
      <c r="BP17" s="247">
        <f>SUMIF(Calcs!$A$2:$A$37,League!BP9,Calcs!$I$2:$I$37)-INDEX($BA$2:$BA$37,MATCH(BP9,$AZ$2:$AZ$37,0))</f>
        <v>8</v>
      </c>
      <c r="BQ17" s="247">
        <f>SUMIF(Calcs!$A$2:$A$37,League!BQ9,Calcs!$I$2:$I$37)-INDEX($BA$2:$BA$37,MATCH(BQ9,$AZ$2:$AZ$37,0))</f>
        <v>15</v>
      </c>
      <c r="BR17" s="247">
        <f>SUMIF(Calcs!$A$2:$A$37,League!BR9,Calcs!$I$2:$I$37)-INDEX($BA$2:$BA$37,MATCH(BR9,$AZ$2:$AZ$37,0))</f>
        <v>13</v>
      </c>
      <c r="BS17" s="247">
        <f>SUMIF(Calcs!$A$2:$A$37,League!BS9,Calcs!$I$2:$I$37)-INDEX($BA$2:$BA$37,MATCH(BS9,$AZ$2:$AZ$37,0))</f>
        <v>12</v>
      </c>
      <c r="BT17" s="247">
        <f>SUMIF(Calcs!$A$2:$A$37,League!BT9,Calcs!$I$2:$I$37)-INDEX($BA$2:$BA$37,MATCH(BT9,$AZ$2:$AZ$37,0))</f>
        <v>9</v>
      </c>
      <c r="BU17" s="247">
        <f>SUMIF(Calcs!$A$2:$A$37,League!BU9,Calcs!$I$2:$I$37)-INDEX($BA$2:$BA$37,MATCH(BU9,$AZ$2:$AZ$37,0))</f>
        <v>8</v>
      </c>
      <c r="BV17" s="247">
        <f>SUMIF(Calcs!$A$2:$A$37,League!BV9,Calcs!$I$2:$I$37)-INDEX($BA$2:$BA$37,MATCH(BV9,$AZ$2:$AZ$37,0))</f>
        <v>13</v>
      </c>
      <c r="BW17" s="247">
        <f>SUMIF(Calcs!$A$2:$A$37,League!BW9,Calcs!$I$2:$I$37)-INDEX($BA$2:$BA$37,MATCH(BW9,$AZ$2:$AZ$37,0))</f>
        <v>14</v>
      </c>
      <c r="BX17" s="247">
        <f>SUMIF(Calcs!$A$2:$A$37,League!BX9,Calcs!$I$2:$I$37)-INDEX($BA$2:$BA$37,MATCH(BX9,$AZ$2:$AZ$37,0))</f>
        <v>13</v>
      </c>
      <c r="BY17" s="247">
        <f>SUMIF(Calcs!$A$2:$A$37,League!BY9,Calcs!$I$2:$I$37)-INDEX($BA$2:$BA$37,MATCH(BY9,$AZ$2:$AZ$37,0))</f>
        <v>11</v>
      </c>
      <c r="BZ17" s="247">
        <f>SUMIF(Calcs!$A$2:$A$37,League!BZ9,Calcs!$I$2:$I$37)-INDEX($BA$2:$BA$37,MATCH(BZ9,$AZ$2:$AZ$37,0))</f>
        <v>9</v>
      </c>
      <c r="CA17" s="247">
        <f>SUMIF(Calcs!$A$2:$A$37,League!CA9,Calcs!$I$2:$I$37)-INDEX($BA$2:$BA$37,MATCH(CA9,$AZ$2:$AZ$37,0))</f>
        <v>21</v>
      </c>
      <c r="CB17" s="247">
        <f>SUMIF(Calcs!$A$2:$A$37,League!CB9,Calcs!$I$2:$I$37)-INDEX($BA$2:$BA$37,MATCH(CB9,$AZ$2:$AZ$37,0))</f>
        <v>10</v>
      </c>
      <c r="CC17" s="247">
        <f>SUMIF(Calcs!$A$2:$A$37,League!CC9,Calcs!$I$2:$I$37)-INDEX($BA$2:$BA$37,MATCH(CC9,$AZ$2:$AZ$37,0))</f>
        <v>10</v>
      </c>
      <c r="CD17" s="247">
        <f>SUMIF(Calcs!$A$2:$A$37,League!CD9,Calcs!$I$2:$I$37)-INDEX($BA$2:$BA$37,MATCH(CD9,$AZ$2:$AZ$37,0))</f>
        <v>7</v>
      </c>
      <c r="CE17" s="247">
        <f>SUMIF(Calcs!$A$2:$A$37,League!CE9,Calcs!$I$2:$I$37)-INDEX($BA$2:$BA$37,MATCH(CE9,$AZ$2:$AZ$37,0))</f>
        <v>12</v>
      </c>
      <c r="CF17" s="247">
        <f>SUMIF(Calcs!$A$2:$A$37,League!CF9,Calcs!$I$2:$I$37)-INDEX($BA$2:$BA$37,MATCH(CF9,$AZ$2:$AZ$37,0))</f>
        <v>13</v>
      </c>
      <c r="CG17" s="247">
        <f>SUMIF(Calcs!$A$2:$A$37,League!CG9,Calcs!$I$2:$I$37)-INDEX($BA$2:$BA$37,MATCH(CG9,$AZ$2:$AZ$37,0))</f>
        <v>13</v>
      </c>
      <c r="CH17" s="247">
        <f>SUMIF(Calcs!$A$2:$A$37,League!CH9,Calcs!$I$2:$I$37)-INDEX($BA$2:$BA$37,MATCH(CH9,$AZ$2:$AZ$37,0))</f>
        <v>6</v>
      </c>
      <c r="CI17" s="247">
        <f>SUMIF(Calcs!$A$2:$A$37,League!CI9,Calcs!$I$2:$I$37)-INDEX($BA$2:$BA$37,MATCH(CI9,$AZ$2:$AZ$37,0))</f>
        <v>3</v>
      </c>
      <c r="CJ17" s="247">
        <f>SUMIF(Calcs!$A$2:$A$37,League!CJ9,Calcs!$I$2:$I$37)-INDEX($BA$2:$BA$37,MATCH(CJ9,$AZ$2:$AZ$37,0))</f>
        <v>13</v>
      </c>
      <c r="CK17" s="247">
        <f>SUMIF(Calcs!$A$2:$A$37,League!CK9,Calcs!$I$2:$I$37)-INDEX($BA$2:$BA$37,MATCH(CK9,$AZ$2:$AZ$37,0))</f>
        <v>18</v>
      </c>
      <c r="CL17" s="247">
        <f>SUMIF(Calcs!$A$2:$A$37,League!CL9,Calcs!$I$2:$I$37)-INDEX($BA$2:$BA$37,MATCH(CL9,$AZ$2:$AZ$37,0))</f>
        <v>15</v>
      </c>
      <c r="CM17" s="247">
        <f>SUMIF(Calcs!$A$2:$A$37,League!CM9,Calcs!$I$2:$I$37)-INDEX($BA$2:$BA$37,MATCH(CM9,$AZ$2:$AZ$37,0))</f>
        <v>6</v>
      </c>
      <c r="CN17" s="247">
        <f>SUMIF(Calcs!$A$2:$A$37,League!CN9,Calcs!$I$2:$I$37)-INDEX($BA$2:$BA$37,MATCH(CN9,$AZ$2:$AZ$37,0))</f>
        <v>6</v>
      </c>
      <c r="CO17" s="247">
        <f>SUMIF(Calcs!$A$2:$A$37,League!CO9,Calcs!$I$2:$I$37)-INDEX($BA$2:$BA$37,MATCH(CO9,$AZ$2:$AZ$37,0))</f>
        <v>8</v>
      </c>
      <c r="CP17" s="247">
        <f>SUMIF(Calcs!$A$2:$A$37,League!CP9,Calcs!$I$2:$I$37)-INDEX($BA$2:$BA$37,MATCH(CP9,$AZ$2:$AZ$37,0))</f>
        <v>4</v>
      </c>
      <c r="CQ17" s="247">
        <f>SUMIF(Calcs!$A$2:$A$37,League!CQ9,Calcs!$I$2:$I$37)-INDEX($BA$2:$BA$37,MATCH(CQ9,$AZ$2:$AZ$37,0))</f>
        <v>13</v>
      </c>
      <c r="CR17" s="247">
        <f>SUMIF(Calcs!$A$2:$A$37,League!CR9,Calcs!$I$2:$I$37)-INDEX($BA$2:$BA$37,MATCH(CR9,$AZ$2:$AZ$37,0))</f>
        <v>9</v>
      </c>
      <c r="CS17" s="256"/>
      <c r="CT17" s="256"/>
      <c r="CU17" s="256"/>
      <c r="CV17" s="227"/>
    </row>
    <row r="18" spans="1:100" ht="17.100000000000001" customHeight="1">
      <c r="A18" s="473">
        <v>1</v>
      </c>
      <c r="B18" s="474">
        <f>Horarios!C18</f>
        <v>45918.875</v>
      </c>
      <c r="C18" s="475">
        <f>Horarios!C18</f>
        <v>45918.875</v>
      </c>
      <c r="D18" s="192" t="s">
        <v>55</v>
      </c>
      <c r="E18" s="80" t="e" vm="18">
        <f>INDEX(TablaEquipos[Badge],MATCH(D18,TablaEquipos[Team],0))</f>
        <v>#VALUE!</v>
      </c>
      <c r="F18" s="103"/>
      <c r="G18" s="476">
        <v>1</v>
      </c>
      <c r="H18" s="477">
        <v>2</v>
      </c>
      <c r="I18" s="478"/>
      <c r="J18" s="81" t="e" vm="24">
        <f>INDEX(TablaEquipos[Badge],MATCH(K18,TablaEquipos[Team],0))</f>
        <v>#VALUE!</v>
      </c>
      <c r="K18" s="209" t="s">
        <v>56</v>
      </c>
      <c r="L18" s="97"/>
      <c r="M18" s="74"/>
      <c r="N18" s="92">
        <v>17</v>
      </c>
      <c r="O18" s="48" t="e" vm="34">
        <f>INDEX(TablaEquipos[],MATCH(P18,TablaEquipos[Team],0),MATCH($O$1,TablaEquipos[#Headers],0))</f>
        <v>#VALUE!</v>
      </c>
      <c r="P18" s="49" t="str">
        <f>IFERROR(INDEX(Calcs!A$2:A$37,MATCH($N18,Calcs!$CJ$2:$CJ$37,0)),"")</f>
        <v>Galatasaray</v>
      </c>
      <c r="Q18" s="50">
        <f>IFERROR(INDEX(Calcs!$B$2:$AB$37,MATCH($N18,Calcs!$CJ$2:$CJ$37,0),MATCH(Q$1,Calcs!$B$1:$AB$1,0)),"")</f>
        <v>10</v>
      </c>
      <c r="R18" s="51">
        <f>IFERROR(INDEX(Calcs!$B$2:$AB$37,MATCH($N18,Calcs!$CJ$2:$CJ$37,0),MATCH(R$1,Calcs!$B$1:$AB$1,0)),"")</f>
        <v>7</v>
      </c>
      <c r="S18" s="51">
        <f>IFERROR(INDEX(Calcs!$B$2:$AB$37,MATCH($N18,Calcs!$CJ$2:$CJ$37,0),MATCH(S$1,Calcs!$B$1:$AB$1,0)),"")</f>
        <v>3</v>
      </c>
      <c r="T18" s="51">
        <f>IFERROR(INDEX(Calcs!$B$2:$AB$37,MATCH($N18,Calcs!$CJ$2:$CJ$37,0),MATCH(T$1,Calcs!$B$1:$AB$1,0)),"")</f>
        <v>1</v>
      </c>
      <c r="U18" s="51">
        <f>IFERROR(INDEX(Calcs!$B$2:$AB$37,MATCH($N18,Calcs!$CJ$2:$CJ$37,0),MATCH(U$1,Calcs!$B$1:$AB$1,0)),"")</f>
        <v>3</v>
      </c>
      <c r="V18" s="51">
        <f>IFERROR(INDEX(Calcs!$B$2:$AB$37,MATCH($N18,Calcs!$CJ$2:$CJ$37,0),MATCH(V$1,Calcs!$B$1:$AB$1,0)),"")</f>
        <v>9</v>
      </c>
      <c r="W18" s="51">
        <f>IFERROR(INDEX(Calcs!$B$2:$AB$37,MATCH($N18,Calcs!$CJ$2:$CJ$37,0),MATCH(W$1,Calcs!$B$1:$AB$1,0)),"")</f>
        <v>9</v>
      </c>
      <c r="X18" s="52">
        <f>IFERROR(INDEX(Calcs!$B$2:$AB$37,MATCH($N18,Calcs!$CJ$2:$CJ$37,0),MATCH(X$1,Calcs!$B$1:$AB$1,0)),"")</f>
        <v>0</v>
      </c>
      <c r="Y18" s="50">
        <f>IFERROR(INDEX(Calcs!$B$2:$AB$37,MATCH($N18,Calcs!$CJ$2:$CJ$37,0),MATCH(Y$1,Calcs!$B$1:$AB$1,0)),"")</f>
        <v>7</v>
      </c>
      <c r="Z18" s="51">
        <f>IFERROR(INDEX(Calcs!$B$2:$AB$37,MATCH($N18,Calcs!$CJ$2:$CJ$37,0),MATCH(Z$1,Calcs!$B$1:$AB$1,0)),"")</f>
        <v>4</v>
      </c>
      <c r="AA18" s="51">
        <f>IFERROR(INDEX(Calcs!$B$2:$AB$37,MATCH($N18,Calcs!$CJ$2:$CJ$37,0),MATCH(AA$1,Calcs!$B$1:$AB$1,0)),"")</f>
        <v>2</v>
      </c>
      <c r="AB18" s="51">
        <f>IFERROR(INDEX(Calcs!$B$2:$AB$37,MATCH($N18,Calcs!$CJ$2:$CJ$37,0),MATCH(AB$1,Calcs!$B$1:$AB$1,0)),"")</f>
        <v>1</v>
      </c>
      <c r="AC18" s="51">
        <f>IFERROR(INDEX(Calcs!$B$2:$AB$37,MATCH($N18,Calcs!$CJ$2:$CJ$37,0),MATCH(AC$1,Calcs!$B$1:$AB$1,0)),"")</f>
        <v>1</v>
      </c>
      <c r="AD18" s="51">
        <f>IFERROR(INDEX(Calcs!$B$2:$AB$37,MATCH($N18,Calcs!$CJ$2:$CJ$37,0),MATCH(AD$1,Calcs!$B$1:$AB$1,0)),"")</f>
        <v>5</v>
      </c>
      <c r="AE18" s="51">
        <f>IFERROR(INDEX(Calcs!$B$2:$AB$37,MATCH($N18,Calcs!$CJ$2:$CJ$37,0),MATCH(AE$1,Calcs!$B$1:$AB$1,0)),"")</f>
        <v>3</v>
      </c>
      <c r="AF18" s="52">
        <f>IFERROR(INDEX(Calcs!$B$2:$AB$37,MATCH($N18,Calcs!$CJ$2:$CJ$37,0),MATCH(AF$1,Calcs!$B$1:$AB$1,0)),"")</f>
        <v>2</v>
      </c>
      <c r="AG18" s="50">
        <f>IFERROR(INDEX(Calcs!$B$2:$AB$37,MATCH($N18,Calcs!$CJ$2:$CJ$37,0),MATCH(AG$1,Calcs!$B$1:$AB$1,0)),"")</f>
        <v>3</v>
      </c>
      <c r="AH18" s="51">
        <f>IFERROR(INDEX(Calcs!$B$2:$AB$37,MATCH($N18,Calcs!$CJ$2:$CJ$37,0),MATCH(AH$1,Calcs!$B$1:$AB$1,0)),"")</f>
        <v>3</v>
      </c>
      <c r="AI18" s="51">
        <f>IFERROR(INDEX(Calcs!$B$2:$AB$37,MATCH($N18,Calcs!$CJ$2:$CJ$37,0),MATCH(AI$1,Calcs!$B$1:$AB$1,0)),"")</f>
        <v>1</v>
      </c>
      <c r="AJ18" s="51">
        <f>IFERROR(INDEX(Calcs!$B$2:$AB$37,MATCH($N18,Calcs!$CJ$2:$CJ$37,0),MATCH(AJ$1,Calcs!$B$1:$AB$1,0)),"")</f>
        <v>0</v>
      </c>
      <c r="AK18" s="51">
        <f>IFERROR(INDEX(Calcs!$B$2:$AB$37,MATCH($N18,Calcs!$CJ$2:$CJ$37,0),MATCH(AK$1,Calcs!$B$1:$AB$1,0)),"")</f>
        <v>2</v>
      </c>
      <c r="AL18" s="51">
        <f>IFERROR(INDEX(Calcs!$B$2:$AB$37,MATCH($N18,Calcs!$CJ$2:$CJ$37,0),MATCH(AL$1,Calcs!$B$1:$AB$1,0)),"")</f>
        <v>4</v>
      </c>
      <c r="AM18" s="51">
        <f>IFERROR(INDEX(Calcs!$B$2:$AB$37,MATCH($N18,Calcs!$CJ$2:$CJ$37,0),MATCH(AM$1,Calcs!$B$1:$AB$1,0)),"")</f>
        <v>6</v>
      </c>
      <c r="AN18" s="53">
        <f>IFERROR(INDEX(Calcs!$B$2:$AB$37,MATCH($N18,Calcs!$CJ$2:$CJ$37,0),MATCH(AN$1,Calcs!$B$1:$AB$1,0)),"")</f>
        <v>-2</v>
      </c>
      <c r="AO18" s="51">
        <f>IFERROR(INDEX(Calcs!$B$2:$AB$37,MATCH($N18,Calcs!$CJ$2:$CJ$37,0),MATCH(AO$1,Calcs!$B$1:$AB$1,0)),"")</f>
        <v>72</v>
      </c>
      <c r="AP18" s="51">
        <f>IFERROR(INDEX(Calcs!$B$2:$AB$37,MATCH($N18,Calcs!$CJ$2:$CJ$37,0),MATCH(AP$1,Calcs!$B$1:$AB$1,0)),"")</f>
        <v>-26</v>
      </c>
      <c r="AQ18" s="53">
        <f>IFERROR(INDEX(Calcs!$B$2:$AB$37,MATCH($N18,Calcs!$CJ$2:$CJ$37,0),MATCH(AQ$1,Calcs!$B$1:$AB$1,0)),"")</f>
        <v>87</v>
      </c>
      <c r="AR18" s="74"/>
      <c r="AS18" s="9" t="str">
        <f>INDEX(Calcs!A$2:A$37,MATCH($N18,Calcs!$CF$2:$CF$37,0))</f>
        <v>Galatasaray</v>
      </c>
      <c r="AT18" s="177"/>
      <c r="AU18" s="149">
        <f>INDEX(Calcs!$BZ$2:$BZ$37,MATCH($AS18,Calcs!$A$2:$A$37,0))</f>
        <v>17</v>
      </c>
      <c r="AV18" s="149">
        <f t="shared" si="1"/>
        <v>1</v>
      </c>
      <c r="AW18" s="149" t="str">
        <f t="shared" si="2"/>
        <v>17.1</v>
      </c>
      <c r="AX18" s="149"/>
      <c r="AY18" s="74"/>
      <c r="AZ18" s="70" t="str">
        <f>TablaEquipos[[#This Row],[Team]]</f>
        <v>Inter Milan</v>
      </c>
      <c r="BA18" s="178"/>
      <c r="BB18" s="74"/>
      <c r="BC18" s="74"/>
      <c r="BD18" s="74"/>
      <c r="BE18" s="74"/>
      <c r="BF18" s="247" t="str">
        <f t="shared" si="0"/>
        <v>Visitante</v>
      </c>
      <c r="BH18" s="257" t="s">
        <v>57</v>
      </c>
      <c r="BI18" s="258">
        <f>SUM(BI10:BI17)</f>
        <v>69</v>
      </c>
      <c r="BJ18" s="258">
        <f>SUM(BJ10:BJ17)</f>
        <v>70</v>
      </c>
      <c r="BK18" s="258">
        <f t="shared" ref="BK18:CR18" si="3">SUM(BK10:BK17)</f>
        <v>63</v>
      </c>
      <c r="BL18" s="258">
        <f t="shared" si="3"/>
        <v>97</v>
      </c>
      <c r="BM18" s="258">
        <f t="shared" si="3"/>
        <v>82</v>
      </c>
      <c r="BN18" s="258">
        <f t="shared" si="3"/>
        <v>69</v>
      </c>
      <c r="BO18" s="258">
        <f t="shared" si="3"/>
        <v>70</v>
      </c>
      <c r="BP18" s="258">
        <f t="shared" si="3"/>
        <v>87</v>
      </c>
      <c r="BQ18" s="258">
        <f t="shared" si="3"/>
        <v>86</v>
      </c>
      <c r="BR18" s="258">
        <f t="shared" si="3"/>
        <v>85</v>
      </c>
      <c r="BS18" s="258">
        <f t="shared" si="3"/>
        <v>74</v>
      </c>
      <c r="BT18" s="258">
        <f t="shared" si="3"/>
        <v>97</v>
      </c>
      <c r="BU18" s="258">
        <f t="shared" si="3"/>
        <v>80</v>
      </c>
      <c r="BV18" s="258">
        <f t="shared" si="3"/>
        <v>67</v>
      </c>
      <c r="BW18" s="258">
        <f t="shared" si="3"/>
        <v>96</v>
      </c>
      <c r="BX18" s="258">
        <f t="shared" si="3"/>
        <v>72</v>
      </c>
      <c r="BY18" s="258">
        <f t="shared" si="3"/>
        <v>76</v>
      </c>
      <c r="BZ18" s="258">
        <f t="shared" si="3"/>
        <v>67</v>
      </c>
      <c r="CA18" s="258">
        <f t="shared" si="3"/>
        <v>90</v>
      </c>
      <c r="CB18" s="258">
        <f t="shared" si="3"/>
        <v>81</v>
      </c>
      <c r="CC18" s="258">
        <f t="shared" si="3"/>
        <v>69</v>
      </c>
      <c r="CD18" s="258">
        <f t="shared" si="3"/>
        <v>88</v>
      </c>
      <c r="CE18" s="258">
        <f t="shared" si="3"/>
        <v>83</v>
      </c>
      <c r="CF18" s="258">
        <f t="shared" si="3"/>
        <v>75</v>
      </c>
      <c r="CG18" s="258">
        <f t="shared" si="3"/>
        <v>72</v>
      </c>
      <c r="CH18" s="258">
        <f t="shared" si="3"/>
        <v>79</v>
      </c>
      <c r="CI18" s="258">
        <f t="shared" si="3"/>
        <v>65</v>
      </c>
      <c r="CJ18" s="258">
        <f t="shared" si="3"/>
        <v>101</v>
      </c>
      <c r="CK18" s="258">
        <f t="shared" si="3"/>
        <v>90</v>
      </c>
      <c r="CL18" s="258">
        <f t="shared" si="3"/>
        <v>68</v>
      </c>
      <c r="CM18" s="258">
        <f t="shared" si="3"/>
        <v>73</v>
      </c>
      <c r="CN18" s="258">
        <f t="shared" si="3"/>
        <v>93</v>
      </c>
      <c r="CO18" s="258">
        <f t="shared" si="3"/>
        <v>76</v>
      </c>
      <c r="CP18" s="258">
        <f t="shared" si="3"/>
        <v>55</v>
      </c>
      <c r="CQ18" s="258">
        <f t="shared" si="3"/>
        <v>96</v>
      </c>
      <c r="CR18" s="258">
        <f t="shared" si="3"/>
        <v>79</v>
      </c>
      <c r="CS18" s="257"/>
      <c r="CT18" s="257"/>
      <c r="CU18" s="257"/>
      <c r="CV18" s="112"/>
    </row>
    <row r="19" spans="1:100" ht="17.100000000000001" customHeight="1" thickBot="1">
      <c r="A19" s="222">
        <v>1</v>
      </c>
      <c r="B19" s="468">
        <f>Horarios!C19</f>
        <v>45918.875</v>
      </c>
      <c r="C19" s="469">
        <f>Horarios!C19</f>
        <v>45918.875</v>
      </c>
      <c r="D19" s="191" t="s">
        <v>58</v>
      </c>
      <c r="E19" s="79" t="e" vm="25">
        <f>INDEX(TablaEquipos[Badge],MATCH(D19,TablaEquipos[Team],0))</f>
        <v>#VALUE!</v>
      </c>
      <c r="F19" s="102"/>
      <c r="G19" s="470">
        <v>4</v>
      </c>
      <c r="H19" s="471">
        <v>1</v>
      </c>
      <c r="I19" s="472"/>
      <c r="J19" s="82" t="e" vm="36">
        <f>INDEX(TablaEquipos[Badge],MATCH(K19,TablaEquipos[Team],0))</f>
        <v>#VALUE!</v>
      </c>
      <c r="K19" s="403" t="s">
        <v>59</v>
      </c>
      <c r="L19" s="97"/>
      <c r="M19" s="74"/>
      <c r="N19" s="92">
        <v>18</v>
      </c>
      <c r="O19" s="48" t="e" vm="12">
        <f>INDEX(TablaEquipos[],MATCH(P19,TablaEquipos[Team],0),MATCH($O$1,TablaEquipos[#Headers],0))</f>
        <v>#VALUE!</v>
      </c>
      <c r="P19" s="49" t="str">
        <f>IFERROR(INDEX(Calcs!A$2:A$37,MATCH($N19,Calcs!$CJ$2:$CJ$37,0)),"")</f>
        <v>Qarabağ</v>
      </c>
      <c r="Q19" s="50">
        <f>IFERROR(INDEX(Calcs!$B$2:$AB$37,MATCH($N19,Calcs!$CJ$2:$CJ$37,0),MATCH(Q$1,Calcs!$B$1:$AB$1,0)),"")</f>
        <v>10</v>
      </c>
      <c r="R19" s="51">
        <f>IFERROR(INDEX(Calcs!$B$2:$AB$37,MATCH($N19,Calcs!$CJ$2:$CJ$37,0),MATCH(R$1,Calcs!$B$1:$AB$1,0)),"")</f>
        <v>7</v>
      </c>
      <c r="S19" s="51">
        <f>IFERROR(INDEX(Calcs!$B$2:$AB$37,MATCH($N19,Calcs!$CJ$2:$CJ$37,0),MATCH(S$1,Calcs!$B$1:$AB$1,0)),"")</f>
        <v>3</v>
      </c>
      <c r="T19" s="51">
        <f>IFERROR(INDEX(Calcs!$B$2:$AB$37,MATCH($N19,Calcs!$CJ$2:$CJ$37,0),MATCH(T$1,Calcs!$B$1:$AB$1,0)),"")</f>
        <v>1</v>
      </c>
      <c r="U19" s="51">
        <f>IFERROR(INDEX(Calcs!$B$2:$AB$37,MATCH($N19,Calcs!$CJ$2:$CJ$37,0),MATCH(U$1,Calcs!$B$1:$AB$1,0)),"")</f>
        <v>3</v>
      </c>
      <c r="V19" s="51">
        <f>IFERROR(INDEX(Calcs!$B$2:$AB$37,MATCH($N19,Calcs!$CJ$2:$CJ$37,0),MATCH(V$1,Calcs!$B$1:$AB$1,0)),"")</f>
        <v>13</v>
      </c>
      <c r="W19" s="51">
        <f>IFERROR(INDEX(Calcs!$B$2:$AB$37,MATCH($N19,Calcs!$CJ$2:$CJ$37,0),MATCH(W$1,Calcs!$B$1:$AB$1,0)),"")</f>
        <v>15</v>
      </c>
      <c r="X19" s="52">
        <f>IFERROR(INDEX(Calcs!$B$2:$AB$37,MATCH($N19,Calcs!$CJ$2:$CJ$37,0),MATCH(X$1,Calcs!$B$1:$AB$1,0)),"")</f>
        <v>-2</v>
      </c>
      <c r="Y19" s="50">
        <f>IFERROR(INDEX(Calcs!$B$2:$AB$37,MATCH($N19,Calcs!$CJ$2:$CJ$37,0),MATCH(Y$1,Calcs!$B$1:$AB$1,0)),"")</f>
        <v>7</v>
      </c>
      <c r="Z19" s="51">
        <f>IFERROR(INDEX(Calcs!$B$2:$AB$37,MATCH($N19,Calcs!$CJ$2:$CJ$37,0),MATCH(Z$1,Calcs!$B$1:$AB$1,0)),"")</f>
        <v>4</v>
      </c>
      <c r="AA19" s="51">
        <f>IFERROR(INDEX(Calcs!$B$2:$AB$37,MATCH($N19,Calcs!$CJ$2:$CJ$37,0),MATCH(AA$1,Calcs!$B$1:$AB$1,0)),"")</f>
        <v>2</v>
      </c>
      <c r="AB19" s="51">
        <f>IFERROR(INDEX(Calcs!$B$2:$AB$37,MATCH($N19,Calcs!$CJ$2:$CJ$37,0),MATCH(AB$1,Calcs!$B$1:$AB$1,0)),"")</f>
        <v>1</v>
      </c>
      <c r="AC19" s="51">
        <f>IFERROR(INDEX(Calcs!$B$2:$AB$37,MATCH($N19,Calcs!$CJ$2:$CJ$37,0),MATCH(AC$1,Calcs!$B$1:$AB$1,0)),"")</f>
        <v>1</v>
      </c>
      <c r="AD19" s="51">
        <f>IFERROR(INDEX(Calcs!$B$2:$AB$37,MATCH($N19,Calcs!$CJ$2:$CJ$37,0),MATCH(AD$1,Calcs!$B$1:$AB$1,0)),"")</f>
        <v>9</v>
      </c>
      <c r="AE19" s="51">
        <f>IFERROR(INDEX(Calcs!$B$2:$AB$37,MATCH($N19,Calcs!$CJ$2:$CJ$37,0),MATCH(AE$1,Calcs!$B$1:$AB$1,0)),"")</f>
        <v>8</v>
      </c>
      <c r="AF19" s="52">
        <f>IFERROR(INDEX(Calcs!$B$2:$AB$37,MATCH($N19,Calcs!$CJ$2:$CJ$37,0),MATCH(AF$1,Calcs!$B$1:$AB$1,0)),"")</f>
        <v>1</v>
      </c>
      <c r="AG19" s="50">
        <f>IFERROR(INDEX(Calcs!$B$2:$AB$37,MATCH($N19,Calcs!$CJ$2:$CJ$37,0),MATCH(AG$1,Calcs!$B$1:$AB$1,0)),"")</f>
        <v>3</v>
      </c>
      <c r="AH19" s="51">
        <f>IFERROR(INDEX(Calcs!$B$2:$AB$37,MATCH($N19,Calcs!$CJ$2:$CJ$37,0),MATCH(AH$1,Calcs!$B$1:$AB$1,0)),"")</f>
        <v>3</v>
      </c>
      <c r="AI19" s="51">
        <f>IFERROR(INDEX(Calcs!$B$2:$AB$37,MATCH($N19,Calcs!$CJ$2:$CJ$37,0),MATCH(AI$1,Calcs!$B$1:$AB$1,0)),"")</f>
        <v>1</v>
      </c>
      <c r="AJ19" s="51">
        <f>IFERROR(INDEX(Calcs!$B$2:$AB$37,MATCH($N19,Calcs!$CJ$2:$CJ$37,0),MATCH(AJ$1,Calcs!$B$1:$AB$1,0)),"")</f>
        <v>0</v>
      </c>
      <c r="AK19" s="51">
        <f>IFERROR(INDEX(Calcs!$B$2:$AB$37,MATCH($N19,Calcs!$CJ$2:$CJ$37,0),MATCH(AK$1,Calcs!$B$1:$AB$1,0)),"")</f>
        <v>2</v>
      </c>
      <c r="AL19" s="51">
        <f>IFERROR(INDEX(Calcs!$B$2:$AB$37,MATCH($N19,Calcs!$CJ$2:$CJ$37,0),MATCH(AL$1,Calcs!$B$1:$AB$1,0)),"")</f>
        <v>4</v>
      </c>
      <c r="AM19" s="51">
        <f>IFERROR(INDEX(Calcs!$B$2:$AB$37,MATCH($N19,Calcs!$CJ$2:$CJ$37,0),MATCH(AM$1,Calcs!$B$1:$AB$1,0)),"")</f>
        <v>7</v>
      </c>
      <c r="AN19" s="53">
        <f>IFERROR(INDEX(Calcs!$B$2:$AB$37,MATCH($N19,Calcs!$CJ$2:$CJ$37,0),MATCH(AN$1,Calcs!$B$1:$AB$1,0)),"")</f>
        <v>-3</v>
      </c>
      <c r="AO19" s="51">
        <f>IFERROR(INDEX(Calcs!$B$2:$AB$37,MATCH($N19,Calcs!$CJ$2:$CJ$37,0),MATCH(AO$1,Calcs!$B$1:$AB$1,0)),"")</f>
        <v>68</v>
      </c>
      <c r="AP19" s="51">
        <f>IFERROR(INDEX(Calcs!$B$2:$AB$37,MATCH($N19,Calcs!$CJ$2:$CJ$37,0),MATCH(AP$1,Calcs!$B$1:$AB$1,0)),"")</f>
        <v>-28</v>
      </c>
      <c r="AQ19" s="53">
        <f>IFERROR(INDEX(Calcs!$B$2:$AB$37,MATCH($N19,Calcs!$CJ$2:$CJ$37,0),MATCH(AQ$1,Calcs!$B$1:$AB$1,0)),"")</f>
        <v>76</v>
      </c>
      <c r="AR19" s="74"/>
      <c r="AS19" s="9" t="str">
        <f>INDEX(Calcs!A$2:A$37,MATCH($N19,Calcs!$CF$2:$CF$37,0))</f>
        <v>Qarabağ</v>
      </c>
      <c r="AT19" s="177"/>
      <c r="AU19" s="149">
        <f>INDEX(Calcs!$BZ$2:$BZ$37,MATCH($AS19,Calcs!$A$2:$A$37,0))</f>
        <v>18</v>
      </c>
      <c r="AV19" s="149">
        <f t="shared" si="1"/>
        <v>1</v>
      </c>
      <c r="AW19" s="149" t="str">
        <f t="shared" si="2"/>
        <v>18.1</v>
      </c>
      <c r="AX19" s="149"/>
      <c r="AY19" s="74"/>
      <c r="AZ19" s="71" t="str">
        <f>TablaEquipos[[#This Row],[Team]]</f>
        <v>Juventus</v>
      </c>
      <c r="BA19" s="179"/>
      <c r="BB19" s="74"/>
      <c r="BC19" s="74"/>
      <c r="BD19" s="74"/>
      <c r="BE19" s="74"/>
      <c r="BF19" s="247" t="str">
        <f t="shared" si="0"/>
        <v>Local</v>
      </c>
      <c r="BH19" s="257" t="s">
        <v>60</v>
      </c>
      <c r="BI19" s="247">
        <f>SUMIF(Calcs!$A$2:$A$37,League!BI2,Calcs!$H$2:$H$37)</f>
        <v>6</v>
      </c>
      <c r="BJ19" s="247">
        <f>SUMIF(Calcs!$A$2:$A$37,League!BJ2,Calcs!$H$2:$H$37)</f>
        <v>-4</v>
      </c>
      <c r="BK19" s="247">
        <f>SUMIF(Calcs!$A$2:$A$37,League!BK2,Calcs!$H$2:$H$37)</f>
        <v>10</v>
      </c>
      <c r="BL19" s="247">
        <f>SUMIF(Calcs!$A$2:$A$37,League!BL2,Calcs!$H$2:$H$37)</f>
        <v>18</v>
      </c>
      <c r="BM19" s="247">
        <f>SUMIF(Calcs!$A$2:$A$37,League!BM2,Calcs!$H$2:$H$37)</f>
        <v>6</v>
      </c>
      <c r="BN19" s="247">
        <f>SUMIF(Calcs!$A$2:$A$37,League!BN2,Calcs!$H$2:$H$37)</f>
        <v>10</v>
      </c>
      <c r="BO19" s="247">
        <f>SUMIF(Calcs!$A$2:$A$37,League!BO2,Calcs!$H$2:$H$37)</f>
        <v>-6</v>
      </c>
      <c r="BP19" s="247">
        <f>SUMIF(Calcs!$A$2:$A$37,League!BP2,Calcs!$H$2:$H$37)</f>
        <v>6</v>
      </c>
      <c r="BQ19" s="247">
        <f>SUMIF(Calcs!$A$2:$A$37,League!BQ2,Calcs!$H$2:$H$37)</f>
        <v>-2</v>
      </c>
      <c r="BR19" s="247">
        <f>SUMIF(Calcs!$A$2:$A$37,League!BR2,Calcs!$H$2:$H$37)</f>
        <v>-11</v>
      </c>
      <c r="BS19" s="247">
        <f>SUMIF(Calcs!$A$2:$A$37,League!BS2,Calcs!$H$2:$H$37)</f>
        <v>4</v>
      </c>
      <c r="BT19" s="247">
        <f>SUMIF(Calcs!$A$2:$A$37,League!BT2,Calcs!$H$2:$H$37)</f>
        <v>-6</v>
      </c>
      <c r="BU19" s="247">
        <f>SUMIF(Calcs!$A$2:$A$37,League!BU2,Calcs!$H$2:$H$37)</f>
        <v>13</v>
      </c>
      <c r="BV19" s="247">
        <f>SUMIF(Calcs!$A$2:$A$37,League!BV2,Calcs!$H$2:$H$37)</f>
        <v>-4</v>
      </c>
      <c r="BW19" s="247">
        <f>SUMIF(Calcs!$A$2:$A$37,League!BW2,Calcs!$H$2:$H$37)</f>
        <v>0</v>
      </c>
      <c r="BX19" s="247">
        <f>SUMIF(Calcs!$A$2:$A$37,League!BX2,Calcs!$H$2:$H$37)</f>
        <v>-9</v>
      </c>
      <c r="BY19" s="247">
        <f>SUMIF(Calcs!$A$2:$A$37,League!BY2,Calcs!$H$2:$H$37)</f>
        <v>-12</v>
      </c>
      <c r="BZ19" s="247">
        <f>SUMIF(Calcs!$A$2:$A$37,League!BZ2,Calcs!$H$2:$H$37)</f>
        <v>4</v>
      </c>
      <c r="CA19" s="247">
        <f>SUMIF(Calcs!$A$2:$A$37,League!CA2,Calcs!$H$2:$H$37)</f>
        <v>5</v>
      </c>
      <c r="CB19" s="247">
        <f>SUMIF(Calcs!$A$2:$A$37,League!CB2,Calcs!$H$2:$H$37)</f>
        <v>3</v>
      </c>
      <c r="CC19" s="247">
        <f>SUMIF(Calcs!$A$2:$A$37,League!CC2,Calcs!$H$2:$H$37)</f>
        <v>-5</v>
      </c>
      <c r="CD19" s="247">
        <f>SUMIF(Calcs!$A$2:$A$37,League!CD2,Calcs!$H$2:$H$37)</f>
        <v>11</v>
      </c>
      <c r="CE19" s="247">
        <f>SUMIF(Calcs!$A$2:$A$37,League!CE2,Calcs!$H$2:$H$37)</f>
        <v>-5</v>
      </c>
      <c r="CF19" s="247">
        <f>SUMIF(Calcs!$A$2:$A$37,League!CF2,Calcs!$H$2:$H$37)</f>
        <v>4</v>
      </c>
      <c r="CG19" s="247">
        <f>SUMIF(Calcs!$A$2:$A$37,League!CG2,Calcs!$H$2:$H$37)</f>
        <v>5</v>
      </c>
      <c r="CH19" s="247">
        <f>SUMIF(Calcs!$A$2:$A$37,League!CH2,Calcs!$H$2:$H$37)</f>
        <v>-6</v>
      </c>
      <c r="CI19" s="247">
        <f>SUMIF(Calcs!$A$2:$A$37,League!CI2,Calcs!$H$2:$H$37)</f>
        <v>-5</v>
      </c>
      <c r="CJ19" s="247">
        <f>SUMIF(Calcs!$A$2:$A$37,League!CJ2,Calcs!$H$2:$H$37)</f>
        <v>1</v>
      </c>
      <c r="CK19" s="247">
        <f>SUMIF(Calcs!$A$2:$A$37,League!CK2,Calcs!$H$2:$H$37)</f>
        <v>-10</v>
      </c>
      <c r="CL19" s="247">
        <f>SUMIF(Calcs!$A$2:$A$37,League!CL2,Calcs!$H$2:$H$37)</f>
        <v>-4</v>
      </c>
      <c r="CM19" s="247">
        <f>SUMIF(Calcs!$A$2:$A$37,League!CM2,Calcs!$H$2:$H$37)</f>
        <v>0</v>
      </c>
      <c r="CN19" s="247">
        <f>SUMIF(Calcs!$A$2:$A$37,League!CN2,Calcs!$H$2:$H$37)</f>
        <v>-2</v>
      </c>
      <c r="CO19" s="247">
        <f>SUMIF(Calcs!$A$2:$A$37,League!CO2,Calcs!$H$2:$H$37)</f>
        <v>-14</v>
      </c>
      <c r="CP19" s="247">
        <f>SUMIF(Calcs!$A$2:$A$37,League!CP2,Calcs!$H$2:$H$37)</f>
        <v>-10</v>
      </c>
      <c r="CQ19" s="247">
        <f>SUMIF(Calcs!$A$2:$A$37,League!CQ2,Calcs!$H$2:$H$37)</f>
        <v>1</v>
      </c>
      <c r="CR19" s="247">
        <f>SUMIF(Calcs!$A$2:$A$37,League!CR2,Calcs!$H$2:$H$37)</f>
        <v>8</v>
      </c>
      <c r="CS19" s="256"/>
      <c r="CT19" s="256"/>
      <c r="CU19" s="256"/>
      <c r="CV19" s="227"/>
    </row>
    <row r="20" spans="1:100" ht="17.100000000000001" customHeight="1" thickBot="1">
      <c r="A20" s="242">
        <v>2</v>
      </c>
      <c r="B20" s="479">
        <f>Horarios!C20</f>
        <v>45930.78125</v>
      </c>
      <c r="C20" s="480">
        <f>Horarios!C20</f>
        <v>45930.78125</v>
      </c>
      <c r="D20" s="193" t="s">
        <v>46</v>
      </c>
      <c r="E20" s="25" t="e" vm="28">
        <f>INDEX(TablaEquipos[Badge],MATCH(D20,TablaEquipos[Team],0))</f>
        <v>#VALUE!</v>
      </c>
      <c r="F20" s="104"/>
      <c r="G20" s="481">
        <v>2</v>
      </c>
      <c r="H20" s="482">
        <v>1</v>
      </c>
      <c r="I20" s="483"/>
      <c r="J20" s="26" t="e" vm="29">
        <f>INDEX(TablaEquipos[Badge],MATCH(K20,TablaEquipos[Team],0))</f>
        <v>#VALUE!</v>
      </c>
      <c r="K20" s="210" t="s">
        <v>47</v>
      </c>
      <c r="L20" s="267" t="s">
        <v>61</v>
      </c>
      <c r="M20" s="264"/>
      <c r="N20" s="92">
        <v>19</v>
      </c>
      <c r="O20" s="48" t="e" vm="9">
        <f>INDEX(TablaEquipos[],MATCH(P20,TablaEquipos[Team],0),MATCH($O$1,TablaEquipos[#Headers],0))</f>
        <v>#VALUE!</v>
      </c>
      <c r="P20" s="49" t="str">
        <f>IFERROR(INDEX(Calcs!A$2:A$37,MATCH($N20,Calcs!$CJ$2:$CJ$37,0)),"")</f>
        <v>Marseille</v>
      </c>
      <c r="Q20" s="50">
        <f>IFERROR(INDEX(Calcs!$B$2:$AB$37,MATCH($N20,Calcs!$CJ$2:$CJ$37,0),MATCH(Q$1,Calcs!$B$1:$AB$1,0)),"")</f>
        <v>9</v>
      </c>
      <c r="R20" s="51">
        <f>IFERROR(INDEX(Calcs!$B$2:$AB$37,MATCH($N20,Calcs!$CJ$2:$CJ$37,0),MATCH(R$1,Calcs!$B$1:$AB$1,0)),"")</f>
        <v>7</v>
      </c>
      <c r="S20" s="51">
        <f>IFERROR(INDEX(Calcs!$B$2:$AB$37,MATCH($N20,Calcs!$CJ$2:$CJ$37,0),MATCH(S$1,Calcs!$B$1:$AB$1,0)),"")</f>
        <v>3</v>
      </c>
      <c r="T20" s="51">
        <f>IFERROR(INDEX(Calcs!$B$2:$AB$37,MATCH($N20,Calcs!$CJ$2:$CJ$37,0),MATCH(T$1,Calcs!$B$1:$AB$1,0)),"")</f>
        <v>0</v>
      </c>
      <c r="U20" s="51">
        <f>IFERROR(INDEX(Calcs!$B$2:$AB$37,MATCH($N20,Calcs!$CJ$2:$CJ$37,0),MATCH(U$1,Calcs!$B$1:$AB$1,0)),"")</f>
        <v>4</v>
      </c>
      <c r="V20" s="51">
        <f>IFERROR(INDEX(Calcs!$B$2:$AB$37,MATCH($N20,Calcs!$CJ$2:$CJ$37,0),MATCH(V$1,Calcs!$B$1:$AB$1,0)),"")</f>
        <v>11</v>
      </c>
      <c r="W20" s="51">
        <f>IFERROR(INDEX(Calcs!$B$2:$AB$37,MATCH($N20,Calcs!$CJ$2:$CJ$37,0),MATCH(W$1,Calcs!$B$1:$AB$1,0)),"")</f>
        <v>11</v>
      </c>
      <c r="X20" s="52">
        <f>IFERROR(INDEX(Calcs!$B$2:$AB$37,MATCH($N20,Calcs!$CJ$2:$CJ$37,0),MATCH(X$1,Calcs!$B$1:$AB$1,0)),"")</f>
        <v>0</v>
      </c>
      <c r="Y20" s="50">
        <f>IFERROR(INDEX(Calcs!$B$2:$AB$37,MATCH($N20,Calcs!$CJ$2:$CJ$37,0),MATCH(Y$1,Calcs!$B$1:$AB$1,0)),"")</f>
        <v>6</v>
      </c>
      <c r="Z20" s="51">
        <f>IFERROR(INDEX(Calcs!$B$2:$AB$37,MATCH($N20,Calcs!$CJ$2:$CJ$37,0),MATCH(Z$1,Calcs!$B$1:$AB$1,0)),"")</f>
        <v>4</v>
      </c>
      <c r="AA20" s="51">
        <f>IFERROR(INDEX(Calcs!$B$2:$AB$37,MATCH($N20,Calcs!$CJ$2:$CJ$37,0),MATCH(AA$1,Calcs!$B$1:$AB$1,0)),"")</f>
        <v>2</v>
      </c>
      <c r="AB20" s="51">
        <f>IFERROR(INDEX(Calcs!$B$2:$AB$37,MATCH($N20,Calcs!$CJ$2:$CJ$37,0),MATCH(AB$1,Calcs!$B$1:$AB$1,0)),"")</f>
        <v>0</v>
      </c>
      <c r="AC20" s="51">
        <f>IFERROR(INDEX(Calcs!$B$2:$AB$37,MATCH($N20,Calcs!$CJ$2:$CJ$37,0),MATCH(AC$1,Calcs!$B$1:$AB$1,0)),"")</f>
        <v>2</v>
      </c>
      <c r="AD20" s="51">
        <f>IFERROR(INDEX(Calcs!$B$2:$AB$37,MATCH($N20,Calcs!$CJ$2:$CJ$37,0),MATCH(AD$1,Calcs!$B$1:$AB$1,0)),"")</f>
        <v>6</v>
      </c>
      <c r="AE20" s="51">
        <f>IFERROR(INDEX(Calcs!$B$2:$AB$37,MATCH($N20,Calcs!$CJ$2:$CJ$37,0),MATCH(AE$1,Calcs!$B$1:$AB$1,0)),"")</f>
        <v>5</v>
      </c>
      <c r="AF20" s="52">
        <f>IFERROR(INDEX(Calcs!$B$2:$AB$37,MATCH($N20,Calcs!$CJ$2:$CJ$37,0),MATCH(AF$1,Calcs!$B$1:$AB$1,0)),"")</f>
        <v>1</v>
      </c>
      <c r="AG20" s="50">
        <f>IFERROR(INDEX(Calcs!$B$2:$AB$37,MATCH($N20,Calcs!$CJ$2:$CJ$37,0),MATCH(AG$1,Calcs!$B$1:$AB$1,0)),"")</f>
        <v>3</v>
      </c>
      <c r="AH20" s="51">
        <f>IFERROR(INDEX(Calcs!$B$2:$AB$37,MATCH($N20,Calcs!$CJ$2:$CJ$37,0),MATCH(AH$1,Calcs!$B$1:$AB$1,0)),"")</f>
        <v>3</v>
      </c>
      <c r="AI20" s="51">
        <f>IFERROR(INDEX(Calcs!$B$2:$AB$37,MATCH($N20,Calcs!$CJ$2:$CJ$37,0),MATCH(AI$1,Calcs!$B$1:$AB$1,0)),"")</f>
        <v>1</v>
      </c>
      <c r="AJ20" s="51">
        <f>IFERROR(INDEX(Calcs!$B$2:$AB$37,MATCH($N20,Calcs!$CJ$2:$CJ$37,0),MATCH(AJ$1,Calcs!$B$1:$AB$1,0)),"")</f>
        <v>0</v>
      </c>
      <c r="AK20" s="51">
        <f>IFERROR(INDEX(Calcs!$B$2:$AB$37,MATCH($N20,Calcs!$CJ$2:$CJ$37,0),MATCH(AK$1,Calcs!$B$1:$AB$1,0)),"")</f>
        <v>2</v>
      </c>
      <c r="AL20" s="51">
        <f>IFERROR(INDEX(Calcs!$B$2:$AB$37,MATCH($N20,Calcs!$CJ$2:$CJ$37,0),MATCH(AL$1,Calcs!$B$1:$AB$1,0)),"")</f>
        <v>5</v>
      </c>
      <c r="AM20" s="51">
        <f>IFERROR(INDEX(Calcs!$B$2:$AB$37,MATCH($N20,Calcs!$CJ$2:$CJ$37,0),MATCH(AM$1,Calcs!$B$1:$AB$1,0)),"")</f>
        <v>6</v>
      </c>
      <c r="AN20" s="53">
        <f>IFERROR(INDEX(Calcs!$B$2:$AB$37,MATCH($N20,Calcs!$CJ$2:$CJ$37,0),MATCH(AN$1,Calcs!$B$1:$AB$1,0)),"")</f>
        <v>-1</v>
      </c>
      <c r="AO20" s="51">
        <f>IFERROR(INDEX(Calcs!$B$2:$AB$37,MATCH($N20,Calcs!$CJ$2:$CJ$37,0),MATCH(AO$1,Calcs!$B$1:$AB$1,0)),"")</f>
        <v>88</v>
      </c>
      <c r="AP20" s="51">
        <f>IFERROR(INDEX(Calcs!$B$2:$AB$37,MATCH($N20,Calcs!$CJ$2:$CJ$37,0),MATCH(AP$1,Calcs!$B$1:$AB$1,0)),"")</f>
        <v>6</v>
      </c>
      <c r="AQ20" s="53">
        <f>IFERROR(INDEX(Calcs!$B$2:$AB$37,MATCH($N20,Calcs!$CJ$2:$CJ$37,0),MATCH(AQ$1,Calcs!$B$1:$AB$1,0)),"")</f>
        <v>99</v>
      </c>
      <c r="AR20" s="74"/>
      <c r="AS20" s="9" t="str">
        <f>INDEX(Calcs!A$2:A$37,MATCH($N20,Calcs!$CF$2:$CF$37,0))</f>
        <v>Marseille</v>
      </c>
      <c r="AT20" s="177"/>
      <c r="AU20" s="149">
        <f>INDEX(Calcs!$BZ$2:$BZ$37,MATCH($AS20,Calcs!$A$2:$A$37,0))</f>
        <v>19</v>
      </c>
      <c r="AV20" s="149">
        <f t="shared" si="1"/>
        <v>1</v>
      </c>
      <c r="AW20" s="149" t="str">
        <f t="shared" si="2"/>
        <v>19.1</v>
      </c>
      <c r="AX20" s="149"/>
      <c r="AY20" s="74"/>
      <c r="AZ20" s="70" t="str">
        <f>TablaEquipos[[#This Row],[Team]]</f>
        <v>Kairat Almaty </v>
      </c>
      <c r="BA20" s="178"/>
      <c r="BB20" s="74"/>
      <c r="BC20" s="74"/>
      <c r="BD20" s="74"/>
      <c r="BE20" s="74"/>
      <c r="BF20" s="247" t="str">
        <f t="shared" si="0"/>
        <v>Local</v>
      </c>
      <c r="BI20" s="247">
        <f>SUMIF(Calcs!$A$2:$A$37,League!BI3,Calcs!$H$2:$H$37)</f>
        <v>0</v>
      </c>
      <c r="BJ20" s="247">
        <f>SUMIF(Calcs!$A$2:$A$37,League!BJ3,Calcs!$H$2:$H$37)</f>
        <v>-5</v>
      </c>
      <c r="BK20" s="247">
        <f>SUMIF(Calcs!$A$2:$A$37,League!BK3,Calcs!$H$2:$H$37)</f>
        <v>-5</v>
      </c>
      <c r="BL20" s="247">
        <f>SUMIF(Calcs!$A$2:$A$37,League!BL3,Calcs!$H$2:$H$37)</f>
        <v>4</v>
      </c>
      <c r="BM20" s="247">
        <f>SUMIF(Calcs!$A$2:$A$37,League!BM3,Calcs!$H$2:$H$37)</f>
        <v>-9</v>
      </c>
      <c r="BN20" s="247">
        <f>SUMIF(Calcs!$A$2:$A$37,League!BN3,Calcs!$H$2:$H$37)</f>
        <v>10</v>
      </c>
      <c r="BO20" s="247">
        <f>SUMIF(Calcs!$A$2:$A$37,League!BO3,Calcs!$H$2:$H$37)</f>
        <v>1</v>
      </c>
      <c r="BP20" s="247">
        <f>SUMIF(Calcs!$A$2:$A$37,League!BP3,Calcs!$H$2:$H$37)</f>
        <v>-6</v>
      </c>
      <c r="BQ20" s="247">
        <f>SUMIF(Calcs!$A$2:$A$37,League!BQ3,Calcs!$H$2:$H$37)</f>
        <v>6</v>
      </c>
      <c r="BR20" s="247">
        <f>SUMIF(Calcs!$A$2:$A$37,League!BR3,Calcs!$H$2:$H$37)</f>
        <v>8</v>
      </c>
      <c r="BS20" s="247">
        <f>SUMIF(Calcs!$A$2:$A$37,League!BS3,Calcs!$H$2:$H$37)</f>
        <v>-4</v>
      </c>
      <c r="BT20" s="247">
        <f>SUMIF(Calcs!$A$2:$A$37,League!BT3,Calcs!$H$2:$H$37)</f>
        <v>1</v>
      </c>
      <c r="BU20" s="247">
        <f>SUMIF(Calcs!$A$2:$A$37,League!BU3,Calcs!$H$2:$H$37)</f>
        <v>-4</v>
      </c>
      <c r="BV20" s="247">
        <f>SUMIF(Calcs!$A$2:$A$37,League!BV3,Calcs!$H$2:$H$37)</f>
        <v>-2</v>
      </c>
      <c r="BW20" s="247">
        <f>SUMIF(Calcs!$A$2:$A$37,League!BW3,Calcs!$H$2:$H$37)</f>
        <v>3</v>
      </c>
      <c r="BX20" s="247">
        <f>SUMIF(Calcs!$A$2:$A$37,League!BX3,Calcs!$H$2:$H$37)</f>
        <v>6</v>
      </c>
      <c r="BY20" s="247">
        <f>SUMIF(Calcs!$A$2:$A$37,League!BY3,Calcs!$H$2:$H$37)</f>
        <v>-11</v>
      </c>
      <c r="BZ20" s="247">
        <f>SUMIF(Calcs!$A$2:$A$37,League!BZ3,Calcs!$H$2:$H$37)</f>
        <v>-10</v>
      </c>
      <c r="CA20" s="247">
        <f>SUMIF(Calcs!$A$2:$A$37,League!CA3,Calcs!$H$2:$H$37)</f>
        <v>11</v>
      </c>
      <c r="CB20" s="247">
        <f>SUMIF(Calcs!$A$2:$A$37,League!CB3,Calcs!$H$2:$H$37)</f>
        <v>0</v>
      </c>
      <c r="CC20" s="247">
        <f>SUMIF(Calcs!$A$2:$A$37,League!CC3,Calcs!$H$2:$H$37)</f>
        <v>-6</v>
      </c>
      <c r="CD20" s="247">
        <f>SUMIF(Calcs!$A$2:$A$37,League!CD3,Calcs!$H$2:$H$37)</f>
        <v>-12</v>
      </c>
      <c r="CE20" s="247">
        <f>SUMIF(Calcs!$A$2:$A$37,League!CE3,Calcs!$H$2:$H$37)</f>
        <v>4</v>
      </c>
      <c r="CF20" s="247">
        <f>SUMIF(Calcs!$A$2:$A$37,League!CF3,Calcs!$H$2:$H$37)</f>
        <v>5</v>
      </c>
      <c r="CG20" s="247">
        <f>SUMIF(Calcs!$A$2:$A$37,League!CG3,Calcs!$H$2:$H$37)</f>
        <v>-10</v>
      </c>
      <c r="CH20" s="247">
        <f>SUMIF(Calcs!$A$2:$A$37,League!CH3,Calcs!$H$2:$H$37)</f>
        <v>18</v>
      </c>
      <c r="CI20" s="247">
        <f>SUMIF(Calcs!$A$2:$A$37,League!CI3,Calcs!$H$2:$H$37)</f>
        <v>13</v>
      </c>
      <c r="CJ20" s="247">
        <f>SUMIF(Calcs!$A$2:$A$37,League!CJ3,Calcs!$H$2:$H$37)</f>
        <v>5</v>
      </c>
      <c r="CK20" s="247">
        <f>SUMIF(Calcs!$A$2:$A$37,League!CK3,Calcs!$H$2:$H$37)</f>
        <v>-4</v>
      </c>
      <c r="CL20" s="247">
        <f>SUMIF(Calcs!$A$2:$A$37,League!CL3,Calcs!$H$2:$H$37)</f>
        <v>-6</v>
      </c>
      <c r="CM20" s="247">
        <f>SUMIF(Calcs!$A$2:$A$37,League!CM3,Calcs!$H$2:$H$37)</f>
        <v>-14</v>
      </c>
      <c r="CN20" s="247">
        <f>SUMIF(Calcs!$A$2:$A$37,League!CN3,Calcs!$H$2:$H$37)</f>
        <v>6</v>
      </c>
      <c r="CO20" s="247">
        <f>SUMIF(Calcs!$A$2:$A$37,League!CO3,Calcs!$H$2:$H$37)</f>
        <v>-5</v>
      </c>
      <c r="CP20" s="247">
        <f>SUMIF(Calcs!$A$2:$A$37,League!CP3,Calcs!$H$2:$H$37)</f>
        <v>-2</v>
      </c>
      <c r="CQ20" s="247">
        <f>SUMIF(Calcs!$A$2:$A$37,League!CQ3,Calcs!$H$2:$H$37)</f>
        <v>10</v>
      </c>
      <c r="CR20" s="247">
        <f>SUMIF(Calcs!$A$2:$A$37,League!CR3,Calcs!$H$2:$H$37)</f>
        <v>4</v>
      </c>
      <c r="CS20" s="256"/>
      <c r="CT20" s="256"/>
      <c r="CU20" s="256"/>
      <c r="CV20" s="227"/>
    </row>
    <row r="21" spans="1:100" ht="17.100000000000001" customHeight="1">
      <c r="A21" s="484">
        <v>2</v>
      </c>
      <c r="B21" s="479">
        <f>Horarios!C21</f>
        <v>45930.78125</v>
      </c>
      <c r="C21" s="480">
        <f>Horarios!C21</f>
        <v>45930.78125</v>
      </c>
      <c r="D21" s="193" t="s">
        <v>59</v>
      </c>
      <c r="E21" s="25" t="e" vm="36">
        <f>INDEX(TablaEquipos[Badge],MATCH(D21,TablaEquipos[Team],0))</f>
        <v>#VALUE!</v>
      </c>
      <c r="F21" s="26"/>
      <c r="G21" s="481">
        <v>0</v>
      </c>
      <c r="H21" s="485">
        <v>5</v>
      </c>
      <c r="I21" s="483"/>
      <c r="J21" s="26" t="e" vm="8">
        <f>INDEX(TablaEquipos[Badge],MATCH(K21,TablaEquipos[Team],0))</f>
        <v>#VALUE!</v>
      </c>
      <c r="K21" s="210" t="s">
        <v>28</v>
      </c>
      <c r="L21" s="97"/>
      <c r="M21" s="74"/>
      <c r="N21" s="92">
        <v>20</v>
      </c>
      <c r="O21" s="48" t="e" vm="32">
        <f>INDEX(TablaEquipos[],MATCH(P21,TablaEquipos[Team],0),MATCH($O$1,TablaEquipos[#Headers],0))</f>
        <v>#VALUE!</v>
      </c>
      <c r="P21" s="49" t="str">
        <f>IFERROR(INDEX(Calcs!A$2:A$37,MATCH($N21,Calcs!$CJ$2:$CJ$37,0)),"")</f>
        <v>Bayer Leverkusen</v>
      </c>
      <c r="Q21" s="50">
        <f>IFERROR(INDEX(Calcs!$B$2:$AB$37,MATCH($N21,Calcs!$CJ$2:$CJ$37,0),MATCH(Q$1,Calcs!$B$1:$AB$1,0)),"")</f>
        <v>9</v>
      </c>
      <c r="R21" s="51">
        <f>IFERROR(INDEX(Calcs!$B$2:$AB$37,MATCH($N21,Calcs!$CJ$2:$CJ$37,0),MATCH(R$1,Calcs!$B$1:$AB$1,0)),"")</f>
        <v>7</v>
      </c>
      <c r="S21" s="51">
        <f>IFERROR(INDEX(Calcs!$B$2:$AB$37,MATCH($N21,Calcs!$CJ$2:$CJ$37,0),MATCH(S$1,Calcs!$B$1:$AB$1,0)),"")</f>
        <v>2</v>
      </c>
      <c r="T21" s="51">
        <f>IFERROR(INDEX(Calcs!$B$2:$AB$37,MATCH($N21,Calcs!$CJ$2:$CJ$37,0),MATCH(T$1,Calcs!$B$1:$AB$1,0)),"")</f>
        <v>3</v>
      </c>
      <c r="U21" s="51">
        <f>IFERROR(INDEX(Calcs!$B$2:$AB$37,MATCH($N21,Calcs!$CJ$2:$CJ$37,0),MATCH(U$1,Calcs!$B$1:$AB$1,0)),"")</f>
        <v>2</v>
      </c>
      <c r="V21" s="51">
        <f>IFERROR(INDEX(Calcs!$B$2:$AB$37,MATCH($N21,Calcs!$CJ$2:$CJ$37,0),MATCH(V$1,Calcs!$B$1:$AB$1,0)),"")</f>
        <v>10</v>
      </c>
      <c r="W21" s="51">
        <f>IFERROR(INDEX(Calcs!$B$2:$AB$37,MATCH($N21,Calcs!$CJ$2:$CJ$37,0),MATCH(W$1,Calcs!$B$1:$AB$1,0)),"")</f>
        <v>14</v>
      </c>
      <c r="X21" s="52">
        <f>IFERROR(INDEX(Calcs!$B$2:$AB$37,MATCH($N21,Calcs!$CJ$2:$CJ$37,0),MATCH(X$1,Calcs!$B$1:$AB$1,0)),"")</f>
        <v>-4</v>
      </c>
      <c r="Y21" s="50">
        <f>IFERROR(INDEX(Calcs!$B$2:$AB$37,MATCH($N21,Calcs!$CJ$2:$CJ$37,0),MATCH(Y$1,Calcs!$B$1:$AB$1,0)),"")</f>
        <v>2</v>
      </c>
      <c r="Z21" s="51">
        <f>IFERROR(INDEX(Calcs!$B$2:$AB$37,MATCH($N21,Calcs!$CJ$2:$CJ$37,0),MATCH(Z$1,Calcs!$B$1:$AB$1,0)),"")</f>
        <v>3</v>
      </c>
      <c r="AA21" s="51">
        <f>IFERROR(INDEX(Calcs!$B$2:$AB$37,MATCH($N21,Calcs!$CJ$2:$CJ$37,0),MATCH(AA$1,Calcs!$B$1:$AB$1,0)),"")</f>
        <v>0</v>
      </c>
      <c r="AB21" s="51">
        <f>IFERROR(INDEX(Calcs!$B$2:$AB$37,MATCH($N21,Calcs!$CJ$2:$CJ$37,0),MATCH(AB$1,Calcs!$B$1:$AB$1,0)),"")</f>
        <v>2</v>
      </c>
      <c r="AC21" s="51">
        <f>IFERROR(INDEX(Calcs!$B$2:$AB$37,MATCH($N21,Calcs!$CJ$2:$CJ$37,0),MATCH(AC$1,Calcs!$B$1:$AB$1,0)),"")</f>
        <v>1</v>
      </c>
      <c r="AD21" s="51">
        <f>IFERROR(INDEX(Calcs!$B$2:$AB$37,MATCH($N21,Calcs!$CJ$2:$CJ$37,0),MATCH(AD$1,Calcs!$B$1:$AB$1,0)),"")</f>
        <v>5</v>
      </c>
      <c r="AE21" s="51">
        <f>IFERROR(INDEX(Calcs!$B$2:$AB$37,MATCH($N21,Calcs!$CJ$2:$CJ$37,0),MATCH(AE$1,Calcs!$B$1:$AB$1,0)),"")</f>
        <v>10</v>
      </c>
      <c r="AF21" s="52">
        <f>IFERROR(INDEX(Calcs!$B$2:$AB$37,MATCH($N21,Calcs!$CJ$2:$CJ$37,0),MATCH(AF$1,Calcs!$B$1:$AB$1,0)),"")</f>
        <v>-5</v>
      </c>
      <c r="AG21" s="50">
        <f>IFERROR(INDEX(Calcs!$B$2:$AB$37,MATCH($N21,Calcs!$CJ$2:$CJ$37,0),MATCH(AG$1,Calcs!$B$1:$AB$1,0)),"")</f>
        <v>7</v>
      </c>
      <c r="AH21" s="51">
        <f>IFERROR(INDEX(Calcs!$B$2:$AB$37,MATCH($N21,Calcs!$CJ$2:$CJ$37,0),MATCH(AH$1,Calcs!$B$1:$AB$1,0)),"")</f>
        <v>4</v>
      </c>
      <c r="AI21" s="51">
        <f>IFERROR(INDEX(Calcs!$B$2:$AB$37,MATCH($N21,Calcs!$CJ$2:$CJ$37,0),MATCH(AI$1,Calcs!$B$1:$AB$1,0)),"")</f>
        <v>2</v>
      </c>
      <c r="AJ21" s="51">
        <f>IFERROR(INDEX(Calcs!$B$2:$AB$37,MATCH($N21,Calcs!$CJ$2:$CJ$37,0),MATCH(AJ$1,Calcs!$B$1:$AB$1,0)),"")</f>
        <v>1</v>
      </c>
      <c r="AK21" s="51">
        <f>IFERROR(INDEX(Calcs!$B$2:$AB$37,MATCH($N21,Calcs!$CJ$2:$CJ$37,0),MATCH(AK$1,Calcs!$B$1:$AB$1,0)),"")</f>
        <v>1</v>
      </c>
      <c r="AL21" s="51">
        <f>IFERROR(INDEX(Calcs!$B$2:$AB$37,MATCH($N21,Calcs!$CJ$2:$CJ$37,0),MATCH(AL$1,Calcs!$B$1:$AB$1,0)),"")</f>
        <v>5</v>
      </c>
      <c r="AM21" s="51">
        <f>IFERROR(INDEX(Calcs!$B$2:$AB$37,MATCH($N21,Calcs!$CJ$2:$CJ$37,0),MATCH(AM$1,Calcs!$B$1:$AB$1,0)),"")</f>
        <v>4</v>
      </c>
      <c r="AN21" s="53">
        <f>IFERROR(INDEX(Calcs!$B$2:$AB$37,MATCH($N21,Calcs!$CJ$2:$CJ$37,0),MATCH(AN$1,Calcs!$B$1:$AB$1,0)),"")</f>
        <v>1</v>
      </c>
      <c r="AO21" s="51">
        <f>IFERROR(INDEX(Calcs!$B$2:$AB$37,MATCH($N21,Calcs!$CJ$2:$CJ$37,0),MATCH(AO$1,Calcs!$B$1:$AB$1,0)),"")</f>
        <v>70</v>
      </c>
      <c r="AP21" s="51">
        <f>IFERROR(INDEX(Calcs!$B$2:$AB$37,MATCH($N21,Calcs!$CJ$2:$CJ$37,0),MATCH(AP$1,Calcs!$B$1:$AB$1,0)),"")</f>
        <v>0</v>
      </c>
      <c r="AQ21" s="53">
        <f>IFERROR(INDEX(Calcs!$B$2:$AB$37,MATCH($N21,Calcs!$CJ$2:$CJ$37,0),MATCH(AQ$1,Calcs!$B$1:$AB$1,0)),"")</f>
        <v>94</v>
      </c>
      <c r="AR21" s="74"/>
      <c r="AS21" s="9" t="str">
        <f>INDEX(Calcs!A$2:A$37,MATCH($N21,Calcs!$CF$2:$CF$37,0))</f>
        <v>Bayer Leverkusen</v>
      </c>
      <c r="AT21" s="177"/>
      <c r="AU21" s="149">
        <f>INDEX(Calcs!$BZ$2:$BZ$37,MATCH($AS21,Calcs!$A$2:$A$37,0))</f>
        <v>20</v>
      </c>
      <c r="AV21" s="149">
        <f t="shared" si="1"/>
        <v>1</v>
      </c>
      <c r="AW21" s="149" t="str">
        <f t="shared" si="2"/>
        <v>20.1</v>
      </c>
      <c r="AX21" s="149"/>
      <c r="AY21" s="74"/>
      <c r="AZ21" s="71" t="str">
        <f>TablaEquipos[[#This Row],[Team]]</f>
        <v>Liverpool</v>
      </c>
      <c r="BA21" s="179"/>
      <c r="BB21" s="74"/>
      <c r="BC21" s="74"/>
      <c r="BD21" s="74"/>
      <c r="BE21" s="74"/>
      <c r="BF21" s="247" t="str">
        <f t="shared" si="0"/>
        <v>Visitante</v>
      </c>
      <c r="BI21" s="247">
        <f>SUMIF(Calcs!$A$2:$A$37,League!BI4,Calcs!$H$2:$H$37)</f>
        <v>6</v>
      </c>
      <c r="BJ21" s="247">
        <f>SUMIF(Calcs!$A$2:$A$37,League!BJ4,Calcs!$H$2:$H$37)</f>
        <v>3</v>
      </c>
      <c r="BK21" s="247">
        <f>SUMIF(Calcs!$A$2:$A$37,League!BK4,Calcs!$H$2:$H$37)</f>
        <v>-11</v>
      </c>
      <c r="BL21" s="247">
        <f>SUMIF(Calcs!$A$2:$A$37,League!BL4,Calcs!$H$2:$H$37)</f>
        <v>-2</v>
      </c>
      <c r="BM21" s="247">
        <f>SUMIF(Calcs!$A$2:$A$37,League!BM4,Calcs!$H$2:$H$37)</f>
        <v>18</v>
      </c>
      <c r="BN21" s="247">
        <f>SUMIF(Calcs!$A$2:$A$37,League!BN4,Calcs!$H$2:$H$37)</f>
        <v>-5</v>
      </c>
      <c r="BO21" s="247">
        <f>SUMIF(Calcs!$A$2:$A$37,League!BO4,Calcs!$H$2:$H$37)</f>
        <v>10</v>
      </c>
      <c r="BP21" s="247">
        <f>SUMIF(Calcs!$A$2:$A$37,League!BP4,Calcs!$H$2:$H$37)</f>
        <v>-5</v>
      </c>
      <c r="BQ21" s="247">
        <f>SUMIF(Calcs!$A$2:$A$37,League!BQ4,Calcs!$H$2:$H$37)</f>
        <v>10</v>
      </c>
      <c r="BR21" s="247">
        <f>SUMIF(Calcs!$A$2:$A$37,League!BR4,Calcs!$H$2:$H$37)</f>
        <v>0</v>
      </c>
      <c r="BS21" s="247">
        <f>SUMIF(Calcs!$A$2:$A$37,League!BS4,Calcs!$H$2:$H$37)</f>
        <v>-6</v>
      </c>
      <c r="BT21" s="247">
        <f>SUMIF(Calcs!$A$2:$A$37,League!BT4,Calcs!$H$2:$H$37)</f>
        <v>13</v>
      </c>
      <c r="BU21" s="247">
        <f>SUMIF(Calcs!$A$2:$A$37,League!BU4,Calcs!$H$2:$H$37)</f>
        <v>-12</v>
      </c>
      <c r="BV21" s="247">
        <f>SUMIF(Calcs!$A$2:$A$37,League!BV4,Calcs!$H$2:$H$37)</f>
        <v>4</v>
      </c>
      <c r="BW21" s="247">
        <f>SUMIF(Calcs!$A$2:$A$37,League!BW4,Calcs!$H$2:$H$37)</f>
        <v>6</v>
      </c>
      <c r="BX21" s="247">
        <f>SUMIF(Calcs!$A$2:$A$37,League!BX4,Calcs!$H$2:$H$37)</f>
        <v>-2</v>
      </c>
      <c r="BY21" s="247">
        <f>SUMIF(Calcs!$A$2:$A$37,League!BY4,Calcs!$H$2:$H$37)</f>
        <v>-10</v>
      </c>
      <c r="BZ21" s="247">
        <f>SUMIF(Calcs!$A$2:$A$37,League!BZ4,Calcs!$H$2:$H$37)</f>
        <v>11</v>
      </c>
      <c r="CA21" s="247">
        <f>SUMIF(Calcs!$A$2:$A$37,League!CA4,Calcs!$H$2:$H$37)</f>
        <v>-6</v>
      </c>
      <c r="CB21" s="247">
        <f>SUMIF(Calcs!$A$2:$A$37,League!CB4,Calcs!$H$2:$H$37)</f>
        <v>-9</v>
      </c>
      <c r="CC21" s="247">
        <f>SUMIF(Calcs!$A$2:$A$37,League!CC4,Calcs!$H$2:$H$37)</f>
        <v>-10</v>
      </c>
      <c r="CD21" s="247">
        <f>SUMIF(Calcs!$A$2:$A$37,League!CD4,Calcs!$H$2:$H$37)</f>
        <v>5</v>
      </c>
      <c r="CE21" s="247">
        <f>SUMIF(Calcs!$A$2:$A$37,League!CE4,Calcs!$H$2:$H$37)</f>
        <v>8</v>
      </c>
      <c r="CF21" s="247">
        <f>SUMIF(Calcs!$A$2:$A$37,League!CF4,Calcs!$H$2:$H$37)</f>
        <v>1</v>
      </c>
      <c r="CG21" s="247">
        <f>SUMIF(Calcs!$A$2:$A$37,League!CG4,Calcs!$H$2:$H$37)</f>
        <v>-4</v>
      </c>
      <c r="CH21" s="247">
        <f>SUMIF(Calcs!$A$2:$A$37,League!CH4,Calcs!$H$2:$H$37)</f>
        <v>5</v>
      </c>
      <c r="CI21" s="247">
        <f>SUMIF(Calcs!$A$2:$A$37,League!CI4,Calcs!$H$2:$H$37)</f>
        <v>-14</v>
      </c>
      <c r="CJ21" s="247">
        <f>SUMIF(Calcs!$A$2:$A$37,League!CJ4,Calcs!$H$2:$H$37)</f>
        <v>-4</v>
      </c>
      <c r="CK21" s="247">
        <f>SUMIF(Calcs!$A$2:$A$37,League!CK4,Calcs!$H$2:$H$37)</f>
        <v>-5</v>
      </c>
      <c r="CL21" s="247">
        <f>SUMIF(Calcs!$A$2:$A$37,League!CL4,Calcs!$H$2:$H$37)</f>
        <v>-4</v>
      </c>
      <c r="CM21" s="247">
        <f>SUMIF(Calcs!$A$2:$A$37,League!CM4,Calcs!$H$2:$H$37)</f>
        <v>4</v>
      </c>
      <c r="CN21" s="247">
        <f>SUMIF(Calcs!$A$2:$A$37,League!CN4,Calcs!$H$2:$H$37)</f>
        <v>1</v>
      </c>
      <c r="CO21" s="247">
        <f>SUMIF(Calcs!$A$2:$A$37,League!CO4,Calcs!$H$2:$H$37)</f>
        <v>0</v>
      </c>
      <c r="CP21" s="247">
        <f>SUMIF(Calcs!$A$2:$A$37,League!CP4,Calcs!$H$2:$H$37)</f>
        <v>-6</v>
      </c>
      <c r="CQ21" s="247">
        <f>SUMIF(Calcs!$A$2:$A$37,League!CQ4,Calcs!$H$2:$H$37)</f>
        <v>6</v>
      </c>
      <c r="CR21" s="247">
        <f>SUMIF(Calcs!$A$2:$A$37,League!CR4,Calcs!$H$2:$H$37)</f>
        <v>4</v>
      </c>
      <c r="CS21" s="256"/>
      <c r="CT21" s="256"/>
      <c r="CU21" s="256"/>
      <c r="CV21" s="227"/>
    </row>
    <row r="22" spans="1:100" ht="17.100000000000001" customHeight="1">
      <c r="A22" s="484">
        <v>2</v>
      </c>
      <c r="B22" s="479">
        <f>Horarios!C22</f>
        <v>45930.875</v>
      </c>
      <c r="C22" s="480">
        <f>Horarios!C22</f>
        <v>45930.875</v>
      </c>
      <c r="D22" s="193" t="s">
        <v>44</v>
      </c>
      <c r="E22" s="25" t="e" vm="26">
        <f>INDEX(TablaEquipos[Badge],MATCH(D22,TablaEquipos[Team],0))</f>
        <v>#VALUE!</v>
      </c>
      <c r="F22" s="26"/>
      <c r="G22" s="481">
        <v>5</v>
      </c>
      <c r="H22" s="485">
        <v>1</v>
      </c>
      <c r="I22" s="483"/>
      <c r="J22" s="26" t="e" vm="33">
        <f>INDEX(TablaEquipos[Badge],MATCH(K22,TablaEquipos[Team],0))</f>
        <v>#VALUE!</v>
      </c>
      <c r="K22" s="210" t="s">
        <v>51</v>
      </c>
      <c r="L22" s="97"/>
      <c r="M22" s="74"/>
      <c r="N22" s="92">
        <v>21</v>
      </c>
      <c r="O22" s="48" t="e" vm="37">
        <f>INDEX(TablaEquipos[],MATCH(P22,TablaEquipos[Team],0),MATCH($O$1,TablaEquipos[#Headers],0))</f>
        <v>#VALUE!</v>
      </c>
      <c r="P22" s="49" t="str">
        <f>IFERROR(INDEX(Calcs!A$2:A$37,MATCH($N22,Calcs!$CJ$2:$CJ$37,0)),"")</f>
        <v>Monaco</v>
      </c>
      <c r="Q22" s="50">
        <f>IFERROR(INDEX(Calcs!$B$2:$AB$37,MATCH($N22,Calcs!$CJ$2:$CJ$37,0),MATCH(Q$1,Calcs!$B$1:$AB$1,0)),"")</f>
        <v>9</v>
      </c>
      <c r="R22" s="51">
        <f>IFERROR(INDEX(Calcs!$B$2:$AB$37,MATCH($N22,Calcs!$CJ$2:$CJ$37,0),MATCH(R$1,Calcs!$B$1:$AB$1,0)),"")</f>
        <v>7</v>
      </c>
      <c r="S22" s="51">
        <f>IFERROR(INDEX(Calcs!$B$2:$AB$37,MATCH($N22,Calcs!$CJ$2:$CJ$37,0),MATCH(S$1,Calcs!$B$1:$AB$1,0)),"")</f>
        <v>2</v>
      </c>
      <c r="T22" s="51">
        <f>IFERROR(INDEX(Calcs!$B$2:$AB$37,MATCH($N22,Calcs!$CJ$2:$CJ$37,0),MATCH(T$1,Calcs!$B$1:$AB$1,0)),"")</f>
        <v>3</v>
      </c>
      <c r="U22" s="51">
        <f>IFERROR(INDEX(Calcs!$B$2:$AB$37,MATCH($N22,Calcs!$CJ$2:$CJ$37,0),MATCH(U$1,Calcs!$B$1:$AB$1,0)),"")</f>
        <v>2</v>
      </c>
      <c r="V22" s="51">
        <f>IFERROR(INDEX(Calcs!$B$2:$AB$37,MATCH($N22,Calcs!$CJ$2:$CJ$37,0),MATCH(V$1,Calcs!$B$1:$AB$1,0)),"")</f>
        <v>8</v>
      </c>
      <c r="W22" s="51">
        <f>IFERROR(INDEX(Calcs!$B$2:$AB$37,MATCH($N22,Calcs!$CJ$2:$CJ$37,0),MATCH(W$1,Calcs!$B$1:$AB$1,0)),"")</f>
        <v>14</v>
      </c>
      <c r="X22" s="52">
        <f>IFERROR(INDEX(Calcs!$B$2:$AB$37,MATCH($N22,Calcs!$CJ$2:$CJ$37,0),MATCH(X$1,Calcs!$B$1:$AB$1,0)),"")</f>
        <v>-6</v>
      </c>
      <c r="Y22" s="50">
        <f>IFERROR(INDEX(Calcs!$B$2:$AB$37,MATCH($N22,Calcs!$CJ$2:$CJ$37,0),MATCH(Y$1,Calcs!$B$1:$AB$1,0)),"")</f>
        <v>5</v>
      </c>
      <c r="Z22" s="51">
        <f>IFERROR(INDEX(Calcs!$B$2:$AB$37,MATCH($N22,Calcs!$CJ$2:$CJ$37,0),MATCH(Z$1,Calcs!$B$1:$AB$1,0)),"")</f>
        <v>3</v>
      </c>
      <c r="AA22" s="51">
        <f>IFERROR(INDEX(Calcs!$B$2:$AB$37,MATCH($N22,Calcs!$CJ$2:$CJ$37,0),MATCH(AA$1,Calcs!$B$1:$AB$1,0)),"")</f>
        <v>1</v>
      </c>
      <c r="AB22" s="51">
        <f>IFERROR(INDEX(Calcs!$B$2:$AB$37,MATCH($N22,Calcs!$CJ$2:$CJ$37,0),MATCH(AB$1,Calcs!$B$1:$AB$1,0)),"")</f>
        <v>2</v>
      </c>
      <c r="AC22" s="51">
        <f>IFERROR(INDEX(Calcs!$B$2:$AB$37,MATCH($N22,Calcs!$CJ$2:$CJ$37,0),MATCH(AC$1,Calcs!$B$1:$AB$1,0)),"")</f>
        <v>0</v>
      </c>
      <c r="AD22" s="51">
        <f>IFERROR(INDEX(Calcs!$B$2:$AB$37,MATCH($N22,Calcs!$CJ$2:$CJ$37,0),MATCH(AD$1,Calcs!$B$1:$AB$1,0)),"")</f>
        <v>3</v>
      </c>
      <c r="AE22" s="51">
        <f>IFERROR(INDEX(Calcs!$B$2:$AB$37,MATCH($N22,Calcs!$CJ$2:$CJ$37,0),MATCH(AE$1,Calcs!$B$1:$AB$1,0)),"")</f>
        <v>2</v>
      </c>
      <c r="AF22" s="52">
        <f>IFERROR(INDEX(Calcs!$B$2:$AB$37,MATCH($N22,Calcs!$CJ$2:$CJ$37,0),MATCH(AF$1,Calcs!$B$1:$AB$1,0)),"")</f>
        <v>1</v>
      </c>
      <c r="AG22" s="50">
        <f>IFERROR(INDEX(Calcs!$B$2:$AB$37,MATCH($N22,Calcs!$CJ$2:$CJ$37,0),MATCH(AG$1,Calcs!$B$1:$AB$1,0)),"")</f>
        <v>4</v>
      </c>
      <c r="AH22" s="51">
        <f>IFERROR(INDEX(Calcs!$B$2:$AB$37,MATCH($N22,Calcs!$CJ$2:$CJ$37,0),MATCH(AH$1,Calcs!$B$1:$AB$1,0)),"")</f>
        <v>4</v>
      </c>
      <c r="AI22" s="51">
        <f>IFERROR(INDEX(Calcs!$B$2:$AB$37,MATCH($N22,Calcs!$CJ$2:$CJ$37,0),MATCH(AI$1,Calcs!$B$1:$AB$1,0)),"")</f>
        <v>1</v>
      </c>
      <c r="AJ22" s="51">
        <f>IFERROR(INDEX(Calcs!$B$2:$AB$37,MATCH($N22,Calcs!$CJ$2:$CJ$37,0),MATCH(AJ$1,Calcs!$B$1:$AB$1,0)),"")</f>
        <v>1</v>
      </c>
      <c r="AK22" s="51">
        <f>IFERROR(INDEX(Calcs!$B$2:$AB$37,MATCH($N22,Calcs!$CJ$2:$CJ$37,0),MATCH(AK$1,Calcs!$B$1:$AB$1,0)),"")</f>
        <v>2</v>
      </c>
      <c r="AL22" s="51">
        <f>IFERROR(INDEX(Calcs!$B$2:$AB$37,MATCH($N22,Calcs!$CJ$2:$CJ$37,0),MATCH(AL$1,Calcs!$B$1:$AB$1,0)),"")</f>
        <v>5</v>
      </c>
      <c r="AM22" s="51">
        <f>IFERROR(INDEX(Calcs!$B$2:$AB$37,MATCH($N22,Calcs!$CJ$2:$CJ$37,0),MATCH(AM$1,Calcs!$B$1:$AB$1,0)),"")</f>
        <v>12</v>
      </c>
      <c r="AN22" s="53">
        <f>IFERROR(INDEX(Calcs!$B$2:$AB$37,MATCH($N22,Calcs!$CJ$2:$CJ$37,0),MATCH(AN$1,Calcs!$B$1:$AB$1,0)),"")</f>
        <v>-7</v>
      </c>
      <c r="AO22" s="51">
        <f>IFERROR(INDEX(Calcs!$B$2:$AB$37,MATCH($N22,Calcs!$CJ$2:$CJ$37,0),MATCH(AO$1,Calcs!$B$1:$AB$1,0)),"")</f>
        <v>83</v>
      </c>
      <c r="AP22" s="51">
        <f>IFERROR(INDEX(Calcs!$B$2:$AB$37,MATCH($N22,Calcs!$CJ$2:$CJ$37,0),MATCH(AP$1,Calcs!$B$1:$AB$1,0)),"")</f>
        <v>14</v>
      </c>
      <c r="AQ22" s="53">
        <f>IFERROR(INDEX(Calcs!$B$2:$AB$37,MATCH($N22,Calcs!$CJ$2:$CJ$37,0),MATCH(AQ$1,Calcs!$B$1:$AB$1,0)),"")</f>
        <v>98</v>
      </c>
      <c r="AR22" s="74"/>
      <c r="AS22" s="9" t="str">
        <f>INDEX(Calcs!A$2:A$37,MATCH($N22,Calcs!$CF$2:$CF$37,0))</f>
        <v>Monaco</v>
      </c>
      <c r="AT22" s="177"/>
      <c r="AU22" s="149">
        <f>INDEX(Calcs!$BZ$2:$BZ$37,MATCH($AS22,Calcs!$A$2:$A$37,0))</f>
        <v>21</v>
      </c>
      <c r="AV22" s="149">
        <f t="shared" si="1"/>
        <v>1</v>
      </c>
      <c r="AW22" s="149" t="str">
        <f t="shared" si="2"/>
        <v>21.1</v>
      </c>
      <c r="AX22" s="149"/>
      <c r="AY22" s="74"/>
      <c r="AZ22" s="70" t="str">
        <f>TablaEquipos[[#This Row],[Team]]</f>
        <v>Manchester City</v>
      </c>
      <c r="BA22" s="178"/>
      <c r="BB22" s="74"/>
      <c r="BC22" s="74"/>
      <c r="BD22" s="74"/>
      <c r="BE22" s="74"/>
      <c r="BF22" s="247" t="str">
        <f t="shared" si="0"/>
        <v>Local</v>
      </c>
      <c r="BI22" s="247">
        <f>SUMIF(Calcs!$A$2:$A$37,League!BI5,Calcs!$H$2:$H$37)</f>
        <v>0</v>
      </c>
      <c r="BJ22" s="247">
        <f>SUMIF(Calcs!$A$2:$A$37,League!BJ5,Calcs!$H$2:$H$37)</f>
        <v>-11</v>
      </c>
      <c r="BK22" s="247">
        <f>SUMIF(Calcs!$A$2:$A$37,League!BK5,Calcs!$H$2:$H$37)</f>
        <v>0</v>
      </c>
      <c r="BL22" s="247">
        <f>SUMIF(Calcs!$A$2:$A$37,League!BL5,Calcs!$H$2:$H$37)</f>
        <v>10</v>
      </c>
      <c r="BM22" s="247">
        <f>SUMIF(Calcs!$A$2:$A$37,League!BM5,Calcs!$H$2:$H$37)</f>
        <v>-10</v>
      </c>
      <c r="BN22" s="247">
        <f>SUMIF(Calcs!$A$2:$A$37,League!BN5,Calcs!$H$2:$H$37)</f>
        <v>-5</v>
      </c>
      <c r="BO22" s="247">
        <f>SUMIF(Calcs!$A$2:$A$37,League!BO5,Calcs!$H$2:$H$37)</f>
        <v>-4</v>
      </c>
      <c r="BP22" s="247">
        <f>SUMIF(Calcs!$A$2:$A$37,League!BP5,Calcs!$H$2:$H$37)</f>
        <v>10</v>
      </c>
      <c r="BQ22" s="247">
        <f>SUMIF(Calcs!$A$2:$A$37,League!BQ5,Calcs!$H$2:$H$37)</f>
        <v>-4</v>
      </c>
      <c r="BR22" s="247">
        <f>SUMIF(Calcs!$A$2:$A$37,League!BR5,Calcs!$H$2:$H$37)</f>
        <v>-6</v>
      </c>
      <c r="BS22" s="247">
        <f>SUMIF(Calcs!$A$2:$A$37,League!BS5,Calcs!$H$2:$H$37)</f>
        <v>4</v>
      </c>
      <c r="BT22" s="247">
        <f>SUMIF(Calcs!$A$2:$A$37,League!BT5,Calcs!$H$2:$H$37)</f>
        <v>5</v>
      </c>
      <c r="BU22" s="247">
        <f>SUMIF(Calcs!$A$2:$A$37,League!BU5,Calcs!$H$2:$H$37)</f>
        <v>-2</v>
      </c>
      <c r="BV22" s="247">
        <f>SUMIF(Calcs!$A$2:$A$37,League!BV5,Calcs!$H$2:$H$37)</f>
        <v>8</v>
      </c>
      <c r="BW22" s="247">
        <f>SUMIF(Calcs!$A$2:$A$37,League!BW5,Calcs!$H$2:$H$37)</f>
        <v>-5</v>
      </c>
      <c r="BX22" s="247">
        <f>SUMIF(Calcs!$A$2:$A$37,League!BX5,Calcs!$H$2:$H$37)</f>
        <v>-12</v>
      </c>
      <c r="BY22" s="247">
        <f>SUMIF(Calcs!$A$2:$A$37,League!BY5,Calcs!$H$2:$H$37)</f>
        <v>-14</v>
      </c>
      <c r="BZ22" s="247">
        <f>SUMIF(Calcs!$A$2:$A$37,League!BZ5,Calcs!$H$2:$H$37)</f>
        <v>5</v>
      </c>
      <c r="CA22" s="247">
        <f>SUMIF(Calcs!$A$2:$A$37,League!CA5,Calcs!$H$2:$H$37)</f>
        <v>6</v>
      </c>
      <c r="CB22" s="247">
        <f>SUMIF(Calcs!$A$2:$A$37,League!CB5,Calcs!$H$2:$H$37)</f>
        <v>11</v>
      </c>
      <c r="CC22" s="247">
        <f>SUMIF(Calcs!$A$2:$A$37,League!CC5,Calcs!$H$2:$H$37)</f>
        <v>4</v>
      </c>
      <c r="CD22" s="247">
        <f>SUMIF(Calcs!$A$2:$A$37,League!CD5,Calcs!$H$2:$H$37)</f>
        <v>1</v>
      </c>
      <c r="CE22" s="247">
        <f>SUMIF(Calcs!$A$2:$A$37,League!CE5,Calcs!$H$2:$H$37)</f>
        <v>-2</v>
      </c>
      <c r="CF22" s="247">
        <f>SUMIF(Calcs!$A$2:$A$37,League!CF5,Calcs!$H$2:$H$37)</f>
        <v>-9</v>
      </c>
      <c r="CG22" s="247">
        <f>SUMIF(Calcs!$A$2:$A$37,League!CG5,Calcs!$H$2:$H$37)</f>
        <v>-4</v>
      </c>
      <c r="CH22" s="247">
        <f>SUMIF(Calcs!$A$2:$A$37,League!CH5,Calcs!$H$2:$H$37)</f>
        <v>1</v>
      </c>
      <c r="CI22" s="247">
        <f>SUMIF(Calcs!$A$2:$A$37,League!CI5,Calcs!$H$2:$H$37)</f>
        <v>-10</v>
      </c>
      <c r="CJ22" s="247">
        <f>SUMIF(Calcs!$A$2:$A$37,League!CJ5,Calcs!$H$2:$H$37)</f>
        <v>13</v>
      </c>
      <c r="CK22" s="247">
        <f>SUMIF(Calcs!$A$2:$A$37,League!CK5,Calcs!$H$2:$H$37)</f>
        <v>-5</v>
      </c>
      <c r="CL22" s="247">
        <f>SUMIF(Calcs!$A$2:$A$37,League!CL5,Calcs!$H$2:$H$37)</f>
        <v>6</v>
      </c>
      <c r="CM22" s="247">
        <f>SUMIF(Calcs!$A$2:$A$37,League!CM5,Calcs!$H$2:$H$37)</f>
        <v>6</v>
      </c>
      <c r="CN22" s="247">
        <f>SUMIF(Calcs!$A$2:$A$37,League!CN5,Calcs!$H$2:$H$37)</f>
        <v>18</v>
      </c>
      <c r="CO22" s="247">
        <f>SUMIF(Calcs!$A$2:$A$37,League!CO5,Calcs!$H$2:$H$37)</f>
        <v>4</v>
      </c>
      <c r="CP22" s="247">
        <f>SUMIF(Calcs!$A$2:$A$37,League!CP5,Calcs!$H$2:$H$37)</f>
        <v>-6</v>
      </c>
      <c r="CQ22" s="247">
        <f>SUMIF(Calcs!$A$2:$A$37,League!CQ5,Calcs!$H$2:$H$37)</f>
        <v>3</v>
      </c>
      <c r="CR22" s="247">
        <f>SUMIF(Calcs!$A$2:$A$37,League!CR5,Calcs!$H$2:$H$37)</f>
        <v>-6</v>
      </c>
      <c r="CS22" s="256"/>
      <c r="CT22" s="256"/>
      <c r="CU22" s="256"/>
      <c r="CV22" s="227"/>
    </row>
    <row r="23" spans="1:100" ht="17.100000000000001" customHeight="1">
      <c r="A23" s="484">
        <v>2</v>
      </c>
      <c r="B23" s="479">
        <f>Horarios!C23</f>
        <v>45930.875</v>
      </c>
      <c r="C23" s="480">
        <f>Horarios!C23</f>
        <v>45930.875</v>
      </c>
      <c r="D23" s="193" t="s">
        <v>42</v>
      </c>
      <c r="E23" s="25" t="e" vm="21">
        <f>INDEX(TablaEquipos[Badge],MATCH(D23,TablaEquipos[Team],0))</f>
        <v>#VALUE!</v>
      </c>
      <c r="F23" s="26"/>
      <c r="G23" s="481">
        <v>1</v>
      </c>
      <c r="H23" s="485">
        <v>0</v>
      </c>
      <c r="I23" s="483"/>
      <c r="J23" s="26" t="e" vm="11">
        <f>INDEX(TablaEquipos[Badge],MATCH(K23,TablaEquipos[Team],0))</f>
        <v>#VALUE!</v>
      </c>
      <c r="K23" s="210" t="s">
        <v>30</v>
      </c>
      <c r="L23" s="97"/>
      <c r="M23" s="74"/>
      <c r="N23" s="92">
        <v>22</v>
      </c>
      <c r="O23" s="48" t="e" vm="3">
        <f>INDEX(TablaEquipos[],MATCH(P23,TablaEquipos[Team],0),MATCH($O$1,TablaEquipos[#Headers],0))</f>
        <v>#VALUE!</v>
      </c>
      <c r="P23" s="49" t="str">
        <f>IFERROR(INDEX(Calcs!A$2:A$37,MATCH($N23,Calcs!$CJ$2:$CJ$37,0)),"")</f>
        <v>PSV Eindhoven</v>
      </c>
      <c r="Q23" s="50">
        <f>IFERROR(INDEX(Calcs!$B$2:$AB$37,MATCH($N23,Calcs!$CJ$2:$CJ$37,0),MATCH(Q$1,Calcs!$B$1:$AB$1,0)),"")</f>
        <v>8</v>
      </c>
      <c r="R23" s="51">
        <f>IFERROR(INDEX(Calcs!$B$2:$AB$37,MATCH($N23,Calcs!$CJ$2:$CJ$37,0),MATCH(R$1,Calcs!$B$1:$AB$1,0)),"")</f>
        <v>7</v>
      </c>
      <c r="S23" s="51">
        <f>IFERROR(INDEX(Calcs!$B$2:$AB$37,MATCH($N23,Calcs!$CJ$2:$CJ$37,0),MATCH(S$1,Calcs!$B$1:$AB$1,0)),"")</f>
        <v>2</v>
      </c>
      <c r="T23" s="51">
        <f>IFERROR(INDEX(Calcs!$B$2:$AB$37,MATCH($N23,Calcs!$CJ$2:$CJ$37,0),MATCH(T$1,Calcs!$B$1:$AB$1,0)),"")</f>
        <v>2</v>
      </c>
      <c r="U23" s="51">
        <f>IFERROR(INDEX(Calcs!$B$2:$AB$37,MATCH($N23,Calcs!$CJ$2:$CJ$37,0),MATCH(U$1,Calcs!$B$1:$AB$1,0)),"")</f>
        <v>3</v>
      </c>
      <c r="V23" s="51">
        <f>IFERROR(INDEX(Calcs!$B$2:$AB$37,MATCH($N23,Calcs!$CJ$2:$CJ$37,0),MATCH(V$1,Calcs!$B$1:$AB$1,0)),"")</f>
        <v>15</v>
      </c>
      <c r="W23" s="51">
        <f>IFERROR(INDEX(Calcs!$B$2:$AB$37,MATCH($N23,Calcs!$CJ$2:$CJ$37,0),MATCH(W$1,Calcs!$B$1:$AB$1,0)),"")</f>
        <v>14</v>
      </c>
      <c r="X23" s="52">
        <f>IFERROR(INDEX(Calcs!$B$2:$AB$37,MATCH($N23,Calcs!$CJ$2:$CJ$37,0),MATCH(X$1,Calcs!$B$1:$AB$1,0)),"")</f>
        <v>1</v>
      </c>
      <c r="Y23" s="50">
        <f>IFERROR(INDEX(Calcs!$B$2:$AB$37,MATCH($N23,Calcs!$CJ$2:$CJ$37,0),MATCH(Y$1,Calcs!$B$1:$AB$1,0)),"")</f>
        <v>3</v>
      </c>
      <c r="Z23" s="51">
        <f>IFERROR(INDEX(Calcs!$B$2:$AB$37,MATCH($N23,Calcs!$CJ$2:$CJ$37,0),MATCH(Z$1,Calcs!$B$1:$AB$1,0)),"")</f>
        <v>3</v>
      </c>
      <c r="AA23" s="51">
        <f>IFERROR(INDEX(Calcs!$B$2:$AB$37,MATCH($N23,Calcs!$CJ$2:$CJ$37,0),MATCH(AA$1,Calcs!$B$1:$AB$1,0)),"")</f>
        <v>1</v>
      </c>
      <c r="AB23" s="51">
        <f>IFERROR(INDEX(Calcs!$B$2:$AB$37,MATCH($N23,Calcs!$CJ$2:$CJ$37,0),MATCH(AB$1,Calcs!$B$1:$AB$1,0)),"")</f>
        <v>0</v>
      </c>
      <c r="AC23" s="51">
        <f>IFERROR(INDEX(Calcs!$B$2:$AB$37,MATCH($N23,Calcs!$CJ$2:$CJ$37,0),MATCH(AC$1,Calcs!$B$1:$AB$1,0)),"")</f>
        <v>2</v>
      </c>
      <c r="AD23" s="51">
        <f>IFERROR(INDEX(Calcs!$B$2:$AB$37,MATCH($N23,Calcs!$CJ$2:$CJ$37,0),MATCH(AD$1,Calcs!$B$1:$AB$1,0)),"")</f>
        <v>9</v>
      </c>
      <c r="AE23" s="51">
        <f>IFERROR(INDEX(Calcs!$B$2:$AB$37,MATCH($N23,Calcs!$CJ$2:$CJ$37,0),MATCH(AE$1,Calcs!$B$1:$AB$1,0)),"")</f>
        <v>8</v>
      </c>
      <c r="AF23" s="52">
        <f>IFERROR(INDEX(Calcs!$B$2:$AB$37,MATCH($N23,Calcs!$CJ$2:$CJ$37,0),MATCH(AF$1,Calcs!$B$1:$AB$1,0)),"")</f>
        <v>1</v>
      </c>
      <c r="AG23" s="50">
        <f>IFERROR(INDEX(Calcs!$B$2:$AB$37,MATCH($N23,Calcs!$CJ$2:$CJ$37,0),MATCH(AG$1,Calcs!$B$1:$AB$1,0)),"")</f>
        <v>5</v>
      </c>
      <c r="AH23" s="51">
        <f>IFERROR(INDEX(Calcs!$B$2:$AB$37,MATCH($N23,Calcs!$CJ$2:$CJ$37,0),MATCH(AH$1,Calcs!$B$1:$AB$1,0)),"")</f>
        <v>4</v>
      </c>
      <c r="AI23" s="51">
        <f>IFERROR(INDEX(Calcs!$B$2:$AB$37,MATCH($N23,Calcs!$CJ$2:$CJ$37,0),MATCH(AI$1,Calcs!$B$1:$AB$1,0)),"")</f>
        <v>1</v>
      </c>
      <c r="AJ23" s="51">
        <f>IFERROR(INDEX(Calcs!$B$2:$AB$37,MATCH($N23,Calcs!$CJ$2:$CJ$37,0),MATCH(AJ$1,Calcs!$B$1:$AB$1,0)),"")</f>
        <v>2</v>
      </c>
      <c r="AK23" s="51">
        <f>IFERROR(INDEX(Calcs!$B$2:$AB$37,MATCH($N23,Calcs!$CJ$2:$CJ$37,0),MATCH(AK$1,Calcs!$B$1:$AB$1,0)),"")</f>
        <v>1</v>
      </c>
      <c r="AL23" s="51">
        <f>IFERROR(INDEX(Calcs!$B$2:$AB$37,MATCH($N23,Calcs!$CJ$2:$CJ$37,0),MATCH(AL$1,Calcs!$B$1:$AB$1,0)),"")</f>
        <v>6</v>
      </c>
      <c r="AM23" s="51">
        <f>IFERROR(INDEX(Calcs!$B$2:$AB$37,MATCH($N23,Calcs!$CJ$2:$CJ$37,0),MATCH(AM$1,Calcs!$B$1:$AB$1,0)),"")</f>
        <v>6</v>
      </c>
      <c r="AN23" s="53">
        <f>IFERROR(INDEX(Calcs!$B$2:$AB$37,MATCH($N23,Calcs!$CJ$2:$CJ$37,0),MATCH(AN$1,Calcs!$B$1:$AB$1,0)),"")</f>
        <v>0</v>
      </c>
      <c r="AO23" s="51">
        <f>IFERROR(INDEX(Calcs!$B$2:$AB$37,MATCH($N23,Calcs!$CJ$2:$CJ$37,0),MATCH(AO$1,Calcs!$B$1:$AB$1,0)),"")</f>
        <v>90</v>
      </c>
      <c r="AP23" s="51">
        <f>IFERROR(INDEX(Calcs!$B$2:$AB$37,MATCH($N23,Calcs!$CJ$2:$CJ$37,0),MATCH(AP$1,Calcs!$B$1:$AB$1,0)),"")</f>
        <v>8</v>
      </c>
      <c r="AQ23" s="53">
        <f>IFERROR(INDEX(Calcs!$B$2:$AB$37,MATCH($N23,Calcs!$CJ$2:$CJ$37,0),MATCH(AQ$1,Calcs!$B$1:$AB$1,0)),"")</f>
        <v>98</v>
      </c>
      <c r="AR23" s="74"/>
      <c r="AS23" s="9" t="str">
        <f>INDEX(Calcs!A$2:A$37,MATCH($N23,Calcs!$CF$2:$CF$37,0))</f>
        <v>PSV Eindhoven</v>
      </c>
      <c r="AT23" s="177"/>
      <c r="AU23" s="149">
        <f>INDEX(Calcs!$BZ$2:$BZ$37,MATCH($AS23,Calcs!$A$2:$A$37,0))</f>
        <v>22</v>
      </c>
      <c r="AV23" s="149">
        <f t="shared" si="1"/>
        <v>1</v>
      </c>
      <c r="AW23" s="149" t="str">
        <f t="shared" si="2"/>
        <v>22.1</v>
      </c>
      <c r="AX23" s="149"/>
      <c r="AY23" s="74"/>
      <c r="AZ23" s="71" t="str">
        <f>TablaEquipos[[#This Row],[Team]]</f>
        <v>Marseille</v>
      </c>
      <c r="BA23" s="179"/>
      <c r="BB23" s="74"/>
      <c r="BC23" s="74"/>
      <c r="BD23" s="74"/>
      <c r="BE23" s="74"/>
      <c r="BF23" s="247" t="str">
        <f t="shared" si="0"/>
        <v>Local</v>
      </c>
      <c r="BI23" s="247">
        <f>SUMIF(Calcs!$A$2:$A$37,League!BI6,Calcs!$H$2:$H$37)</f>
        <v>-4</v>
      </c>
      <c r="BJ23" s="247">
        <f>SUMIF(Calcs!$A$2:$A$37,League!BJ6,Calcs!$H$2:$H$37)</f>
        <v>13</v>
      </c>
      <c r="BK23" s="247">
        <f>SUMIF(Calcs!$A$2:$A$37,League!BK6,Calcs!$H$2:$H$37)</f>
        <v>-9</v>
      </c>
      <c r="BL23" s="247">
        <f>SUMIF(Calcs!$A$2:$A$37,League!BL6,Calcs!$H$2:$H$37)</f>
        <v>-11</v>
      </c>
      <c r="BM23" s="247">
        <f>SUMIF(Calcs!$A$2:$A$37,League!BM6,Calcs!$H$2:$H$37)</f>
        <v>6</v>
      </c>
      <c r="BN23" s="247">
        <f>SUMIF(Calcs!$A$2:$A$37,League!BN6,Calcs!$H$2:$H$37)</f>
        <v>6</v>
      </c>
      <c r="BO23" s="247">
        <f>SUMIF(Calcs!$A$2:$A$37,League!BO6,Calcs!$H$2:$H$37)</f>
        <v>4</v>
      </c>
      <c r="BP23" s="247">
        <f>SUMIF(Calcs!$A$2:$A$37,League!BP6,Calcs!$H$2:$H$37)</f>
        <v>18</v>
      </c>
      <c r="BQ23" s="247">
        <f>SUMIF(Calcs!$A$2:$A$37,League!BQ6,Calcs!$H$2:$H$37)</f>
        <v>-12</v>
      </c>
      <c r="BR23" s="247">
        <f>SUMIF(Calcs!$A$2:$A$37,League!BR6,Calcs!$H$2:$H$37)</f>
        <v>4</v>
      </c>
      <c r="BS23" s="247">
        <f>SUMIF(Calcs!$A$2:$A$37,League!BS6,Calcs!$H$2:$H$37)</f>
        <v>-10</v>
      </c>
      <c r="BT23" s="247">
        <f>SUMIF(Calcs!$A$2:$A$37,League!BT6,Calcs!$H$2:$H$37)</f>
        <v>5</v>
      </c>
      <c r="BU23" s="247">
        <f>SUMIF(Calcs!$A$2:$A$37,League!BU6,Calcs!$H$2:$H$37)</f>
        <v>5</v>
      </c>
      <c r="BV23" s="247">
        <f>SUMIF(Calcs!$A$2:$A$37,League!BV6,Calcs!$H$2:$H$37)</f>
        <v>-14</v>
      </c>
      <c r="BW23" s="247">
        <f>SUMIF(Calcs!$A$2:$A$37,League!BW6,Calcs!$H$2:$H$37)</f>
        <v>1</v>
      </c>
      <c r="BX23" s="247">
        <f>SUMIF(Calcs!$A$2:$A$37,League!BX6,Calcs!$H$2:$H$37)</f>
        <v>-10</v>
      </c>
      <c r="BY23" s="247">
        <f>SUMIF(Calcs!$A$2:$A$37,League!BY6,Calcs!$H$2:$H$37)</f>
        <v>3</v>
      </c>
      <c r="BZ23" s="247">
        <f>SUMIF(Calcs!$A$2:$A$37,League!BZ6,Calcs!$H$2:$H$37)</f>
        <v>-2</v>
      </c>
      <c r="CA23" s="247">
        <f>SUMIF(Calcs!$A$2:$A$37,League!CA6,Calcs!$H$2:$H$37)</f>
        <v>-6</v>
      </c>
      <c r="CB23" s="247">
        <f>SUMIF(Calcs!$A$2:$A$37,League!CB6,Calcs!$H$2:$H$37)</f>
        <v>1</v>
      </c>
      <c r="CC23" s="247">
        <f>SUMIF(Calcs!$A$2:$A$37,League!CC6,Calcs!$H$2:$H$37)</f>
        <v>-4</v>
      </c>
      <c r="CD23" s="247">
        <f>SUMIF(Calcs!$A$2:$A$37,League!CD6,Calcs!$H$2:$H$37)</f>
        <v>10</v>
      </c>
      <c r="CE23" s="247">
        <f>SUMIF(Calcs!$A$2:$A$37,League!CE6,Calcs!$H$2:$H$37)</f>
        <v>-6</v>
      </c>
      <c r="CF23" s="247">
        <f>SUMIF(Calcs!$A$2:$A$37,League!CF6,Calcs!$H$2:$H$37)</f>
        <v>-2</v>
      </c>
      <c r="CG23" s="247">
        <f>SUMIF(Calcs!$A$2:$A$37,League!CG6,Calcs!$H$2:$H$37)</f>
        <v>0</v>
      </c>
      <c r="CH23" s="247">
        <f>SUMIF(Calcs!$A$2:$A$37,League!CH6,Calcs!$H$2:$H$37)</f>
        <v>11</v>
      </c>
      <c r="CI23" s="247">
        <f>SUMIF(Calcs!$A$2:$A$37,League!CI6,Calcs!$H$2:$H$37)</f>
        <v>-6</v>
      </c>
      <c r="CJ23" s="247">
        <f>SUMIF(Calcs!$A$2:$A$37,League!CJ6,Calcs!$H$2:$H$37)</f>
        <v>8</v>
      </c>
      <c r="CK23" s="247">
        <f>SUMIF(Calcs!$A$2:$A$37,League!CK6,Calcs!$H$2:$H$37)</f>
        <v>6</v>
      </c>
      <c r="CL23" s="247">
        <f>SUMIF(Calcs!$A$2:$A$37,League!CL6,Calcs!$H$2:$H$37)</f>
        <v>-5</v>
      </c>
      <c r="CM23" s="247">
        <f>SUMIF(Calcs!$A$2:$A$37,League!CM6,Calcs!$H$2:$H$37)</f>
        <v>-5</v>
      </c>
      <c r="CN23" s="247">
        <f>SUMIF(Calcs!$A$2:$A$37,League!CN6,Calcs!$H$2:$H$37)</f>
        <v>-4</v>
      </c>
      <c r="CO23" s="247">
        <f>SUMIF(Calcs!$A$2:$A$37,League!CO6,Calcs!$H$2:$H$37)</f>
        <v>-5</v>
      </c>
      <c r="CP23" s="247">
        <f>SUMIF(Calcs!$A$2:$A$37,League!CP6,Calcs!$H$2:$H$37)</f>
        <v>10</v>
      </c>
      <c r="CQ23" s="247">
        <f>SUMIF(Calcs!$A$2:$A$37,League!CQ6,Calcs!$H$2:$H$37)</f>
        <v>0</v>
      </c>
      <c r="CR23" s="247">
        <f>SUMIF(Calcs!$A$2:$A$37,League!CR6,Calcs!$H$2:$H$37)</f>
        <v>4</v>
      </c>
      <c r="CS23" s="256"/>
      <c r="CT23" s="256"/>
      <c r="CU23" s="256"/>
      <c r="CV23" s="227"/>
    </row>
    <row r="24" spans="1:100" ht="17.100000000000001" customHeight="1">
      <c r="A24" s="484">
        <v>2</v>
      </c>
      <c r="B24" s="479">
        <f>Horarios!C24</f>
        <v>45930.875</v>
      </c>
      <c r="C24" s="480">
        <f>Horarios!C24</f>
        <v>45930.875</v>
      </c>
      <c r="D24" s="193" t="s">
        <v>39</v>
      </c>
      <c r="E24" s="25" t="e" vm="23">
        <f>INDEX(TablaEquipos[Badge],MATCH(D24,TablaEquipos[Team],0))</f>
        <v>#VALUE!</v>
      </c>
      <c r="F24" s="26"/>
      <c r="G24" s="481">
        <v>3</v>
      </c>
      <c r="H24" s="485">
        <v>0</v>
      </c>
      <c r="I24" s="483"/>
      <c r="J24" s="26" t="e" vm="19">
        <f>INDEX(TablaEquipos[Badge],MATCH(K24,TablaEquipos[Team],0))</f>
        <v>#VALUE!</v>
      </c>
      <c r="K24" s="210" t="s">
        <v>36</v>
      </c>
      <c r="L24" s="97"/>
      <c r="M24" s="74"/>
      <c r="N24" s="92">
        <v>23</v>
      </c>
      <c r="O24" s="48" t="e" vm="1">
        <f>INDEX(TablaEquipos[],MATCH(P24,TablaEquipos[Team],0),MATCH($O$1,TablaEquipos[#Headers],0))</f>
        <v>#VALUE!</v>
      </c>
      <c r="P24" s="49" t="str">
        <f>IFERROR(INDEX(Calcs!A$2:A$37,MATCH($N24,Calcs!$CJ$2:$CJ$37,0)),"")</f>
        <v>Athletic Bilbao</v>
      </c>
      <c r="Q24" s="50">
        <f>IFERROR(INDEX(Calcs!$B$2:$AB$37,MATCH($N24,Calcs!$CJ$2:$CJ$37,0),MATCH(Q$1,Calcs!$B$1:$AB$1,0)),"")</f>
        <v>8</v>
      </c>
      <c r="R24" s="51">
        <f>IFERROR(INDEX(Calcs!$B$2:$AB$37,MATCH($N24,Calcs!$CJ$2:$CJ$37,0),MATCH(R$1,Calcs!$B$1:$AB$1,0)),"")</f>
        <v>7</v>
      </c>
      <c r="S24" s="51">
        <f>IFERROR(INDEX(Calcs!$B$2:$AB$37,MATCH($N24,Calcs!$CJ$2:$CJ$37,0),MATCH(S$1,Calcs!$B$1:$AB$1,0)),"")</f>
        <v>2</v>
      </c>
      <c r="T24" s="51">
        <f>IFERROR(INDEX(Calcs!$B$2:$AB$37,MATCH($N24,Calcs!$CJ$2:$CJ$37,0),MATCH(T$1,Calcs!$B$1:$AB$1,0)),"")</f>
        <v>2</v>
      </c>
      <c r="U24" s="51">
        <f>IFERROR(INDEX(Calcs!$B$2:$AB$37,MATCH($N24,Calcs!$CJ$2:$CJ$37,0),MATCH(U$1,Calcs!$B$1:$AB$1,0)),"")</f>
        <v>3</v>
      </c>
      <c r="V24" s="51">
        <f>IFERROR(INDEX(Calcs!$B$2:$AB$37,MATCH($N24,Calcs!$CJ$2:$CJ$37,0),MATCH(V$1,Calcs!$B$1:$AB$1,0)),"")</f>
        <v>7</v>
      </c>
      <c r="W24" s="51">
        <f>IFERROR(INDEX(Calcs!$B$2:$AB$37,MATCH($N24,Calcs!$CJ$2:$CJ$37,0),MATCH(W$1,Calcs!$B$1:$AB$1,0)),"")</f>
        <v>11</v>
      </c>
      <c r="X24" s="52">
        <f>IFERROR(INDEX(Calcs!$B$2:$AB$37,MATCH($N24,Calcs!$CJ$2:$CJ$37,0),MATCH(X$1,Calcs!$B$1:$AB$1,0)),"")</f>
        <v>-4</v>
      </c>
      <c r="Y24" s="50">
        <f>IFERROR(INDEX(Calcs!$B$2:$AB$37,MATCH($N24,Calcs!$CJ$2:$CJ$37,0),MATCH(Y$1,Calcs!$B$1:$AB$1,0)),"")</f>
        <v>4</v>
      </c>
      <c r="Z24" s="51">
        <f>IFERROR(INDEX(Calcs!$B$2:$AB$37,MATCH($N24,Calcs!$CJ$2:$CJ$37,0),MATCH(Z$1,Calcs!$B$1:$AB$1,0)),"")</f>
        <v>3</v>
      </c>
      <c r="AA24" s="51">
        <f>IFERROR(INDEX(Calcs!$B$2:$AB$37,MATCH($N24,Calcs!$CJ$2:$CJ$37,0),MATCH(AA$1,Calcs!$B$1:$AB$1,0)),"")</f>
        <v>1</v>
      </c>
      <c r="AB24" s="51">
        <f>IFERROR(INDEX(Calcs!$B$2:$AB$37,MATCH($N24,Calcs!$CJ$2:$CJ$37,0),MATCH(AB$1,Calcs!$B$1:$AB$1,0)),"")</f>
        <v>1</v>
      </c>
      <c r="AC24" s="51">
        <f>IFERROR(INDEX(Calcs!$B$2:$AB$37,MATCH($N24,Calcs!$CJ$2:$CJ$37,0),MATCH(AC$1,Calcs!$B$1:$AB$1,0)),"")</f>
        <v>1</v>
      </c>
      <c r="AD24" s="51">
        <f>IFERROR(INDEX(Calcs!$B$2:$AB$37,MATCH($N24,Calcs!$CJ$2:$CJ$37,0),MATCH(AD$1,Calcs!$B$1:$AB$1,0)),"")</f>
        <v>3</v>
      </c>
      <c r="AE24" s="51">
        <f>IFERROR(INDEX(Calcs!$B$2:$AB$37,MATCH($N24,Calcs!$CJ$2:$CJ$37,0),MATCH(AE$1,Calcs!$B$1:$AB$1,0)),"")</f>
        <v>3</v>
      </c>
      <c r="AF24" s="52">
        <f>IFERROR(INDEX(Calcs!$B$2:$AB$37,MATCH($N24,Calcs!$CJ$2:$CJ$37,0),MATCH(AF$1,Calcs!$B$1:$AB$1,0)),"")</f>
        <v>0</v>
      </c>
      <c r="AG24" s="50">
        <f>IFERROR(INDEX(Calcs!$B$2:$AB$37,MATCH($N24,Calcs!$CJ$2:$CJ$37,0),MATCH(AG$1,Calcs!$B$1:$AB$1,0)),"")</f>
        <v>4</v>
      </c>
      <c r="AH24" s="51">
        <f>IFERROR(INDEX(Calcs!$B$2:$AB$37,MATCH($N24,Calcs!$CJ$2:$CJ$37,0),MATCH(AH$1,Calcs!$B$1:$AB$1,0)),"")</f>
        <v>4</v>
      </c>
      <c r="AI24" s="51">
        <f>IFERROR(INDEX(Calcs!$B$2:$AB$37,MATCH($N24,Calcs!$CJ$2:$CJ$37,0),MATCH(AI$1,Calcs!$B$1:$AB$1,0)),"")</f>
        <v>1</v>
      </c>
      <c r="AJ24" s="51">
        <f>IFERROR(INDEX(Calcs!$B$2:$AB$37,MATCH($N24,Calcs!$CJ$2:$CJ$37,0),MATCH(AJ$1,Calcs!$B$1:$AB$1,0)),"")</f>
        <v>1</v>
      </c>
      <c r="AK24" s="51">
        <f>IFERROR(INDEX(Calcs!$B$2:$AB$37,MATCH($N24,Calcs!$CJ$2:$CJ$37,0),MATCH(AK$1,Calcs!$B$1:$AB$1,0)),"")</f>
        <v>2</v>
      </c>
      <c r="AL24" s="51">
        <f>IFERROR(INDEX(Calcs!$B$2:$AB$37,MATCH($N24,Calcs!$CJ$2:$CJ$37,0),MATCH(AL$1,Calcs!$B$1:$AB$1,0)),"")</f>
        <v>4</v>
      </c>
      <c r="AM24" s="51">
        <f>IFERROR(INDEX(Calcs!$B$2:$AB$37,MATCH($N24,Calcs!$CJ$2:$CJ$37,0),MATCH(AM$1,Calcs!$B$1:$AB$1,0)),"")</f>
        <v>8</v>
      </c>
      <c r="AN24" s="53">
        <f>IFERROR(INDEX(Calcs!$B$2:$AB$37,MATCH($N24,Calcs!$CJ$2:$CJ$37,0),MATCH(AN$1,Calcs!$B$1:$AB$1,0)),"")</f>
        <v>-4</v>
      </c>
      <c r="AO24" s="51">
        <f>IFERROR(INDEX(Calcs!$B$2:$AB$37,MATCH($N24,Calcs!$CJ$2:$CJ$37,0),MATCH(AO$1,Calcs!$B$1:$AB$1,0)),"")</f>
        <v>97</v>
      </c>
      <c r="AP24" s="51">
        <f>IFERROR(INDEX(Calcs!$B$2:$AB$37,MATCH($N24,Calcs!$CJ$2:$CJ$37,0),MATCH(AP$1,Calcs!$B$1:$AB$1,0)),"")</f>
        <v>35</v>
      </c>
      <c r="AQ24" s="53">
        <f>IFERROR(INDEX(Calcs!$B$2:$AB$37,MATCH($N24,Calcs!$CJ$2:$CJ$37,0),MATCH(AQ$1,Calcs!$B$1:$AB$1,0)),"")</f>
        <v>116</v>
      </c>
      <c r="AR24" s="74"/>
      <c r="AS24" s="9" t="str">
        <f>INDEX(Calcs!A$2:A$37,MATCH($N24,Calcs!$CF$2:$CF$37,0))</f>
        <v>Athletic Bilbao</v>
      </c>
      <c r="AT24" s="177"/>
      <c r="AU24" s="149">
        <f>INDEX(Calcs!$BZ$2:$BZ$37,MATCH($AS24,Calcs!$A$2:$A$37,0))</f>
        <v>23</v>
      </c>
      <c r="AV24" s="149">
        <f t="shared" si="1"/>
        <v>1</v>
      </c>
      <c r="AW24" s="149" t="str">
        <f t="shared" si="2"/>
        <v>23.1</v>
      </c>
      <c r="AX24" s="149"/>
      <c r="AY24" s="74"/>
      <c r="AZ24" s="70" t="str">
        <f>TablaEquipos[[#This Row],[Team]]</f>
        <v>Monaco</v>
      </c>
      <c r="BA24" s="178"/>
      <c r="BB24" s="74"/>
      <c r="BC24" s="74"/>
      <c r="BD24" s="74"/>
      <c r="BE24" s="74"/>
      <c r="BF24" s="247" t="str">
        <f t="shared" si="0"/>
        <v>Local</v>
      </c>
      <c r="BI24" s="247">
        <f>SUMIF(Calcs!$A$2:$A$37,League!BI7,Calcs!$H$2:$H$37)</f>
        <v>-2</v>
      </c>
      <c r="BJ24" s="247">
        <f>SUMIF(Calcs!$A$2:$A$37,League!BJ7,Calcs!$H$2:$H$37)</f>
        <v>-5</v>
      </c>
      <c r="BK24" s="247">
        <f>SUMIF(Calcs!$A$2:$A$37,League!BK7,Calcs!$H$2:$H$37)</f>
        <v>6</v>
      </c>
      <c r="BL24" s="247">
        <f>SUMIF(Calcs!$A$2:$A$37,League!BL7,Calcs!$H$2:$H$37)</f>
        <v>10</v>
      </c>
      <c r="BM24" s="247">
        <f>SUMIF(Calcs!$A$2:$A$37,League!BM7,Calcs!$H$2:$H$37)</f>
        <v>1</v>
      </c>
      <c r="BN24" s="247">
        <f>SUMIF(Calcs!$A$2:$A$37,League!BN7,Calcs!$H$2:$H$37)</f>
        <v>-9</v>
      </c>
      <c r="BO24" s="247">
        <f>SUMIF(Calcs!$A$2:$A$37,League!BO7,Calcs!$H$2:$H$37)</f>
        <v>10</v>
      </c>
      <c r="BP24" s="247">
        <f>SUMIF(Calcs!$A$2:$A$37,League!BP7,Calcs!$H$2:$H$37)</f>
        <v>5</v>
      </c>
      <c r="BQ24" s="247">
        <f>SUMIF(Calcs!$A$2:$A$37,League!BQ7,Calcs!$H$2:$H$37)</f>
        <v>-5</v>
      </c>
      <c r="BR24" s="247">
        <f>SUMIF(Calcs!$A$2:$A$37,League!BR7,Calcs!$H$2:$H$37)</f>
        <v>4</v>
      </c>
      <c r="BS24" s="247">
        <f>SUMIF(Calcs!$A$2:$A$37,League!BS7,Calcs!$H$2:$H$37)</f>
        <v>-2</v>
      </c>
      <c r="BT24" s="247">
        <f>SUMIF(Calcs!$A$2:$A$37,League!BT7,Calcs!$H$2:$H$37)</f>
        <v>18</v>
      </c>
      <c r="BU24" s="247">
        <f>SUMIF(Calcs!$A$2:$A$37,League!BU7,Calcs!$H$2:$H$37)</f>
        <v>1</v>
      </c>
      <c r="BV24" s="247">
        <f>SUMIF(Calcs!$A$2:$A$37,League!BV7,Calcs!$H$2:$H$37)</f>
        <v>-10</v>
      </c>
      <c r="BW24" s="247">
        <f>SUMIF(Calcs!$A$2:$A$37,League!BW7,Calcs!$H$2:$H$37)</f>
        <v>5</v>
      </c>
      <c r="BX24" s="247">
        <f>SUMIF(Calcs!$A$2:$A$37,League!BX7,Calcs!$H$2:$H$37)</f>
        <v>-6</v>
      </c>
      <c r="BY24" s="247">
        <f>SUMIF(Calcs!$A$2:$A$37,League!BY7,Calcs!$H$2:$H$37)</f>
        <v>6</v>
      </c>
      <c r="BZ24" s="247">
        <f>SUMIF(Calcs!$A$2:$A$37,League!BZ7,Calcs!$H$2:$H$37)</f>
        <v>-6</v>
      </c>
      <c r="CA24" s="247">
        <f>SUMIF(Calcs!$A$2:$A$37,League!CA7,Calcs!$H$2:$H$37)</f>
        <v>-5</v>
      </c>
      <c r="CB24" s="247">
        <f>SUMIF(Calcs!$A$2:$A$37,League!CB7,Calcs!$H$2:$H$37)</f>
        <v>6</v>
      </c>
      <c r="CC24" s="247">
        <f>SUMIF(Calcs!$A$2:$A$37,League!CC7,Calcs!$H$2:$H$37)</f>
        <v>11</v>
      </c>
      <c r="CD24" s="247">
        <f>SUMIF(Calcs!$A$2:$A$37,League!CD7,Calcs!$H$2:$H$37)</f>
        <v>-10</v>
      </c>
      <c r="CE24" s="247">
        <f>SUMIF(Calcs!$A$2:$A$37,League!CE7,Calcs!$H$2:$H$37)</f>
        <v>0</v>
      </c>
      <c r="CF24" s="247">
        <f>SUMIF(Calcs!$A$2:$A$37,League!CF7,Calcs!$H$2:$H$37)</f>
        <v>-4</v>
      </c>
      <c r="CG24" s="247">
        <f>SUMIF(Calcs!$A$2:$A$37,League!CG7,Calcs!$H$2:$H$37)</f>
        <v>-4</v>
      </c>
      <c r="CH24" s="247">
        <f>SUMIF(Calcs!$A$2:$A$37,League!CH7,Calcs!$H$2:$H$37)</f>
        <v>-14</v>
      </c>
      <c r="CI24" s="247">
        <f>SUMIF(Calcs!$A$2:$A$37,League!CI7,Calcs!$H$2:$H$37)</f>
        <v>4</v>
      </c>
      <c r="CJ24" s="247">
        <f>SUMIF(Calcs!$A$2:$A$37,League!CJ7,Calcs!$H$2:$H$37)</f>
        <v>-4</v>
      </c>
      <c r="CK24" s="247">
        <f>SUMIF(Calcs!$A$2:$A$37,League!CK7,Calcs!$H$2:$H$37)</f>
        <v>3</v>
      </c>
      <c r="CL24" s="247">
        <f>SUMIF(Calcs!$A$2:$A$37,League!CL7,Calcs!$H$2:$H$37)</f>
        <v>-12</v>
      </c>
      <c r="CM24" s="247">
        <f>SUMIF(Calcs!$A$2:$A$37,League!CM7,Calcs!$H$2:$H$37)</f>
        <v>4</v>
      </c>
      <c r="CN24" s="247">
        <f>SUMIF(Calcs!$A$2:$A$37,League!CN7,Calcs!$H$2:$H$37)</f>
        <v>8</v>
      </c>
      <c r="CO24" s="247">
        <f>SUMIF(Calcs!$A$2:$A$37,League!CO7,Calcs!$H$2:$H$37)</f>
        <v>13</v>
      </c>
      <c r="CP24" s="247">
        <f>SUMIF(Calcs!$A$2:$A$37,League!CP7,Calcs!$H$2:$H$37)</f>
        <v>-11</v>
      </c>
      <c r="CQ24" s="247">
        <f>SUMIF(Calcs!$A$2:$A$37,League!CQ7,Calcs!$H$2:$H$37)</f>
        <v>0</v>
      </c>
      <c r="CR24" s="247">
        <f>SUMIF(Calcs!$A$2:$A$37,League!CR7,Calcs!$H$2:$H$37)</f>
        <v>-6</v>
      </c>
      <c r="CS24" s="256"/>
      <c r="CT24" s="256"/>
      <c r="CU24" s="256"/>
      <c r="CV24" s="227"/>
    </row>
    <row r="25" spans="1:100" ht="17.100000000000001" customHeight="1">
      <c r="A25" s="484">
        <v>2</v>
      </c>
      <c r="B25" s="479">
        <f>Horarios!C25</f>
        <v>45930.875</v>
      </c>
      <c r="C25" s="480">
        <f>Horarios!C25</f>
        <v>45930.875</v>
      </c>
      <c r="D25" s="193" t="s">
        <v>37</v>
      </c>
      <c r="E25" s="25" t="e" vm="20">
        <f>INDEX(TablaEquipos[Badge],MATCH(D25,TablaEquipos[Team],0))</f>
        <v>#VALUE!</v>
      </c>
      <c r="F25" s="26"/>
      <c r="G25" s="481">
        <v>2</v>
      </c>
      <c r="H25" s="485">
        <v>2</v>
      </c>
      <c r="I25" s="483"/>
      <c r="J25" s="26" t="e" vm="13">
        <f>INDEX(TablaEquipos[Badge],MATCH(K25,TablaEquipos[Team],0))</f>
        <v>#VALUE!</v>
      </c>
      <c r="K25" s="210" t="s">
        <v>32</v>
      </c>
      <c r="L25" s="97"/>
      <c r="M25" s="74"/>
      <c r="N25" s="92">
        <v>24</v>
      </c>
      <c r="O25" s="48" t="e" vm="16">
        <f>INDEX(TablaEquipos[],MATCH(P25,TablaEquipos[Team],0),MATCH($O$1,TablaEquipos[#Headers],0))</f>
        <v>#VALUE!</v>
      </c>
      <c r="P25" s="49" t="str">
        <f>IFERROR(INDEX(Calcs!A$2:A$37,MATCH($N25,Calcs!$CJ$2:$CJ$37,0)),"")</f>
        <v>Olympiakos</v>
      </c>
      <c r="Q25" s="50">
        <f>IFERROR(INDEX(Calcs!$B$2:$AB$37,MATCH($N25,Calcs!$CJ$2:$CJ$37,0),MATCH(Q$1,Calcs!$B$1:$AB$1,0)),"")</f>
        <v>8</v>
      </c>
      <c r="R25" s="51">
        <f>IFERROR(INDEX(Calcs!$B$2:$AB$37,MATCH($N25,Calcs!$CJ$2:$CJ$37,0),MATCH(R$1,Calcs!$B$1:$AB$1,0)),"")</f>
        <v>7</v>
      </c>
      <c r="S25" s="51">
        <f>IFERROR(INDEX(Calcs!$B$2:$AB$37,MATCH($N25,Calcs!$CJ$2:$CJ$37,0),MATCH(S$1,Calcs!$B$1:$AB$1,0)),"")</f>
        <v>2</v>
      </c>
      <c r="T25" s="51">
        <f>IFERROR(INDEX(Calcs!$B$2:$AB$37,MATCH($N25,Calcs!$CJ$2:$CJ$37,0),MATCH(T$1,Calcs!$B$1:$AB$1,0)),"")</f>
        <v>2</v>
      </c>
      <c r="U25" s="51">
        <f>IFERROR(INDEX(Calcs!$B$2:$AB$37,MATCH($N25,Calcs!$CJ$2:$CJ$37,0),MATCH(U$1,Calcs!$B$1:$AB$1,0)),"")</f>
        <v>3</v>
      </c>
      <c r="V25" s="51">
        <f>IFERROR(INDEX(Calcs!$B$2:$AB$37,MATCH($N25,Calcs!$CJ$2:$CJ$37,0),MATCH(V$1,Calcs!$B$1:$AB$1,0)),"")</f>
        <v>8</v>
      </c>
      <c r="W25" s="51">
        <f>IFERROR(INDEX(Calcs!$B$2:$AB$37,MATCH($N25,Calcs!$CJ$2:$CJ$37,0),MATCH(W$1,Calcs!$B$1:$AB$1,0)),"")</f>
        <v>13</v>
      </c>
      <c r="X25" s="52">
        <f>IFERROR(INDEX(Calcs!$B$2:$AB$37,MATCH($N25,Calcs!$CJ$2:$CJ$37,0),MATCH(X$1,Calcs!$B$1:$AB$1,0)),"")</f>
        <v>-5</v>
      </c>
      <c r="Y25" s="50">
        <f>IFERROR(INDEX(Calcs!$B$2:$AB$37,MATCH($N25,Calcs!$CJ$2:$CJ$37,0),MATCH(Y$1,Calcs!$B$1:$AB$1,0)),"")</f>
        <v>5</v>
      </c>
      <c r="Z25" s="51">
        <f>IFERROR(INDEX(Calcs!$B$2:$AB$37,MATCH($N25,Calcs!$CJ$2:$CJ$37,0),MATCH(Z$1,Calcs!$B$1:$AB$1,0)),"")</f>
        <v>4</v>
      </c>
      <c r="AA25" s="51">
        <f>IFERROR(INDEX(Calcs!$B$2:$AB$37,MATCH($N25,Calcs!$CJ$2:$CJ$37,0),MATCH(AA$1,Calcs!$B$1:$AB$1,0)),"")</f>
        <v>1</v>
      </c>
      <c r="AB25" s="51">
        <f>IFERROR(INDEX(Calcs!$B$2:$AB$37,MATCH($N25,Calcs!$CJ$2:$CJ$37,0),MATCH(AB$1,Calcs!$B$1:$AB$1,0)),"")</f>
        <v>2</v>
      </c>
      <c r="AC25" s="51">
        <f>IFERROR(INDEX(Calcs!$B$2:$AB$37,MATCH($N25,Calcs!$CJ$2:$CJ$37,0),MATCH(AC$1,Calcs!$B$1:$AB$1,0)),"")</f>
        <v>1</v>
      </c>
      <c r="AD25" s="51">
        <f>IFERROR(INDEX(Calcs!$B$2:$AB$37,MATCH($N25,Calcs!$CJ$2:$CJ$37,0),MATCH(AD$1,Calcs!$B$1:$AB$1,0)),"")</f>
        <v>6</v>
      </c>
      <c r="AE25" s="51">
        <f>IFERROR(INDEX(Calcs!$B$2:$AB$37,MATCH($N25,Calcs!$CJ$2:$CJ$37,0),MATCH(AE$1,Calcs!$B$1:$AB$1,0)),"")</f>
        <v>5</v>
      </c>
      <c r="AF25" s="52">
        <f>IFERROR(INDEX(Calcs!$B$2:$AB$37,MATCH($N25,Calcs!$CJ$2:$CJ$37,0),MATCH(AF$1,Calcs!$B$1:$AB$1,0)),"")</f>
        <v>1</v>
      </c>
      <c r="AG25" s="50">
        <f>IFERROR(INDEX(Calcs!$B$2:$AB$37,MATCH($N25,Calcs!$CJ$2:$CJ$37,0),MATCH(AG$1,Calcs!$B$1:$AB$1,0)),"")</f>
        <v>3</v>
      </c>
      <c r="AH25" s="51">
        <f>IFERROR(INDEX(Calcs!$B$2:$AB$37,MATCH($N25,Calcs!$CJ$2:$CJ$37,0),MATCH(AH$1,Calcs!$B$1:$AB$1,0)),"")</f>
        <v>3</v>
      </c>
      <c r="AI25" s="51">
        <f>IFERROR(INDEX(Calcs!$B$2:$AB$37,MATCH($N25,Calcs!$CJ$2:$CJ$37,0),MATCH(AI$1,Calcs!$B$1:$AB$1,0)),"")</f>
        <v>1</v>
      </c>
      <c r="AJ25" s="51">
        <f>IFERROR(INDEX(Calcs!$B$2:$AB$37,MATCH($N25,Calcs!$CJ$2:$CJ$37,0),MATCH(AJ$1,Calcs!$B$1:$AB$1,0)),"")</f>
        <v>0</v>
      </c>
      <c r="AK25" s="51">
        <f>IFERROR(INDEX(Calcs!$B$2:$AB$37,MATCH($N25,Calcs!$CJ$2:$CJ$37,0),MATCH(AK$1,Calcs!$B$1:$AB$1,0)),"")</f>
        <v>2</v>
      </c>
      <c r="AL25" s="51">
        <f>IFERROR(INDEX(Calcs!$B$2:$AB$37,MATCH($N25,Calcs!$CJ$2:$CJ$37,0),MATCH(AL$1,Calcs!$B$1:$AB$1,0)),"")</f>
        <v>2</v>
      </c>
      <c r="AM25" s="51">
        <f>IFERROR(INDEX(Calcs!$B$2:$AB$37,MATCH($N25,Calcs!$CJ$2:$CJ$37,0),MATCH(AM$1,Calcs!$B$1:$AB$1,0)),"")</f>
        <v>8</v>
      </c>
      <c r="AN25" s="53">
        <f>IFERROR(INDEX(Calcs!$B$2:$AB$37,MATCH($N25,Calcs!$CJ$2:$CJ$37,0),MATCH(AN$1,Calcs!$B$1:$AB$1,0)),"")</f>
        <v>-6</v>
      </c>
      <c r="AO25" s="51">
        <f>IFERROR(INDEX(Calcs!$B$2:$AB$37,MATCH($N25,Calcs!$CJ$2:$CJ$37,0),MATCH(AO$1,Calcs!$B$1:$AB$1,0)),"")</f>
        <v>79</v>
      </c>
      <c r="AP25" s="51">
        <f>IFERROR(INDEX(Calcs!$B$2:$AB$37,MATCH($N25,Calcs!$CJ$2:$CJ$37,0),MATCH(AP$1,Calcs!$B$1:$AB$1,0)),"")</f>
        <v>-1</v>
      </c>
      <c r="AQ25" s="53">
        <f>IFERROR(INDEX(Calcs!$B$2:$AB$37,MATCH($N25,Calcs!$CJ$2:$CJ$37,0),MATCH(AQ$1,Calcs!$B$1:$AB$1,0)),"")</f>
        <v>98</v>
      </c>
      <c r="AR25" s="74"/>
      <c r="AS25" s="9" t="str">
        <f>INDEX(Calcs!A$2:A$37,MATCH($N25,Calcs!$CF$2:$CF$37,0))</f>
        <v>Olympiakos</v>
      </c>
      <c r="AT25" s="177"/>
      <c r="AU25" s="149">
        <f>INDEX(Calcs!$BZ$2:$BZ$37,MATCH($AS25,Calcs!$A$2:$A$37,0))</f>
        <v>24</v>
      </c>
      <c r="AV25" s="149">
        <f t="shared" si="1"/>
        <v>1</v>
      </c>
      <c r="AW25" s="149" t="str">
        <f t="shared" si="2"/>
        <v>24.1</v>
      </c>
      <c r="AX25" s="149"/>
      <c r="AY25" s="74"/>
      <c r="AZ25" s="71" t="str">
        <f>TablaEquipos[[#This Row],[Team]]</f>
        <v>Napoli</v>
      </c>
      <c r="BA25" s="179"/>
      <c r="BB25" s="74"/>
      <c r="BC25" s="74"/>
      <c r="BD25" s="74"/>
      <c r="BE25" s="74"/>
      <c r="BF25" s="247" t="str">
        <f t="shared" si="0"/>
        <v>Empate</v>
      </c>
      <c r="BI25" s="247">
        <f>SUMIF(Calcs!$A$2:$A$37,League!BI8,Calcs!$H$2:$H$37)</f>
        <v>-10</v>
      </c>
      <c r="BJ25" s="247">
        <f>SUMIF(Calcs!$A$2:$A$37,League!BJ8,Calcs!$H$2:$H$37)</f>
        <v>6</v>
      </c>
      <c r="BK25" s="247">
        <f>SUMIF(Calcs!$A$2:$A$37,League!BK8,Calcs!$H$2:$H$37)</f>
        <v>-4</v>
      </c>
      <c r="BL25" s="247">
        <f>SUMIF(Calcs!$A$2:$A$37,League!BL8,Calcs!$H$2:$H$37)</f>
        <v>1</v>
      </c>
      <c r="BM25" s="247">
        <f>SUMIF(Calcs!$A$2:$A$37,League!BM8,Calcs!$H$2:$H$37)</f>
        <v>0</v>
      </c>
      <c r="BN25" s="247">
        <f>SUMIF(Calcs!$A$2:$A$37,League!BN8,Calcs!$H$2:$H$37)</f>
        <v>-11</v>
      </c>
      <c r="BO25" s="247">
        <f>SUMIF(Calcs!$A$2:$A$37,League!BO8,Calcs!$H$2:$H$37)</f>
        <v>-5</v>
      </c>
      <c r="BP25" s="247">
        <f>SUMIF(Calcs!$A$2:$A$37,League!BP8,Calcs!$H$2:$H$37)</f>
        <v>-10</v>
      </c>
      <c r="BQ25" s="247">
        <f>SUMIF(Calcs!$A$2:$A$37,League!BQ8,Calcs!$H$2:$H$37)</f>
        <v>4</v>
      </c>
      <c r="BR25" s="247">
        <f>SUMIF(Calcs!$A$2:$A$37,League!BR8,Calcs!$H$2:$H$37)</f>
        <v>4</v>
      </c>
      <c r="BS25" s="247">
        <f>SUMIF(Calcs!$A$2:$A$37,League!BS8,Calcs!$H$2:$H$37)</f>
        <v>8</v>
      </c>
      <c r="BT25" s="247">
        <f>SUMIF(Calcs!$A$2:$A$37,League!BT8,Calcs!$H$2:$H$37)</f>
        <v>-14</v>
      </c>
      <c r="BU25" s="247">
        <f>SUMIF(Calcs!$A$2:$A$37,League!BU8,Calcs!$H$2:$H$37)</f>
        <v>-6</v>
      </c>
      <c r="BV25" s="247">
        <f>SUMIF(Calcs!$A$2:$A$37,League!BV8,Calcs!$H$2:$H$37)</f>
        <v>-5</v>
      </c>
      <c r="BW25" s="247">
        <f>SUMIF(Calcs!$A$2:$A$37,League!BW8,Calcs!$H$2:$H$37)</f>
        <v>-2</v>
      </c>
      <c r="BX25" s="247">
        <f>SUMIF(Calcs!$A$2:$A$37,League!BX8,Calcs!$H$2:$H$37)</f>
        <v>3</v>
      </c>
      <c r="BY25" s="247">
        <f>SUMIF(Calcs!$A$2:$A$37,League!BY8,Calcs!$H$2:$H$37)</f>
        <v>18</v>
      </c>
      <c r="BZ25" s="247">
        <f>SUMIF(Calcs!$A$2:$A$37,League!BZ8,Calcs!$H$2:$H$37)</f>
        <v>-4</v>
      </c>
      <c r="CA25" s="247">
        <f>SUMIF(Calcs!$A$2:$A$37,League!CA8,Calcs!$H$2:$H$37)</f>
        <v>-5</v>
      </c>
      <c r="CB25" s="247">
        <f>SUMIF(Calcs!$A$2:$A$37,League!CB8,Calcs!$H$2:$H$37)</f>
        <v>0</v>
      </c>
      <c r="CC25" s="247">
        <f>SUMIF(Calcs!$A$2:$A$37,League!CC8,Calcs!$H$2:$H$37)</f>
        <v>-2</v>
      </c>
      <c r="CD25" s="247">
        <f>SUMIF(Calcs!$A$2:$A$37,League!CD8,Calcs!$H$2:$H$37)</f>
        <v>6</v>
      </c>
      <c r="CE25" s="247">
        <f>SUMIF(Calcs!$A$2:$A$37,League!CE8,Calcs!$H$2:$H$37)</f>
        <v>11</v>
      </c>
      <c r="CF25" s="247">
        <f>SUMIF(Calcs!$A$2:$A$37,League!CF8,Calcs!$H$2:$H$37)</f>
        <v>-6</v>
      </c>
      <c r="CG25" s="247">
        <f>SUMIF(Calcs!$A$2:$A$37,League!CG8,Calcs!$H$2:$H$37)</f>
        <v>1</v>
      </c>
      <c r="CH25" s="247">
        <f>SUMIF(Calcs!$A$2:$A$37,League!CH8,Calcs!$H$2:$H$37)</f>
        <v>-4</v>
      </c>
      <c r="CI25" s="247">
        <f>SUMIF(Calcs!$A$2:$A$37,League!CI8,Calcs!$H$2:$H$37)</f>
        <v>6</v>
      </c>
      <c r="CJ25" s="247">
        <f>SUMIF(Calcs!$A$2:$A$37,League!CJ8,Calcs!$H$2:$H$37)</f>
        <v>5</v>
      </c>
      <c r="CK25" s="247">
        <f>SUMIF(Calcs!$A$2:$A$37,League!CK8,Calcs!$H$2:$H$37)</f>
        <v>10</v>
      </c>
      <c r="CL25" s="247">
        <f>SUMIF(Calcs!$A$2:$A$37,League!CL8,Calcs!$H$2:$H$37)</f>
        <v>-9</v>
      </c>
      <c r="CM25" s="247">
        <f>SUMIF(Calcs!$A$2:$A$37,League!CM8,Calcs!$H$2:$H$37)</f>
        <v>-6</v>
      </c>
      <c r="CN25" s="247">
        <f>SUMIF(Calcs!$A$2:$A$37,League!CN8,Calcs!$H$2:$H$37)</f>
        <v>5</v>
      </c>
      <c r="CO25" s="247">
        <f>SUMIF(Calcs!$A$2:$A$37,League!CO8,Calcs!$H$2:$H$37)</f>
        <v>10</v>
      </c>
      <c r="CP25" s="247">
        <f>SUMIF(Calcs!$A$2:$A$37,League!CP8,Calcs!$H$2:$H$37)</f>
        <v>4</v>
      </c>
      <c r="CQ25" s="247">
        <f>SUMIF(Calcs!$A$2:$A$37,League!CQ8,Calcs!$H$2:$H$37)</f>
        <v>13</v>
      </c>
      <c r="CR25" s="247">
        <f>SUMIF(Calcs!$A$2:$A$37,League!CR8,Calcs!$H$2:$H$37)</f>
        <v>-12</v>
      </c>
      <c r="CS25" s="256"/>
      <c r="CT25" s="256"/>
      <c r="CU25" s="256"/>
      <c r="CV25" s="227"/>
    </row>
    <row r="26" spans="1:100" ht="17.100000000000001" customHeight="1">
      <c r="A26" s="484">
        <v>2</v>
      </c>
      <c r="B26" s="479">
        <f>Horarios!C26</f>
        <v>45930.875</v>
      </c>
      <c r="C26" s="480">
        <f>Horarios!C26</f>
        <v>45930.875</v>
      </c>
      <c r="D26" s="193" t="s">
        <v>52</v>
      </c>
      <c r="E26" s="25" t="e" vm="34">
        <f>INDEX(TablaEquipos[Badge],MATCH(D26,TablaEquipos[Team],0))</f>
        <v>#VALUE!</v>
      </c>
      <c r="F26" s="26"/>
      <c r="G26" s="481">
        <v>1</v>
      </c>
      <c r="H26" s="485">
        <v>0</v>
      </c>
      <c r="I26" s="483"/>
      <c r="J26" s="26" t="e" vm="10">
        <f>INDEX(TablaEquipos[Badge],MATCH(K26,TablaEquipos[Team],0))</f>
        <v>#VALUE!</v>
      </c>
      <c r="K26" s="210" t="s">
        <v>43</v>
      </c>
      <c r="L26" s="97"/>
      <c r="M26" s="74"/>
      <c r="N26" s="93">
        <v>25</v>
      </c>
      <c r="O26" s="54" t="e" vm="35">
        <f>INDEX(TablaEquipos[],MATCH(P26,TablaEquipos[Team],0),MATCH($O$1,TablaEquipos[#Headers],0))</f>
        <v>#VALUE!</v>
      </c>
      <c r="P26" s="55" t="str">
        <f>IFERROR(INDEX(Calcs!A$2:A$37,MATCH($N26,Calcs!$CJ$2:$CJ$37,0)),"")</f>
        <v>Napoli</v>
      </c>
      <c r="Q26" s="56">
        <f>IFERROR(INDEX(Calcs!$B$2:$AB$37,MATCH($N26,Calcs!$CJ$2:$CJ$37,0),MATCH(Q$1,Calcs!$B$1:$AB$1,0)),"")</f>
        <v>8</v>
      </c>
      <c r="R26" s="57">
        <f>IFERROR(INDEX(Calcs!$B$2:$AB$37,MATCH($N26,Calcs!$CJ$2:$CJ$37,0),MATCH(R$1,Calcs!$B$1:$AB$1,0)),"")</f>
        <v>7</v>
      </c>
      <c r="S26" s="57">
        <f>IFERROR(INDEX(Calcs!$B$2:$AB$37,MATCH($N26,Calcs!$CJ$2:$CJ$37,0),MATCH(S$1,Calcs!$B$1:$AB$1,0)),"")</f>
        <v>2</v>
      </c>
      <c r="T26" s="57">
        <f>IFERROR(INDEX(Calcs!$B$2:$AB$37,MATCH($N26,Calcs!$CJ$2:$CJ$37,0),MATCH(T$1,Calcs!$B$1:$AB$1,0)),"")</f>
        <v>2</v>
      </c>
      <c r="U26" s="57">
        <f>IFERROR(INDEX(Calcs!$B$2:$AB$37,MATCH($N26,Calcs!$CJ$2:$CJ$37,0),MATCH(U$1,Calcs!$B$1:$AB$1,0)),"")</f>
        <v>3</v>
      </c>
      <c r="V26" s="57">
        <f>IFERROR(INDEX(Calcs!$B$2:$AB$37,MATCH($N26,Calcs!$CJ$2:$CJ$37,0),MATCH(V$1,Calcs!$B$1:$AB$1,0)),"")</f>
        <v>7</v>
      </c>
      <c r="W26" s="57">
        <f>IFERROR(INDEX(Calcs!$B$2:$AB$37,MATCH($N26,Calcs!$CJ$2:$CJ$37,0),MATCH(W$1,Calcs!$B$1:$AB$1,0)),"")</f>
        <v>12</v>
      </c>
      <c r="X26" s="58">
        <f>IFERROR(INDEX(Calcs!$B$2:$AB$37,MATCH($N26,Calcs!$CJ$2:$CJ$37,0),MATCH(X$1,Calcs!$B$1:$AB$1,0)),"")</f>
        <v>-5</v>
      </c>
      <c r="Y26" s="59">
        <f>IFERROR(INDEX(Calcs!$B$2:$AB$37,MATCH($N26,Calcs!$CJ$2:$CJ$37,0),MATCH(Y$1,Calcs!$B$1:$AB$1,0)),"")</f>
        <v>7</v>
      </c>
      <c r="Z26" s="57">
        <f>IFERROR(INDEX(Calcs!$B$2:$AB$37,MATCH($N26,Calcs!$CJ$2:$CJ$37,0),MATCH(Z$1,Calcs!$B$1:$AB$1,0)),"")</f>
        <v>3</v>
      </c>
      <c r="AA26" s="57">
        <f>IFERROR(INDEX(Calcs!$B$2:$AB$37,MATCH($N26,Calcs!$CJ$2:$CJ$37,0),MATCH(AA$1,Calcs!$B$1:$AB$1,0)),"")</f>
        <v>2</v>
      </c>
      <c r="AB26" s="57">
        <f>IFERROR(INDEX(Calcs!$B$2:$AB$37,MATCH($N26,Calcs!$CJ$2:$CJ$37,0),MATCH(AB$1,Calcs!$B$1:$AB$1,0)),"")</f>
        <v>1</v>
      </c>
      <c r="AC26" s="57">
        <f>IFERROR(INDEX(Calcs!$B$2:$AB$37,MATCH($N26,Calcs!$CJ$2:$CJ$37,0),MATCH(AC$1,Calcs!$B$1:$AB$1,0)),"")</f>
        <v>0</v>
      </c>
      <c r="AD26" s="57">
        <f>IFERROR(INDEX(Calcs!$B$2:$AB$37,MATCH($N26,Calcs!$CJ$2:$CJ$37,0),MATCH(AD$1,Calcs!$B$1:$AB$1,0)),"")</f>
        <v>4</v>
      </c>
      <c r="AE26" s="57">
        <f>IFERROR(INDEX(Calcs!$B$2:$AB$37,MATCH($N26,Calcs!$CJ$2:$CJ$37,0),MATCH(AE$1,Calcs!$B$1:$AB$1,0)),"")</f>
        <v>1</v>
      </c>
      <c r="AF26" s="58">
        <f>IFERROR(INDEX(Calcs!$B$2:$AB$37,MATCH($N26,Calcs!$CJ$2:$CJ$37,0),MATCH(AF$1,Calcs!$B$1:$AB$1,0)),"")</f>
        <v>3</v>
      </c>
      <c r="AG26" s="59">
        <f>IFERROR(INDEX(Calcs!$B$2:$AB$37,MATCH($N26,Calcs!$CJ$2:$CJ$37,0),MATCH(AG$1,Calcs!$B$1:$AB$1,0)),"")</f>
        <v>1</v>
      </c>
      <c r="AH26" s="57">
        <f>IFERROR(INDEX(Calcs!$B$2:$AB$37,MATCH($N26,Calcs!$CJ$2:$CJ$37,0),MATCH(AH$1,Calcs!$B$1:$AB$1,0)),"")</f>
        <v>4</v>
      </c>
      <c r="AI26" s="57">
        <f>IFERROR(INDEX(Calcs!$B$2:$AB$37,MATCH($N26,Calcs!$CJ$2:$CJ$37,0),MATCH(AI$1,Calcs!$B$1:$AB$1,0)),"")</f>
        <v>0</v>
      </c>
      <c r="AJ26" s="57">
        <f>IFERROR(INDEX(Calcs!$B$2:$AB$37,MATCH($N26,Calcs!$CJ$2:$CJ$37,0),MATCH(AJ$1,Calcs!$B$1:$AB$1,0)),"")</f>
        <v>1</v>
      </c>
      <c r="AK26" s="57">
        <f>IFERROR(INDEX(Calcs!$B$2:$AB$37,MATCH($N26,Calcs!$CJ$2:$CJ$37,0),MATCH(AK$1,Calcs!$B$1:$AB$1,0)),"")</f>
        <v>3</v>
      </c>
      <c r="AL26" s="57">
        <f>IFERROR(INDEX(Calcs!$B$2:$AB$37,MATCH($N26,Calcs!$CJ$2:$CJ$37,0),MATCH(AL$1,Calcs!$B$1:$AB$1,0)),"")</f>
        <v>3</v>
      </c>
      <c r="AM26" s="57">
        <f>IFERROR(INDEX(Calcs!$B$2:$AB$37,MATCH($N26,Calcs!$CJ$2:$CJ$37,0),MATCH(AM$1,Calcs!$B$1:$AB$1,0)),"")</f>
        <v>11</v>
      </c>
      <c r="AN26" s="60">
        <f>IFERROR(INDEX(Calcs!$B$2:$AB$37,MATCH($N26,Calcs!$CJ$2:$CJ$37,0),MATCH(AN$1,Calcs!$B$1:$AB$1,0)),"")</f>
        <v>-8</v>
      </c>
      <c r="AO26" s="57">
        <f>IFERROR(INDEX(Calcs!$B$2:$AB$37,MATCH($N26,Calcs!$CJ$2:$CJ$37,0),MATCH(AO$1,Calcs!$B$1:$AB$1,0)),"")</f>
        <v>75</v>
      </c>
      <c r="AP26" s="57">
        <f>IFERROR(INDEX(Calcs!$B$2:$AB$37,MATCH($N26,Calcs!$CJ$2:$CJ$37,0),MATCH(AP$1,Calcs!$B$1:$AB$1,0)),"")</f>
        <v>-5</v>
      </c>
      <c r="AQ26" s="60">
        <f>IFERROR(INDEX(Calcs!$B$2:$AB$37,MATCH($N26,Calcs!$CJ$2:$CJ$37,0),MATCH(AQ$1,Calcs!$B$1:$AB$1,0)),"")</f>
        <v>96</v>
      </c>
      <c r="AR26" s="74"/>
      <c r="AS26" s="9" t="str">
        <f>INDEX(Calcs!A$2:A$37,MATCH($N26,Calcs!$CF$2:$CF$37,0))</f>
        <v>Napoli</v>
      </c>
      <c r="AT26" s="177"/>
      <c r="AU26" s="149">
        <f>INDEX(Calcs!$BZ$2:$BZ$37,MATCH($AS26,Calcs!$A$2:$A$37,0))</f>
        <v>25</v>
      </c>
      <c r="AV26" s="149">
        <f t="shared" si="1"/>
        <v>1</v>
      </c>
      <c r="AW26" s="149" t="str">
        <f t="shared" si="2"/>
        <v>25.1</v>
      </c>
      <c r="AX26" s="149"/>
      <c r="AY26" s="74"/>
      <c r="AZ26" s="70" t="str">
        <f>TablaEquipos[[#This Row],[Team]]</f>
        <v>Newcastle</v>
      </c>
      <c r="BA26" s="178"/>
      <c r="BB26" s="74"/>
      <c r="BC26" s="74"/>
      <c r="BD26" s="74"/>
      <c r="BE26" s="74"/>
      <c r="BF26" s="247" t="str">
        <f t="shared" si="0"/>
        <v>Local</v>
      </c>
      <c r="BI26" s="247">
        <f>SUMIF(Calcs!$A$2:$A$37,League!BI9,Calcs!$H$2:$H$37)</f>
        <v>-5</v>
      </c>
      <c r="BJ26" s="247">
        <f>SUMIF(Calcs!$A$2:$A$37,League!BJ9,Calcs!$H$2:$H$37)</f>
        <v>-14</v>
      </c>
      <c r="BK26" s="247">
        <f>SUMIF(Calcs!$A$2:$A$37,League!BK9,Calcs!$H$2:$H$37)</f>
        <v>-10</v>
      </c>
      <c r="BL26" s="247">
        <f>SUMIF(Calcs!$A$2:$A$37,League!BL9,Calcs!$H$2:$H$37)</f>
        <v>5</v>
      </c>
      <c r="BM26" s="247">
        <f>SUMIF(Calcs!$A$2:$A$37,League!BM9,Calcs!$H$2:$H$37)</f>
        <v>-2</v>
      </c>
      <c r="BN26" s="247">
        <f>SUMIF(Calcs!$A$2:$A$37,League!BN9,Calcs!$H$2:$H$37)</f>
        <v>-6</v>
      </c>
      <c r="BO26" s="247">
        <f>SUMIF(Calcs!$A$2:$A$37,League!BO9,Calcs!$H$2:$H$37)</f>
        <v>-10</v>
      </c>
      <c r="BP26" s="247">
        <f>SUMIF(Calcs!$A$2:$A$37,League!BP9,Calcs!$H$2:$H$37)</f>
        <v>1</v>
      </c>
      <c r="BQ26" s="247">
        <f>SUMIF(Calcs!$A$2:$A$37,League!BQ9,Calcs!$H$2:$H$37)</f>
        <v>11</v>
      </c>
      <c r="BR26" s="247">
        <f>SUMIF(Calcs!$A$2:$A$37,League!BR9,Calcs!$H$2:$H$37)</f>
        <v>3</v>
      </c>
      <c r="BS26" s="247">
        <f>SUMIF(Calcs!$A$2:$A$37,League!BS9,Calcs!$H$2:$H$37)</f>
        <v>6</v>
      </c>
      <c r="BT26" s="247">
        <f>SUMIF(Calcs!$A$2:$A$37,League!BT9,Calcs!$H$2:$H$37)</f>
        <v>0</v>
      </c>
      <c r="BU26" s="247">
        <f>SUMIF(Calcs!$A$2:$A$37,League!BU9,Calcs!$H$2:$H$37)</f>
        <v>-5</v>
      </c>
      <c r="BV26" s="247">
        <f>SUMIF(Calcs!$A$2:$A$37,League!BV9,Calcs!$H$2:$H$37)</f>
        <v>5</v>
      </c>
      <c r="BW26" s="247">
        <f>SUMIF(Calcs!$A$2:$A$37,League!BW9,Calcs!$H$2:$H$37)</f>
        <v>8</v>
      </c>
      <c r="BX26" s="247">
        <f>SUMIF(Calcs!$A$2:$A$37,League!BX9,Calcs!$H$2:$H$37)</f>
        <v>4</v>
      </c>
      <c r="BY26" s="247">
        <f>SUMIF(Calcs!$A$2:$A$37,League!BY9,Calcs!$H$2:$H$37)</f>
        <v>4</v>
      </c>
      <c r="BZ26" s="247">
        <f>SUMIF(Calcs!$A$2:$A$37,League!BZ9,Calcs!$H$2:$H$37)</f>
        <v>-6</v>
      </c>
      <c r="CA26" s="247">
        <f>SUMIF(Calcs!$A$2:$A$37,League!CA9,Calcs!$H$2:$H$37)</f>
        <v>18</v>
      </c>
      <c r="CB26" s="247">
        <f>SUMIF(Calcs!$A$2:$A$37,League!CB9,Calcs!$H$2:$H$37)</f>
        <v>-2</v>
      </c>
      <c r="CC26" s="247">
        <f>SUMIF(Calcs!$A$2:$A$37,League!CC9,Calcs!$H$2:$H$37)</f>
        <v>0</v>
      </c>
      <c r="CD26" s="247">
        <f>SUMIF(Calcs!$A$2:$A$37,League!CD9,Calcs!$H$2:$H$37)</f>
        <v>-5</v>
      </c>
      <c r="CE26" s="247">
        <f>SUMIF(Calcs!$A$2:$A$37,League!CE9,Calcs!$H$2:$H$37)</f>
        <v>4</v>
      </c>
      <c r="CF26" s="247">
        <f>SUMIF(Calcs!$A$2:$A$37,League!CF9,Calcs!$H$2:$H$37)</f>
        <v>6</v>
      </c>
      <c r="CG26" s="247">
        <f>SUMIF(Calcs!$A$2:$A$37,League!CG9,Calcs!$H$2:$H$37)</f>
        <v>10</v>
      </c>
      <c r="CH26" s="247">
        <f>SUMIF(Calcs!$A$2:$A$37,League!CH9,Calcs!$H$2:$H$37)</f>
        <v>-12</v>
      </c>
      <c r="CI26" s="247">
        <f>SUMIF(Calcs!$A$2:$A$37,League!CI9,Calcs!$H$2:$H$37)</f>
        <v>-11</v>
      </c>
      <c r="CJ26" s="247">
        <f>SUMIF(Calcs!$A$2:$A$37,League!CJ9,Calcs!$H$2:$H$37)</f>
        <v>10</v>
      </c>
      <c r="CK26" s="247">
        <f>SUMIF(Calcs!$A$2:$A$37,League!CK9,Calcs!$H$2:$H$37)</f>
        <v>13</v>
      </c>
      <c r="CL26" s="247">
        <f>SUMIF(Calcs!$A$2:$A$37,League!CL9,Calcs!$H$2:$H$37)</f>
        <v>6</v>
      </c>
      <c r="CM26" s="247">
        <f>SUMIF(Calcs!$A$2:$A$37,League!CM9,Calcs!$H$2:$H$37)</f>
        <v>-4</v>
      </c>
      <c r="CN26" s="247">
        <f>SUMIF(Calcs!$A$2:$A$37,League!CN9,Calcs!$H$2:$H$37)</f>
        <v>-6</v>
      </c>
      <c r="CO26" s="247">
        <f>SUMIF(Calcs!$A$2:$A$37,League!CO9,Calcs!$H$2:$H$37)</f>
        <v>-4</v>
      </c>
      <c r="CP26" s="247">
        <f>SUMIF(Calcs!$A$2:$A$37,League!CP9,Calcs!$H$2:$H$37)</f>
        <v>-9</v>
      </c>
      <c r="CQ26" s="247">
        <f>SUMIF(Calcs!$A$2:$A$37,League!CQ9,Calcs!$H$2:$H$37)</f>
        <v>1</v>
      </c>
      <c r="CR26" s="247">
        <f>SUMIF(Calcs!$A$2:$A$37,League!CR9,Calcs!$H$2:$H$37)</f>
        <v>-4</v>
      </c>
      <c r="CS26" s="256"/>
      <c r="CT26" s="256"/>
      <c r="CU26" s="256"/>
      <c r="CV26" s="227"/>
    </row>
    <row r="27" spans="1:100" ht="17.100000000000001" customHeight="1">
      <c r="A27" s="484">
        <v>2</v>
      </c>
      <c r="B27" s="479">
        <f>Horarios!C27</f>
        <v>45930.875</v>
      </c>
      <c r="C27" s="480">
        <f>Horarios!C27</f>
        <v>45930.875</v>
      </c>
      <c r="D27" s="193" t="s">
        <v>29</v>
      </c>
      <c r="E27" s="25" t="e" vm="9">
        <f>INDEX(TablaEquipos[Badge],MATCH(D27,TablaEquipos[Team],0))</f>
        <v>#VALUE!</v>
      </c>
      <c r="F27" s="26"/>
      <c r="G27" s="481">
        <v>4</v>
      </c>
      <c r="H27" s="485">
        <v>0</v>
      </c>
      <c r="I27" s="483"/>
      <c r="J27" s="26" t="e" vm="22">
        <f>INDEX(TablaEquipos[Badge],MATCH(K27,TablaEquipos[Team],0))</f>
        <v>#VALUE!</v>
      </c>
      <c r="K27" s="210" t="s">
        <v>38</v>
      </c>
      <c r="L27" s="97"/>
      <c r="M27" s="74"/>
      <c r="N27" s="94">
        <v>26</v>
      </c>
      <c r="O27" s="54" t="e" vm="31">
        <f>INDEX(TablaEquipos[],MATCH(P27,TablaEquipos[Team],0),MATCH($O$1,TablaEquipos[#Headers],0))</f>
        <v>#VALUE!</v>
      </c>
      <c r="P27" s="55" t="str">
        <f>IFERROR(INDEX(Calcs!A$2:A$37,MATCH($N27,Calcs!$CJ$2:$CJ$37,0)),"")</f>
        <v>Copenhagen</v>
      </c>
      <c r="Q27" s="56">
        <f>IFERROR(INDEX(Calcs!$B$2:$AB$37,MATCH($N27,Calcs!$CJ$2:$CJ$37,0),MATCH(Q$1,Calcs!$B$1:$AB$1,0)),"")</f>
        <v>8</v>
      </c>
      <c r="R27" s="57">
        <f>IFERROR(INDEX(Calcs!$B$2:$AB$37,MATCH($N27,Calcs!$CJ$2:$CJ$37,0),MATCH(R$1,Calcs!$B$1:$AB$1,0)),"")</f>
        <v>7</v>
      </c>
      <c r="S27" s="57">
        <f>IFERROR(INDEX(Calcs!$B$2:$AB$37,MATCH($N27,Calcs!$CJ$2:$CJ$37,0),MATCH(S$1,Calcs!$B$1:$AB$1,0)),"")</f>
        <v>2</v>
      </c>
      <c r="T27" s="57">
        <f>IFERROR(INDEX(Calcs!$B$2:$AB$37,MATCH($N27,Calcs!$CJ$2:$CJ$37,0),MATCH(T$1,Calcs!$B$1:$AB$1,0)),"")</f>
        <v>2</v>
      </c>
      <c r="U27" s="57">
        <f>IFERROR(INDEX(Calcs!$B$2:$AB$37,MATCH($N27,Calcs!$CJ$2:$CJ$37,0),MATCH(U$1,Calcs!$B$1:$AB$1,0)),"")</f>
        <v>3</v>
      </c>
      <c r="V27" s="57">
        <f>IFERROR(INDEX(Calcs!$B$2:$AB$37,MATCH($N27,Calcs!$CJ$2:$CJ$37,0),MATCH(V$1,Calcs!$B$1:$AB$1,0)),"")</f>
        <v>11</v>
      </c>
      <c r="W27" s="57">
        <f>IFERROR(INDEX(Calcs!$B$2:$AB$37,MATCH($N27,Calcs!$CJ$2:$CJ$37,0),MATCH(W$1,Calcs!$B$1:$AB$1,0)),"")</f>
        <v>17</v>
      </c>
      <c r="X27" s="58">
        <f>IFERROR(INDEX(Calcs!$B$2:$AB$37,MATCH($N27,Calcs!$CJ$2:$CJ$37,0),MATCH(X$1,Calcs!$B$1:$AB$1,0)),"")</f>
        <v>-6</v>
      </c>
      <c r="Y27" s="59">
        <f>IFERROR(INDEX(Calcs!$B$2:$AB$37,MATCH($N27,Calcs!$CJ$2:$CJ$37,0),MATCH(Y$1,Calcs!$B$1:$AB$1,0)),"")</f>
        <v>5</v>
      </c>
      <c r="Z27" s="57">
        <f>IFERROR(INDEX(Calcs!$B$2:$AB$37,MATCH($N27,Calcs!$CJ$2:$CJ$37,0),MATCH(Z$1,Calcs!$B$1:$AB$1,0)),"")</f>
        <v>4</v>
      </c>
      <c r="AA27" s="57">
        <f>IFERROR(INDEX(Calcs!$B$2:$AB$37,MATCH($N27,Calcs!$CJ$2:$CJ$37,0),MATCH(AA$1,Calcs!$B$1:$AB$1,0)),"")</f>
        <v>1</v>
      </c>
      <c r="AB27" s="57">
        <f>IFERROR(INDEX(Calcs!$B$2:$AB$37,MATCH($N27,Calcs!$CJ$2:$CJ$37,0),MATCH(AB$1,Calcs!$B$1:$AB$1,0)),"")</f>
        <v>2</v>
      </c>
      <c r="AC27" s="57">
        <f>IFERROR(INDEX(Calcs!$B$2:$AB$37,MATCH($N27,Calcs!$CJ$2:$CJ$37,0),MATCH(AC$1,Calcs!$B$1:$AB$1,0)),"")</f>
        <v>1</v>
      </c>
      <c r="AD27" s="57">
        <f>IFERROR(INDEX(Calcs!$B$2:$AB$37,MATCH($N27,Calcs!$CJ$2:$CJ$37,0),MATCH(AD$1,Calcs!$B$1:$AB$1,0)),"")</f>
        <v>8</v>
      </c>
      <c r="AE27" s="57">
        <f>IFERROR(INDEX(Calcs!$B$2:$AB$37,MATCH($N27,Calcs!$CJ$2:$CJ$37,0),MATCH(AE$1,Calcs!$B$1:$AB$1,0)),"")</f>
        <v>9</v>
      </c>
      <c r="AF27" s="58">
        <f>IFERROR(INDEX(Calcs!$B$2:$AB$37,MATCH($N27,Calcs!$CJ$2:$CJ$37,0),MATCH(AF$1,Calcs!$B$1:$AB$1,0)),"")</f>
        <v>-1</v>
      </c>
      <c r="AG27" s="59">
        <f>IFERROR(INDEX(Calcs!$B$2:$AB$37,MATCH($N27,Calcs!$CJ$2:$CJ$37,0),MATCH(AG$1,Calcs!$B$1:$AB$1,0)),"")</f>
        <v>3</v>
      </c>
      <c r="AH27" s="57">
        <f>IFERROR(INDEX(Calcs!$B$2:$AB$37,MATCH($N27,Calcs!$CJ$2:$CJ$37,0),MATCH(AH$1,Calcs!$B$1:$AB$1,0)),"")</f>
        <v>3</v>
      </c>
      <c r="AI27" s="57">
        <f>IFERROR(INDEX(Calcs!$B$2:$AB$37,MATCH($N27,Calcs!$CJ$2:$CJ$37,0),MATCH(AI$1,Calcs!$B$1:$AB$1,0)),"")</f>
        <v>1</v>
      </c>
      <c r="AJ27" s="57">
        <f>IFERROR(INDEX(Calcs!$B$2:$AB$37,MATCH($N27,Calcs!$CJ$2:$CJ$37,0),MATCH(AJ$1,Calcs!$B$1:$AB$1,0)),"")</f>
        <v>0</v>
      </c>
      <c r="AK27" s="57">
        <f>IFERROR(INDEX(Calcs!$B$2:$AB$37,MATCH($N27,Calcs!$CJ$2:$CJ$37,0),MATCH(AK$1,Calcs!$B$1:$AB$1,0)),"")</f>
        <v>2</v>
      </c>
      <c r="AL27" s="57">
        <f>IFERROR(INDEX(Calcs!$B$2:$AB$37,MATCH($N27,Calcs!$CJ$2:$CJ$37,0),MATCH(AL$1,Calcs!$B$1:$AB$1,0)),"")</f>
        <v>3</v>
      </c>
      <c r="AM27" s="57">
        <f>IFERROR(INDEX(Calcs!$B$2:$AB$37,MATCH($N27,Calcs!$CJ$2:$CJ$37,0),MATCH(AM$1,Calcs!$B$1:$AB$1,0)),"")</f>
        <v>8</v>
      </c>
      <c r="AN27" s="60">
        <f>IFERROR(INDEX(Calcs!$B$2:$AB$37,MATCH($N27,Calcs!$CJ$2:$CJ$37,0),MATCH(AN$1,Calcs!$B$1:$AB$1,0)),"")</f>
        <v>-5</v>
      </c>
      <c r="AO27" s="57">
        <f>IFERROR(INDEX(Calcs!$B$2:$AB$37,MATCH($N27,Calcs!$CJ$2:$CJ$37,0),MATCH(AO$1,Calcs!$B$1:$AB$1,0)),"")</f>
        <v>67</v>
      </c>
      <c r="AP27" s="57">
        <f>IFERROR(INDEX(Calcs!$B$2:$AB$37,MATCH($N27,Calcs!$CJ$2:$CJ$37,0),MATCH(AP$1,Calcs!$B$1:$AB$1,0)),"")</f>
        <v>-18</v>
      </c>
      <c r="AQ27" s="60">
        <f>IFERROR(INDEX(Calcs!$B$2:$AB$37,MATCH($N27,Calcs!$CJ$2:$CJ$37,0),MATCH(AQ$1,Calcs!$B$1:$AB$1,0)),"")</f>
        <v>92</v>
      </c>
      <c r="AR27" s="74"/>
      <c r="AS27" s="9" t="str">
        <f>INDEX(Calcs!A$2:A$37,MATCH($N27,Calcs!$CF$2:$CF$37,0))</f>
        <v>Copenhagen</v>
      </c>
      <c r="AT27" s="177"/>
      <c r="AU27" s="149">
        <f>INDEX(Calcs!$BZ$2:$BZ$37,MATCH($AS27,Calcs!$A$2:$A$37,0))</f>
        <v>26</v>
      </c>
      <c r="AV27" s="149">
        <f t="shared" si="1"/>
        <v>1</v>
      </c>
      <c r="AW27" s="149" t="str">
        <f t="shared" si="2"/>
        <v>26.1</v>
      </c>
      <c r="AX27" s="149"/>
      <c r="AY27" s="74"/>
      <c r="AZ27" s="71" t="str">
        <f>TablaEquipos[[#This Row],[Team]]</f>
        <v>Olympiakos</v>
      </c>
      <c r="BA27" s="179"/>
      <c r="BB27" s="74"/>
      <c r="BC27" s="74"/>
      <c r="BD27" s="74"/>
      <c r="BE27" s="74"/>
      <c r="BF27" s="247" t="str">
        <f t="shared" si="0"/>
        <v>Local</v>
      </c>
      <c r="BH27" s="257" t="s">
        <v>62</v>
      </c>
      <c r="BI27" s="258">
        <f>SUM(BI19:BI26)</f>
        <v>-9</v>
      </c>
      <c r="BJ27" s="258">
        <f>SUM(BJ19:BJ26)</f>
        <v>-17</v>
      </c>
      <c r="BK27" s="258">
        <f t="shared" ref="BK27:CR27" si="4">SUM(BK19:BK26)</f>
        <v>-23</v>
      </c>
      <c r="BL27" s="258">
        <f t="shared" si="4"/>
        <v>35</v>
      </c>
      <c r="BM27" s="258">
        <f t="shared" si="4"/>
        <v>10</v>
      </c>
      <c r="BN27" s="258">
        <f t="shared" si="4"/>
        <v>-10</v>
      </c>
      <c r="BO27" s="258">
        <f t="shared" si="4"/>
        <v>0</v>
      </c>
      <c r="BP27" s="258">
        <f t="shared" si="4"/>
        <v>19</v>
      </c>
      <c r="BQ27" s="258">
        <f t="shared" si="4"/>
        <v>8</v>
      </c>
      <c r="BR27" s="258">
        <f t="shared" si="4"/>
        <v>6</v>
      </c>
      <c r="BS27" s="258">
        <f t="shared" si="4"/>
        <v>0</v>
      </c>
      <c r="BT27" s="258">
        <f t="shared" si="4"/>
        <v>22</v>
      </c>
      <c r="BU27" s="258">
        <f t="shared" si="4"/>
        <v>-10</v>
      </c>
      <c r="BV27" s="258">
        <f t="shared" si="4"/>
        <v>-18</v>
      </c>
      <c r="BW27" s="258">
        <f t="shared" si="4"/>
        <v>16</v>
      </c>
      <c r="BX27" s="258">
        <f t="shared" si="4"/>
        <v>-26</v>
      </c>
      <c r="BY27" s="258">
        <f t="shared" si="4"/>
        <v>-16</v>
      </c>
      <c r="BZ27" s="258">
        <f t="shared" si="4"/>
        <v>-8</v>
      </c>
      <c r="CA27" s="258">
        <f t="shared" si="4"/>
        <v>18</v>
      </c>
      <c r="CB27" s="258">
        <f t="shared" si="4"/>
        <v>10</v>
      </c>
      <c r="CC27" s="258">
        <f t="shared" si="4"/>
        <v>-12</v>
      </c>
      <c r="CD27" s="258">
        <f t="shared" si="4"/>
        <v>6</v>
      </c>
      <c r="CE27" s="258">
        <f t="shared" si="4"/>
        <v>14</v>
      </c>
      <c r="CF27" s="258">
        <f t="shared" si="4"/>
        <v>-5</v>
      </c>
      <c r="CG27" s="258">
        <f t="shared" si="4"/>
        <v>-6</v>
      </c>
      <c r="CH27" s="258">
        <f t="shared" si="4"/>
        <v>-1</v>
      </c>
      <c r="CI27" s="258">
        <f t="shared" si="4"/>
        <v>-23</v>
      </c>
      <c r="CJ27" s="258">
        <f t="shared" si="4"/>
        <v>34</v>
      </c>
      <c r="CK27" s="258">
        <f t="shared" si="4"/>
        <v>8</v>
      </c>
      <c r="CL27" s="258">
        <f t="shared" si="4"/>
        <v>-28</v>
      </c>
      <c r="CM27" s="258">
        <f t="shared" si="4"/>
        <v>-15</v>
      </c>
      <c r="CN27" s="258">
        <f t="shared" si="4"/>
        <v>26</v>
      </c>
      <c r="CO27" s="258">
        <f t="shared" si="4"/>
        <v>-1</v>
      </c>
      <c r="CP27" s="258">
        <f t="shared" si="4"/>
        <v>-30</v>
      </c>
      <c r="CQ27" s="258">
        <f t="shared" si="4"/>
        <v>34</v>
      </c>
      <c r="CR27" s="258">
        <f t="shared" si="4"/>
        <v>-8</v>
      </c>
      <c r="CS27" s="257"/>
      <c r="CT27" s="257"/>
      <c r="CU27" s="257"/>
      <c r="CV27" s="112"/>
    </row>
    <row r="28" spans="1:100" ht="17.100000000000001" customHeight="1">
      <c r="A28" s="484">
        <v>2</v>
      </c>
      <c r="B28" s="479">
        <f>Horarios!C28</f>
        <v>45930.875</v>
      </c>
      <c r="C28" s="480">
        <f>Horarios!C28</f>
        <v>45930.875</v>
      </c>
      <c r="D28" s="193" t="s">
        <v>35</v>
      </c>
      <c r="E28" s="25" t="e" vm="17">
        <f>INDEX(TablaEquipos[Badge],MATCH(D28,TablaEquipos[Team],0))</f>
        <v>#VALUE!</v>
      </c>
      <c r="F28" s="26"/>
      <c r="G28" s="481">
        <v>1</v>
      </c>
      <c r="H28" s="485">
        <v>5</v>
      </c>
      <c r="I28" s="483"/>
      <c r="J28" s="26" t="e" vm="5">
        <f>INDEX(TablaEquipos[Badge],MATCH(K28,TablaEquipos[Team],0))</f>
        <v>#VALUE!</v>
      </c>
      <c r="K28" s="210" t="s">
        <v>41</v>
      </c>
      <c r="L28" s="97"/>
      <c r="M28" s="74"/>
      <c r="N28" s="93">
        <v>27</v>
      </c>
      <c r="O28" s="54" t="e" vm="29">
        <f>INDEX(TablaEquipos[],MATCH(P28,TablaEquipos[Team],0),MATCH($O$1,TablaEquipos[#Headers],0))</f>
        <v>#VALUE!</v>
      </c>
      <c r="P28" s="55" t="str">
        <f>IFERROR(INDEX(Calcs!A$2:A$37,MATCH($N28,Calcs!$CJ$2:$CJ$37,0)),"")</f>
        <v>Brugge</v>
      </c>
      <c r="Q28" s="56">
        <f>IFERROR(INDEX(Calcs!$B$2:$AB$37,MATCH($N28,Calcs!$CJ$2:$CJ$37,0),MATCH(Q$1,Calcs!$B$1:$AB$1,0)),"")</f>
        <v>7</v>
      </c>
      <c r="R28" s="57">
        <f>IFERROR(INDEX(Calcs!$B$2:$AB$37,MATCH($N28,Calcs!$CJ$2:$CJ$37,0),MATCH(R$1,Calcs!$B$1:$AB$1,0)),"")</f>
        <v>7</v>
      </c>
      <c r="S28" s="57">
        <f>IFERROR(INDEX(Calcs!$B$2:$AB$37,MATCH($N28,Calcs!$CJ$2:$CJ$37,0),MATCH(S$1,Calcs!$B$1:$AB$1,0)),"")</f>
        <v>2</v>
      </c>
      <c r="T28" s="57">
        <f>IFERROR(INDEX(Calcs!$B$2:$AB$37,MATCH($N28,Calcs!$CJ$2:$CJ$37,0),MATCH(T$1,Calcs!$B$1:$AB$1,0)),"")</f>
        <v>1</v>
      </c>
      <c r="U28" s="57">
        <f>IFERROR(INDEX(Calcs!$B$2:$AB$37,MATCH($N28,Calcs!$CJ$2:$CJ$37,0),MATCH(U$1,Calcs!$B$1:$AB$1,0)),"")</f>
        <v>4</v>
      </c>
      <c r="V28" s="57">
        <f>IFERROR(INDEX(Calcs!$B$2:$AB$37,MATCH($N28,Calcs!$CJ$2:$CJ$37,0),MATCH(V$1,Calcs!$B$1:$AB$1,0)),"")</f>
        <v>12</v>
      </c>
      <c r="W28" s="57">
        <f>IFERROR(INDEX(Calcs!$B$2:$AB$37,MATCH($N28,Calcs!$CJ$2:$CJ$37,0),MATCH(W$1,Calcs!$B$1:$AB$1,0)),"")</f>
        <v>17</v>
      </c>
      <c r="X28" s="58">
        <f>IFERROR(INDEX(Calcs!$B$2:$AB$37,MATCH($N28,Calcs!$CJ$2:$CJ$37,0),MATCH(X$1,Calcs!$B$1:$AB$1,0)),"")</f>
        <v>-5</v>
      </c>
      <c r="Y28" s="59">
        <f>IFERROR(INDEX(Calcs!$B$2:$AB$37,MATCH($N28,Calcs!$CJ$2:$CJ$37,0),MATCH(Y$1,Calcs!$B$1:$AB$1,0)),"")</f>
        <v>4</v>
      </c>
      <c r="Z28" s="57">
        <f>IFERROR(INDEX(Calcs!$B$2:$AB$37,MATCH($N28,Calcs!$CJ$2:$CJ$37,0),MATCH(Z$1,Calcs!$B$1:$AB$1,0)),"")</f>
        <v>3</v>
      </c>
      <c r="AA28" s="57">
        <f>IFERROR(INDEX(Calcs!$B$2:$AB$37,MATCH($N28,Calcs!$CJ$2:$CJ$37,0),MATCH(AA$1,Calcs!$B$1:$AB$1,0)),"")</f>
        <v>1</v>
      </c>
      <c r="AB28" s="57">
        <f>IFERROR(INDEX(Calcs!$B$2:$AB$37,MATCH($N28,Calcs!$CJ$2:$CJ$37,0),MATCH(AB$1,Calcs!$B$1:$AB$1,0)),"")</f>
        <v>1</v>
      </c>
      <c r="AC28" s="57">
        <f>IFERROR(INDEX(Calcs!$B$2:$AB$37,MATCH($N28,Calcs!$CJ$2:$CJ$37,0),MATCH(AC$1,Calcs!$B$1:$AB$1,0)),"")</f>
        <v>1</v>
      </c>
      <c r="AD28" s="57">
        <f>IFERROR(INDEX(Calcs!$B$2:$AB$37,MATCH($N28,Calcs!$CJ$2:$CJ$37,0),MATCH(AD$1,Calcs!$B$1:$AB$1,0)),"")</f>
        <v>7</v>
      </c>
      <c r="AE28" s="57">
        <f>IFERROR(INDEX(Calcs!$B$2:$AB$37,MATCH($N28,Calcs!$CJ$2:$CJ$37,0),MATCH(AE$1,Calcs!$B$1:$AB$1,0)),"")</f>
        <v>7</v>
      </c>
      <c r="AF28" s="58">
        <f>IFERROR(INDEX(Calcs!$B$2:$AB$37,MATCH($N28,Calcs!$CJ$2:$CJ$37,0),MATCH(AF$1,Calcs!$B$1:$AB$1,0)),"")</f>
        <v>0</v>
      </c>
      <c r="AG28" s="59">
        <f>IFERROR(INDEX(Calcs!$B$2:$AB$37,MATCH($N28,Calcs!$CJ$2:$CJ$37,0),MATCH(AG$1,Calcs!$B$1:$AB$1,0)),"")</f>
        <v>3</v>
      </c>
      <c r="AH28" s="57">
        <f>IFERROR(INDEX(Calcs!$B$2:$AB$37,MATCH($N28,Calcs!$CJ$2:$CJ$37,0),MATCH(AH$1,Calcs!$B$1:$AB$1,0)),"")</f>
        <v>4</v>
      </c>
      <c r="AI28" s="57">
        <f>IFERROR(INDEX(Calcs!$B$2:$AB$37,MATCH($N28,Calcs!$CJ$2:$CJ$37,0),MATCH(AI$1,Calcs!$B$1:$AB$1,0)),"")</f>
        <v>1</v>
      </c>
      <c r="AJ28" s="57">
        <f>IFERROR(INDEX(Calcs!$B$2:$AB$37,MATCH($N28,Calcs!$CJ$2:$CJ$37,0),MATCH(AJ$1,Calcs!$B$1:$AB$1,0)),"")</f>
        <v>0</v>
      </c>
      <c r="AK28" s="57">
        <f>IFERROR(INDEX(Calcs!$B$2:$AB$37,MATCH($N28,Calcs!$CJ$2:$CJ$37,0),MATCH(AK$1,Calcs!$B$1:$AB$1,0)),"")</f>
        <v>3</v>
      </c>
      <c r="AL28" s="57">
        <f>IFERROR(INDEX(Calcs!$B$2:$AB$37,MATCH($N28,Calcs!$CJ$2:$CJ$37,0),MATCH(AL$1,Calcs!$B$1:$AB$1,0)),"")</f>
        <v>5</v>
      </c>
      <c r="AM28" s="57">
        <f>IFERROR(INDEX(Calcs!$B$2:$AB$37,MATCH($N28,Calcs!$CJ$2:$CJ$37,0),MATCH(AM$1,Calcs!$B$1:$AB$1,0)),"")</f>
        <v>10</v>
      </c>
      <c r="AN28" s="60">
        <f>IFERROR(INDEX(Calcs!$B$2:$AB$37,MATCH($N28,Calcs!$CJ$2:$CJ$37,0),MATCH(AN$1,Calcs!$B$1:$AB$1,0)),"")</f>
        <v>-5</v>
      </c>
      <c r="AO28" s="57">
        <f>IFERROR(INDEX(Calcs!$B$2:$AB$37,MATCH($N28,Calcs!$CJ$2:$CJ$37,0),MATCH(AO$1,Calcs!$B$1:$AB$1,0)),"")</f>
        <v>97</v>
      </c>
      <c r="AP28" s="57">
        <f>IFERROR(INDEX(Calcs!$B$2:$AB$37,MATCH($N28,Calcs!$CJ$2:$CJ$37,0),MATCH(AP$1,Calcs!$B$1:$AB$1,0)),"")</f>
        <v>22</v>
      </c>
      <c r="AQ28" s="60">
        <f>IFERROR(INDEX(Calcs!$B$2:$AB$37,MATCH($N28,Calcs!$CJ$2:$CJ$37,0),MATCH(AQ$1,Calcs!$B$1:$AB$1,0)),"")</f>
        <v>106</v>
      </c>
      <c r="AR28" s="74"/>
      <c r="AS28" s="9" t="str">
        <f>INDEX(Calcs!A$2:A$37,MATCH($N28,Calcs!$CF$2:$CF$37,0))</f>
        <v>Brugge</v>
      </c>
      <c r="AT28" s="177"/>
      <c r="AU28" s="149">
        <f>INDEX(Calcs!$BZ$2:$BZ$37,MATCH($AS28,Calcs!$A$2:$A$37,0))</f>
        <v>27</v>
      </c>
      <c r="AV28" s="149">
        <f t="shared" si="1"/>
        <v>1</v>
      </c>
      <c r="AW28" s="149" t="str">
        <f t="shared" si="2"/>
        <v>27.1</v>
      </c>
      <c r="AX28" s="149"/>
      <c r="AY28" s="74"/>
      <c r="AZ28" s="70" t="str">
        <f>TablaEquipos[[#This Row],[Team]]</f>
        <v>Pafos</v>
      </c>
      <c r="BA28" s="178"/>
      <c r="BB28" s="74"/>
      <c r="BC28" s="74"/>
      <c r="BD28" s="74"/>
      <c r="BE28" s="74"/>
      <c r="BF28" s="247" t="str">
        <f t="shared" si="0"/>
        <v>Visitante</v>
      </c>
      <c r="BH28" s="257" t="s">
        <v>63</v>
      </c>
      <c r="BI28" s="247">
        <f>SUMIF(Calcs!$A$2:$A$37,League!BI2,Calcs!$F$2:$F$37)</f>
        <v>13</v>
      </c>
      <c r="BJ28" s="247">
        <f>SUMIF(Calcs!$A$2:$A$37,League!BJ2,Calcs!$F$2:$F$37)</f>
        <v>7</v>
      </c>
      <c r="BK28" s="247">
        <f>SUMIF(Calcs!$A$2:$A$37,League!BK2,Calcs!$F$2:$F$37)</f>
        <v>20</v>
      </c>
      <c r="BL28" s="247">
        <f>SUMIF(Calcs!$A$2:$A$37,League!BL2,Calcs!$F$2:$F$37)</f>
        <v>20</v>
      </c>
      <c r="BM28" s="247">
        <f>SUMIF(Calcs!$A$2:$A$37,League!BM2,Calcs!$F$2:$F$37)</f>
        <v>14</v>
      </c>
      <c r="BN28" s="247">
        <f>SUMIF(Calcs!$A$2:$A$37,League!BN2,Calcs!$F$2:$F$37)</f>
        <v>16</v>
      </c>
      <c r="BO28" s="247">
        <f>SUMIF(Calcs!$A$2:$A$37,League!BO2,Calcs!$F$2:$F$37)</f>
        <v>11</v>
      </c>
      <c r="BP28" s="247">
        <f>SUMIF(Calcs!$A$2:$A$37,League!BP2,Calcs!$F$2:$F$37)</f>
        <v>14</v>
      </c>
      <c r="BQ28" s="247">
        <f>SUMIF(Calcs!$A$2:$A$37,League!BQ2,Calcs!$F$2:$F$37)</f>
        <v>13</v>
      </c>
      <c r="BR28" s="247">
        <f>SUMIF(Calcs!$A$2:$A$37,League!BR2,Calcs!$F$2:$F$37)</f>
        <v>4</v>
      </c>
      <c r="BS28" s="247">
        <f>SUMIF(Calcs!$A$2:$A$37,League!BS2,Calcs!$F$2:$F$37)</f>
        <v>14</v>
      </c>
      <c r="BT28" s="247">
        <f>SUMIF(Calcs!$A$2:$A$37,League!BT2,Calcs!$F$2:$F$37)</f>
        <v>8</v>
      </c>
      <c r="BU28" s="247">
        <f>SUMIF(Calcs!$A$2:$A$37,League!BU2,Calcs!$F$2:$F$37)</f>
        <v>20</v>
      </c>
      <c r="BV28" s="247">
        <f>SUMIF(Calcs!$A$2:$A$37,League!BV2,Calcs!$F$2:$F$37)</f>
        <v>10</v>
      </c>
      <c r="BW28" s="247">
        <f>SUMIF(Calcs!$A$2:$A$37,League!BW2,Calcs!$F$2:$F$37)</f>
        <v>9</v>
      </c>
      <c r="BX28" s="247">
        <f>SUMIF(Calcs!$A$2:$A$37,League!BX2,Calcs!$F$2:$F$37)</f>
        <v>10</v>
      </c>
      <c r="BY28" s="247">
        <f>SUMIF(Calcs!$A$2:$A$37,League!BY2,Calcs!$F$2:$F$37)</f>
        <v>7</v>
      </c>
      <c r="BZ28" s="247">
        <f>SUMIF(Calcs!$A$2:$A$37,League!BZ2,Calcs!$F$2:$F$37)</f>
        <v>19</v>
      </c>
      <c r="CA28" s="247">
        <f>SUMIF(Calcs!$A$2:$A$37,League!CA2,Calcs!$F$2:$F$37)</f>
        <v>14</v>
      </c>
      <c r="CB28" s="247">
        <f>SUMIF(Calcs!$A$2:$A$37,League!CB2,Calcs!$F$2:$F$37)</f>
        <v>16</v>
      </c>
      <c r="CC28" s="247">
        <f>SUMIF(Calcs!$A$2:$A$37,League!CC2,Calcs!$F$2:$F$37)</f>
        <v>7</v>
      </c>
      <c r="CD28" s="247">
        <f>SUMIF(Calcs!$A$2:$A$37,League!CD2,Calcs!$F$2:$F$37)</f>
        <v>19</v>
      </c>
      <c r="CE28" s="247">
        <f>SUMIF(Calcs!$A$2:$A$37,League!CE2,Calcs!$F$2:$F$37)</f>
        <v>12</v>
      </c>
      <c r="CF28" s="247">
        <f>SUMIF(Calcs!$A$2:$A$37,League!CF2,Calcs!$F$2:$F$37)</f>
        <v>13</v>
      </c>
      <c r="CG28" s="247">
        <f>SUMIF(Calcs!$A$2:$A$37,League!CG2,Calcs!$F$2:$F$37)</f>
        <v>18</v>
      </c>
      <c r="CH28" s="247">
        <f>SUMIF(Calcs!$A$2:$A$37,League!CH2,Calcs!$F$2:$F$37)</f>
        <v>4</v>
      </c>
      <c r="CI28" s="247">
        <f>SUMIF(Calcs!$A$2:$A$37,League!CI2,Calcs!$F$2:$F$37)</f>
        <v>8</v>
      </c>
      <c r="CJ28" s="247">
        <f>SUMIF(Calcs!$A$2:$A$37,League!CJ2,Calcs!$F$2:$F$37)</f>
        <v>10</v>
      </c>
      <c r="CK28" s="247">
        <f>SUMIF(Calcs!$A$2:$A$37,League!CK2,Calcs!$F$2:$F$37)</f>
        <v>7</v>
      </c>
      <c r="CL28" s="247">
        <f>SUMIF(Calcs!$A$2:$A$37,League!CL2,Calcs!$F$2:$F$37)</f>
        <v>6</v>
      </c>
      <c r="CM28" s="247">
        <f>SUMIF(Calcs!$A$2:$A$37,League!CM2,Calcs!$F$2:$F$37)</f>
        <v>11</v>
      </c>
      <c r="CN28" s="247">
        <f>SUMIF(Calcs!$A$2:$A$37,League!CN2,Calcs!$F$2:$F$37)</f>
        <v>12</v>
      </c>
      <c r="CO28" s="247">
        <f>SUMIF(Calcs!$A$2:$A$37,League!CO2,Calcs!$F$2:$F$37)</f>
        <v>5</v>
      </c>
      <c r="CP28" s="247">
        <f>SUMIF(Calcs!$A$2:$A$37,League!CP2,Calcs!$F$2:$F$37)</f>
        <v>5</v>
      </c>
      <c r="CQ28" s="247">
        <f>SUMIF(Calcs!$A$2:$A$37,League!CQ2,Calcs!$F$2:$F$37)</f>
        <v>15</v>
      </c>
      <c r="CR28" s="247">
        <f>SUMIF(Calcs!$A$2:$A$37,League!CR2,Calcs!$F$2:$F$37)</f>
        <v>15</v>
      </c>
      <c r="CS28" s="247"/>
      <c r="CT28" s="256"/>
      <c r="CU28" s="256"/>
      <c r="CV28" s="227"/>
    </row>
    <row r="29" spans="1:100" ht="17.100000000000001" customHeight="1">
      <c r="A29" s="484">
        <v>2</v>
      </c>
      <c r="B29" s="479">
        <f>Horarios!C29</f>
        <v>45931.78125</v>
      </c>
      <c r="C29" s="480">
        <f>Horarios!C29</f>
        <v>45931.78125</v>
      </c>
      <c r="D29" s="193" t="s">
        <v>31</v>
      </c>
      <c r="E29" s="25" t="e" vm="12">
        <f>INDEX(TablaEquipos[Badge],MATCH(D29,TablaEquipos[Team],0))</f>
        <v>#VALUE!</v>
      </c>
      <c r="F29" s="26"/>
      <c r="G29" s="481">
        <v>2</v>
      </c>
      <c r="H29" s="485">
        <v>0</v>
      </c>
      <c r="I29" s="483"/>
      <c r="J29" s="26" t="e" vm="31">
        <f>INDEX(TablaEquipos[Badge],MATCH(K29,TablaEquipos[Team],0))</f>
        <v>#VALUE!</v>
      </c>
      <c r="K29" s="210" t="s">
        <v>49</v>
      </c>
      <c r="L29" s="97"/>
      <c r="M29" s="74"/>
      <c r="N29" s="94">
        <v>28</v>
      </c>
      <c r="O29" s="54" t="e" vm="20">
        <f>INDEX(TablaEquipos[],MATCH(P29,TablaEquipos[Team],0),MATCH($O$1,TablaEquipos[#Headers],0))</f>
        <v>#VALUE!</v>
      </c>
      <c r="P29" s="55" t="str">
        <f>IFERROR(INDEX(Calcs!A$2:A$37,MATCH($N29,Calcs!$CJ$2:$CJ$37,0)),"")</f>
        <v>Bodø/Glimt</v>
      </c>
      <c r="Q29" s="56">
        <f>IFERROR(INDEX(Calcs!$B$2:$AB$37,MATCH($N29,Calcs!$CJ$2:$CJ$37,0),MATCH(Q$1,Calcs!$B$1:$AB$1,0)),"")</f>
        <v>6</v>
      </c>
      <c r="R29" s="57">
        <f>IFERROR(INDEX(Calcs!$B$2:$AB$37,MATCH($N29,Calcs!$CJ$2:$CJ$37,0),MATCH(R$1,Calcs!$B$1:$AB$1,0)),"")</f>
        <v>7</v>
      </c>
      <c r="S29" s="57">
        <f>IFERROR(INDEX(Calcs!$B$2:$AB$37,MATCH($N29,Calcs!$CJ$2:$CJ$37,0),MATCH(S$1,Calcs!$B$1:$AB$1,0)),"")</f>
        <v>1</v>
      </c>
      <c r="T29" s="57">
        <f>IFERROR(INDEX(Calcs!$B$2:$AB$37,MATCH($N29,Calcs!$CJ$2:$CJ$37,0),MATCH(T$1,Calcs!$B$1:$AB$1,0)),"")</f>
        <v>3</v>
      </c>
      <c r="U29" s="57">
        <f>IFERROR(INDEX(Calcs!$B$2:$AB$37,MATCH($N29,Calcs!$CJ$2:$CJ$37,0),MATCH(U$1,Calcs!$B$1:$AB$1,0)),"")</f>
        <v>3</v>
      </c>
      <c r="V29" s="57">
        <f>IFERROR(INDEX(Calcs!$B$2:$AB$37,MATCH($N29,Calcs!$CJ$2:$CJ$37,0),MATCH(V$1,Calcs!$B$1:$AB$1,0)),"")</f>
        <v>12</v>
      </c>
      <c r="W29" s="57">
        <f>IFERROR(INDEX(Calcs!$B$2:$AB$37,MATCH($N29,Calcs!$CJ$2:$CJ$37,0),MATCH(W$1,Calcs!$B$1:$AB$1,0)),"")</f>
        <v>14</v>
      </c>
      <c r="X29" s="58">
        <f>IFERROR(INDEX(Calcs!$B$2:$AB$37,MATCH($N29,Calcs!$CJ$2:$CJ$37,0),MATCH(X$1,Calcs!$B$1:$AB$1,0)),"")</f>
        <v>-2</v>
      </c>
      <c r="Y29" s="59">
        <f>IFERROR(INDEX(Calcs!$B$2:$AB$37,MATCH($N29,Calcs!$CJ$2:$CJ$37,0),MATCH(Y$1,Calcs!$B$1:$AB$1,0)),"")</f>
        <v>4</v>
      </c>
      <c r="Z29" s="57">
        <f>IFERROR(INDEX(Calcs!$B$2:$AB$37,MATCH($N29,Calcs!$CJ$2:$CJ$37,0),MATCH(Z$1,Calcs!$B$1:$AB$1,0)),"")</f>
        <v>4</v>
      </c>
      <c r="AA29" s="57">
        <f>IFERROR(INDEX(Calcs!$B$2:$AB$37,MATCH($N29,Calcs!$CJ$2:$CJ$37,0),MATCH(AA$1,Calcs!$B$1:$AB$1,0)),"")</f>
        <v>1</v>
      </c>
      <c r="AB29" s="57">
        <f>IFERROR(INDEX(Calcs!$B$2:$AB$37,MATCH($N29,Calcs!$CJ$2:$CJ$37,0),MATCH(AB$1,Calcs!$B$1:$AB$1,0)),"")</f>
        <v>1</v>
      </c>
      <c r="AC29" s="57">
        <f>IFERROR(INDEX(Calcs!$B$2:$AB$37,MATCH($N29,Calcs!$CJ$2:$CJ$37,0),MATCH(AC$1,Calcs!$B$1:$AB$1,0)),"")</f>
        <v>2</v>
      </c>
      <c r="AD29" s="57">
        <f>IFERROR(INDEX(Calcs!$B$2:$AB$37,MATCH($N29,Calcs!$CJ$2:$CJ$37,0),MATCH(AD$1,Calcs!$B$1:$AB$1,0)),"")</f>
        <v>7</v>
      </c>
      <c r="AE29" s="57">
        <f>IFERROR(INDEX(Calcs!$B$2:$AB$37,MATCH($N29,Calcs!$CJ$2:$CJ$37,0),MATCH(AE$1,Calcs!$B$1:$AB$1,0)),"")</f>
        <v>7</v>
      </c>
      <c r="AF29" s="58">
        <f>IFERROR(INDEX(Calcs!$B$2:$AB$37,MATCH($N29,Calcs!$CJ$2:$CJ$37,0),MATCH(AF$1,Calcs!$B$1:$AB$1,0)),"")</f>
        <v>0</v>
      </c>
      <c r="AG29" s="59">
        <f>IFERROR(INDEX(Calcs!$B$2:$AB$37,MATCH($N29,Calcs!$CJ$2:$CJ$37,0),MATCH(AG$1,Calcs!$B$1:$AB$1,0)),"")</f>
        <v>2</v>
      </c>
      <c r="AH29" s="57">
        <f>IFERROR(INDEX(Calcs!$B$2:$AB$37,MATCH($N29,Calcs!$CJ$2:$CJ$37,0),MATCH(AH$1,Calcs!$B$1:$AB$1,0)),"")</f>
        <v>3</v>
      </c>
      <c r="AI29" s="57">
        <f>IFERROR(INDEX(Calcs!$B$2:$AB$37,MATCH($N29,Calcs!$CJ$2:$CJ$37,0),MATCH(AI$1,Calcs!$B$1:$AB$1,0)),"")</f>
        <v>0</v>
      </c>
      <c r="AJ29" s="57">
        <f>IFERROR(INDEX(Calcs!$B$2:$AB$37,MATCH($N29,Calcs!$CJ$2:$CJ$37,0),MATCH(AJ$1,Calcs!$B$1:$AB$1,0)),"")</f>
        <v>2</v>
      </c>
      <c r="AK29" s="57">
        <f>IFERROR(INDEX(Calcs!$B$2:$AB$37,MATCH($N29,Calcs!$CJ$2:$CJ$37,0),MATCH(AK$1,Calcs!$B$1:$AB$1,0)),"")</f>
        <v>1</v>
      </c>
      <c r="AL29" s="57">
        <f>IFERROR(INDEX(Calcs!$B$2:$AB$37,MATCH($N29,Calcs!$CJ$2:$CJ$37,0),MATCH(AL$1,Calcs!$B$1:$AB$1,0)),"")</f>
        <v>5</v>
      </c>
      <c r="AM29" s="57">
        <f>IFERROR(INDEX(Calcs!$B$2:$AB$37,MATCH($N29,Calcs!$CJ$2:$CJ$37,0),MATCH(AM$1,Calcs!$B$1:$AB$1,0)),"")</f>
        <v>7</v>
      </c>
      <c r="AN29" s="60">
        <f>IFERROR(INDEX(Calcs!$B$2:$AB$37,MATCH($N29,Calcs!$CJ$2:$CJ$37,0),MATCH(AN$1,Calcs!$B$1:$AB$1,0)),"")</f>
        <v>-2</v>
      </c>
      <c r="AO29" s="57">
        <f>IFERROR(INDEX(Calcs!$B$2:$AB$37,MATCH($N29,Calcs!$CJ$2:$CJ$37,0),MATCH(AO$1,Calcs!$B$1:$AB$1,0)),"")</f>
        <v>85</v>
      </c>
      <c r="AP29" s="57">
        <f>IFERROR(INDEX(Calcs!$B$2:$AB$37,MATCH($N29,Calcs!$CJ$2:$CJ$37,0),MATCH(AP$1,Calcs!$B$1:$AB$1,0)),"")</f>
        <v>6</v>
      </c>
      <c r="AQ29" s="60">
        <f>IFERROR(INDEX(Calcs!$B$2:$AB$37,MATCH($N29,Calcs!$CJ$2:$CJ$37,0),MATCH(AQ$1,Calcs!$B$1:$AB$1,0)),"")</f>
        <v>98</v>
      </c>
      <c r="AR29" s="74"/>
      <c r="AS29" s="9" t="str">
        <f>INDEX(Calcs!A$2:A$37,MATCH($N29,Calcs!$CF$2:$CF$37,0))</f>
        <v>Bodø/Glimt</v>
      </c>
      <c r="AT29" s="177"/>
      <c r="AU29" s="149">
        <f>INDEX(Calcs!$BZ$2:$BZ$37,MATCH($AS29,Calcs!$A$2:$A$37,0))</f>
        <v>28</v>
      </c>
      <c r="AV29" s="149">
        <f t="shared" si="1"/>
        <v>1</v>
      </c>
      <c r="AW29" s="149" t="str">
        <f t="shared" si="2"/>
        <v>28.1</v>
      </c>
      <c r="AX29" s="149"/>
      <c r="AY29" s="74"/>
      <c r="AZ29" s="71" t="str">
        <f>TablaEquipos[[#This Row],[Team]]</f>
        <v>PSG</v>
      </c>
      <c r="BA29" s="179"/>
      <c r="BB29" s="74"/>
      <c r="BC29" s="74"/>
      <c r="BD29" s="74"/>
      <c r="BE29" s="74"/>
      <c r="BF29" s="247" t="str">
        <f t="shared" si="0"/>
        <v>Local</v>
      </c>
      <c r="BI29" s="247">
        <f>SUMIF(Calcs!$A$2:$A$37,League!BI3,Calcs!$F$2:$F$37)</f>
        <v>11</v>
      </c>
      <c r="BJ29" s="247">
        <f>SUMIF(Calcs!$A$2:$A$37,League!BJ3,Calcs!$F$2:$F$37)</f>
        <v>8</v>
      </c>
      <c r="BK29" s="247">
        <f>SUMIF(Calcs!$A$2:$A$37,League!BK3,Calcs!$F$2:$F$37)</f>
        <v>12</v>
      </c>
      <c r="BL29" s="247">
        <f>SUMIF(Calcs!$A$2:$A$37,League!BL3,Calcs!$F$2:$F$37)</f>
        <v>19</v>
      </c>
      <c r="BM29" s="247">
        <f>SUMIF(Calcs!$A$2:$A$37,League!BM3,Calcs!$F$2:$F$37)</f>
        <v>10</v>
      </c>
      <c r="BN29" s="247">
        <f>SUMIF(Calcs!$A$2:$A$37,League!BN3,Calcs!$F$2:$F$37)</f>
        <v>20</v>
      </c>
      <c r="BO29" s="247">
        <f>SUMIF(Calcs!$A$2:$A$37,League!BO3,Calcs!$F$2:$F$37)</f>
        <v>15</v>
      </c>
      <c r="BP29" s="247">
        <f>SUMIF(Calcs!$A$2:$A$37,League!BP3,Calcs!$F$2:$F$37)</f>
        <v>4</v>
      </c>
      <c r="BQ29" s="247">
        <f>SUMIF(Calcs!$A$2:$A$37,League!BQ3,Calcs!$F$2:$F$37)</f>
        <v>14</v>
      </c>
      <c r="BR29" s="247">
        <f>SUMIF(Calcs!$A$2:$A$37,League!BR3,Calcs!$F$2:$F$37)</f>
        <v>15</v>
      </c>
      <c r="BS29" s="247">
        <f>SUMIF(Calcs!$A$2:$A$37,League!BS3,Calcs!$F$2:$F$37)</f>
        <v>7</v>
      </c>
      <c r="BT29" s="247">
        <f>SUMIF(Calcs!$A$2:$A$37,League!BT3,Calcs!$F$2:$F$37)</f>
        <v>10</v>
      </c>
      <c r="BU29" s="247">
        <f>SUMIF(Calcs!$A$2:$A$37,League!BU3,Calcs!$F$2:$F$37)</f>
        <v>6</v>
      </c>
      <c r="BV29" s="247">
        <f>SUMIF(Calcs!$A$2:$A$37,League!BV3,Calcs!$F$2:$F$37)</f>
        <v>13</v>
      </c>
      <c r="BW29" s="247">
        <f>SUMIF(Calcs!$A$2:$A$37,League!BW3,Calcs!$F$2:$F$37)</f>
        <v>16</v>
      </c>
      <c r="BX29" s="247">
        <f>SUMIF(Calcs!$A$2:$A$37,League!BX3,Calcs!$F$2:$F$37)</f>
        <v>14</v>
      </c>
      <c r="BY29" s="247">
        <f>SUMIF(Calcs!$A$2:$A$37,League!BY3,Calcs!$F$2:$F$37)</f>
        <v>4</v>
      </c>
      <c r="BZ29" s="247">
        <f>SUMIF(Calcs!$A$2:$A$37,League!BZ3,Calcs!$F$2:$F$37)</f>
        <v>5</v>
      </c>
      <c r="CA29" s="247">
        <f>SUMIF(Calcs!$A$2:$A$37,League!CA3,Calcs!$F$2:$F$37)</f>
        <v>19</v>
      </c>
      <c r="CB29" s="247">
        <f>SUMIF(Calcs!$A$2:$A$37,League!CB3,Calcs!$F$2:$F$37)</f>
        <v>9</v>
      </c>
      <c r="CC29" s="247">
        <f>SUMIF(Calcs!$A$2:$A$37,League!CC3,Calcs!$F$2:$F$37)</f>
        <v>8</v>
      </c>
      <c r="CD29" s="247">
        <f>SUMIF(Calcs!$A$2:$A$37,League!CD3,Calcs!$F$2:$F$37)</f>
        <v>7</v>
      </c>
      <c r="CE29" s="247">
        <f>SUMIF(Calcs!$A$2:$A$37,League!CE3,Calcs!$F$2:$F$37)</f>
        <v>13</v>
      </c>
      <c r="CF29" s="247">
        <f>SUMIF(Calcs!$A$2:$A$37,League!CF3,Calcs!$F$2:$F$37)</f>
        <v>14</v>
      </c>
      <c r="CG29" s="247">
        <f>SUMIF(Calcs!$A$2:$A$37,League!CG3,Calcs!$F$2:$F$37)</f>
        <v>7</v>
      </c>
      <c r="CH29" s="247">
        <f>SUMIF(Calcs!$A$2:$A$37,League!CH3,Calcs!$F$2:$F$37)</f>
        <v>20</v>
      </c>
      <c r="CI29" s="247">
        <f>SUMIF(Calcs!$A$2:$A$37,League!CI3,Calcs!$F$2:$F$37)</f>
        <v>20</v>
      </c>
      <c r="CJ29" s="247">
        <f>SUMIF(Calcs!$A$2:$A$37,League!CJ3,Calcs!$F$2:$F$37)</f>
        <v>18</v>
      </c>
      <c r="CK29" s="247">
        <f>SUMIF(Calcs!$A$2:$A$37,League!CK3,Calcs!$F$2:$F$37)</f>
        <v>10</v>
      </c>
      <c r="CL29" s="247">
        <f>SUMIF(Calcs!$A$2:$A$37,League!CL3,Calcs!$F$2:$F$37)</f>
        <v>11</v>
      </c>
      <c r="CM29" s="247">
        <f>SUMIF(Calcs!$A$2:$A$37,League!CM3,Calcs!$F$2:$F$37)</f>
        <v>5</v>
      </c>
      <c r="CN29" s="247">
        <f>SUMIF(Calcs!$A$2:$A$37,League!CN3,Calcs!$F$2:$F$37)</f>
        <v>13</v>
      </c>
      <c r="CO29" s="247">
        <f>SUMIF(Calcs!$A$2:$A$37,League!CO3,Calcs!$F$2:$F$37)</f>
        <v>7</v>
      </c>
      <c r="CP29" s="247">
        <f>SUMIF(Calcs!$A$2:$A$37,League!CP3,Calcs!$F$2:$F$37)</f>
        <v>12</v>
      </c>
      <c r="CQ29" s="247">
        <f>SUMIF(Calcs!$A$2:$A$37,League!CQ3,Calcs!$F$2:$F$37)</f>
        <v>16</v>
      </c>
      <c r="CR29" s="247">
        <f>SUMIF(Calcs!$A$2:$A$37,League!CR3,Calcs!$F$2:$F$37)</f>
        <v>14</v>
      </c>
      <c r="CS29" s="247"/>
      <c r="CT29" s="256"/>
      <c r="CU29" s="256"/>
      <c r="CV29" s="227"/>
    </row>
    <row r="30" spans="1:100" ht="17.100000000000001" customHeight="1">
      <c r="A30" s="484">
        <v>2</v>
      </c>
      <c r="B30" s="479">
        <f>Horarios!C30</f>
        <v>45931.78125</v>
      </c>
      <c r="C30" s="480">
        <f>Horarios!C30</f>
        <v>45931.78125</v>
      </c>
      <c r="D30" s="193" t="s">
        <v>25</v>
      </c>
      <c r="E30" s="25" t="e" vm="4">
        <f>INDEX(TablaEquipos[Badge],MATCH(D30,TablaEquipos[Team],0))</f>
        <v>#VALUE!</v>
      </c>
      <c r="F30" s="26"/>
      <c r="G30" s="481">
        <v>0</v>
      </c>
      <c r="H30" s="485">
        <v>4</v>
      </c>
      <c r="I30" s="483"/>
      <c r="J30" s="26" t="e" vm="18">
        <f>INDEX(TablaEquipos[Badge],MATCH(K30,TablaEquipos[Team],0))</f>
        <v>#VALUE!</v>
      </c>
      <c r="K30" s="210" t="s">
        <v>55</v>
      </c>
      <c r="L30" s="97"/>
      <c r="M30" s="74"/>
      <c r="N30" s="93">
        <v>29</v>
      </c>
      <c r="O30" s="54" t="e" vm="11">
        <f>INDEX(TablaEquipos[],MATCH(P30,TablaEquipos[Team],0),MATCH($O$1,TablaEquipos[#Headers],0))</f>
        <v>#VALUE!</v>
      </c>
      <c r="P30" s="55" t="str">
        <f>IFERROR(INDEX(Calcs!A$2:A$37,MATCH($N30,Calcs!$CJ$2:$CJ$37,0)),"")</f>
        <v>Benfica</v>
      </c>
      <c r="Q30" s="56">
        <f>IFERROR(INDEX(Calcs!$B$2:$AB$37,MATCH($N30,Calcs!$CJ$2:$CJ$37,0),MATCH(Q$1,Calcs!$B$1:$AB$1,0)),"")</f>
        <v>6</v>
      </c>
      <c r="R30" s="57">
        <f>IFERROR(INDEX(Calcs!$B$2:$AB$37,MATCH($N30,Calcs!$CJ$2:$CJ$37,0),MATCH(R$1,Calcs!$B$1:$AB$1,0)),"")</f>
        <v>7</v>
      </c>
      <c r="S30" s="57">
        <f>IFERROR(INDEX(Calcs!$B$2:$AB$37,MATCH($N30,Calcs!$CJ$2:$CJ$37,0),MATCH(S$1,Calcs!$B$1:$AB$1,0)),"")</f>
        <v>2</v>
      </c>
      <c r="T30" s="57">
        <f>IFERROR(INDEX(Calcs!$B$2:$AB$37,MATCH($N30,Calcs!$CJ$2:$CJ$37,0),MATCH(T$1,Calcs!$B$1:$AB$1,0)),"")</f>
        <v>0</v>
      </c>
      <c r="U30" s="57">
        <f>IFERROR(INDEX(Calcs!$B$2:$AB$37,MATCH($N30,Calcs!$CJ$2:$CJ$37,0),MATCH(U$1,Calcs!$B$1:$AB$1,0)),"")</f>
        <v>5</v>
      </c>
      <c r="V30" s="57">
        <f>IFERROR(INDEX(Calcs!$B$2:$AB$37,MATCH($N30,Calcs!$CJ$2:$CJ$37,0),MATCH(V$1,Calcs!$B$1:$AB$1,0)),"")</f>
        <v>6</v>
      </c>
      <c r="W30" s="57">
        <f>IFERROR(INDEX(Calcs!$B$2:$AB$37,MATCH($N30,Calcs!$CJ$2:$CJ$37,0),MATCH(W$1,Calcs!$B$1:$AB$1,0)),"")</f>
        <v>10</v>
      </c>
      <c r="X30" s="58">
        <f>IFERROR(INDEX(Calcs!$B$2:$AB$37,MATCH($N30,Calcs!$CJ$2:$CJ$37,0),MATCH(X$1,Calcs!$B$1:$AB$1,0)),"")</f>
        <v>-4</v>
      </c>
      <c r="Y30" s="59">
        <f>IFERROR(INDEX(Calcs!$B$2:$AB$37,MATCH($N30,Calcs!$CJ$2:$CJ$37,0),MATCH(Y$1,Calcs!$B$1:$AB$1,0)),"")</f>
        <v>3</v>
      </c>
      <c r="Z30" s="57">
        <f>IFERROR(INDEX(Calcs!$B$2:$AB$37,MATCH($N30,Calcs!$CJ$2:$CJ$37,0),MATCH(Z$1,Calcs!$B$1:$AB$1,0)),"")</f>
        <v>3</v>
      </c>
      <c r="AA30" s="57">
        <f>IFERROR(INDEX(Calcs!$B$2:$AB$37,MATCH($N30,Calcs!$CJ$2:$CJ$37,0),MATCH(AA$1,Calcs!$B$1:$AB$1,0)),"")</f>
        <v>1</v>
      </c>
      <c r="AB30" s="57">
        <f>IFERROR(INDEX(Calcs!$B$2:$AB$37,MATCH($N30,Calcs!$CJ$2:$CJ$37,0),MATCH(AB$1,Calcs!$B$1:$AB$1,0)),"")</f>
        <v>0</v>
      </c>
      <c r="AC30" s="57">
        <f>IFERROR(INDEX(Calcs!$B$2:$AB$37,MATCH($N30,Calcs!$CJ$2:$CJ$37,0),MATCH(AC$1,Calcs!$B$1:$AB$1,0)),"")</f>
        <v>2</v>
      </c>
      <c r="AD30" s="57">
        <f>IFERROR(INDEX(Calcs!$B$2:$AB$37,MATCH($N30,Calcs!$CJ$2:$CJ$37,0),MATCH(AD$1,Calcs!$B$1:$AB$1,0)),"")</f>
        <v>4</v>
      </c>
      <c r="AE30" s="57">
        <f>IFERROR(INDEX(Calcs!$B$2:$AB$37,MATCH($N30,Calcs!$CJ$2:$CJ$37,0),MATCH(AE$1,Calcs!$B$1:$AB$1,0)),"")</f>
        <v>4</v>
      </c>
      <c r="AF30" s="58">
        <f>IFERROR(INDEX(Calcs!$B$2:$AB$37,MATCH($N30,Calcs!$CJ$2:$CJ$37,0),MATCH(AF$1,Calcs!$B$1:$AB$1,0)),"")</f>
        <v>0</v>
      </c>
      <c r="AG30" s="59">
        <f>IFERROR(INDEX(Calcs!$B$2:$AB$37,MATCH($N30,Calcs!$CJ$2:$CJ$37,0),MATCH(AG$1,Calcs!$B$1:$AB$1,0)),"")</f>
        <v>3</v>
      </c>
      <c r="AH30" s="57">
        <f>IFERROR(INDEX(Calcs!$B$2:$AB$37,MATCH($N30,Calcs!$CJ$2:$CJ$37,0),MATCH(AH$1,Calcs!$B$1:$AB$1,0)),"")</f>
        <v>4</v>
      </c>
      <c r="AI30" s="57">
        <f>IFERROR(INDEX(Calcs!$B$2:$AB$37,MATCH($N30,Calcs!$CJ$2:$CJ$37,0),MATCH(AI$1,Calcs!$B$1:$AB$1,0)),"")</f>
        <v>1</v>
      </c>
      <c r="AJ30" s="57">
        <f>IFERROR(INDEX(Calcs!$B$2:$AB$37,MATCH($N30,Calcs!$CJ$2:$CJ$37,0),MATCH(AJ$1,Calcs!$B$1:$AB$1,0)),"")</f>
        <v>0</v>
      </c>
      <c r="AK30" s="57">
        <f>IFERROR(INDEX(Calcs!$B$2:$AB$37,MATCH($N30,Calcs!$CJ$2:$CJ$37,0),MATCH(AK$1,Calcs!$B$1:$AB$1,0)),"")</f>
        <v>3</v>
      </c>
      <c r="AL30" s="57">
        <f>IFERROR(INDEX(Calcs!$B$2:$AB$37,MATCH($N30,Calcs!$CJ$2:$CJ$37,0),MATCH(AL$1,Calcs!$B$1:$AB$1,0)),"")</f>
        <v>2</v>
      </c>
      <c r="AM30" s="57">
        <f>IFERROR(INDEX(Calcs!$B$2:$AB$37,MATCH($N30,Calcs!$CJ$2:$CJ$37,0),MATCH(AM$1,Calcs!$B$1:$AB$1,0)),"")</f>
        <v>6</v>
      </c>
      <c r="AN30" s="60">
        <f>IFERROR(INDEX(Calcs!$B$2:$AB$37,MATCH($N30,Calcs!$CJ$2:$CJ$37,0),MATCH(AN$1,Calcs!$B$1:$AB$1,0)),"")</f>
        <v>-4</v>
      </c>
      <c r="AO30" s="57">
        <f>IFERROR(INDEX(Calcs!$B$2:$AB$37,MATCH($N30,Calcs!$CJ$2:$CJ$37,0),MATCH(AO$1,Calcs!$B$1:$AB$1,0)),"")</f>
        <v>86</v>
      </c>
      <c r="AP30" s="57">
        <f>IFERROR(INDEX(Calcs!$B$2:$AB$37,MATCH($N30,Calcs!$CJ$2:$CJ$37,0),MATCH(AP$1,Calcs!$B$1:$AB$1,0)),"")</f>
        <v>8</v>
      </c>
      <c r="AQ30" s="60">
        <f>IFERROR(INDEX(Calcs!$B$2:$AB$37,MATCH($N30,Calcs!$CJ$2:$CJ$37,0),MATCH(AQ$1,Calcs!$B$1:$AB$1,0)),"")</f>
        <v>100</v>
      </c>
      <c r="AR30" s="74"/>
      <c r="AS30" s="9" t="str">
        <f>INDEX(Calcs!A$2:A$37,MATCH($N30,Calcs!$CF$2:$CF$37,0))</f>
        <v>Benfica</v>
      </c>
      <c r="AT30" s="177"/>
      <c r="AU30" s="149">
        <f>INDEX(Calcs!$BZ$2:$BZ$37,MATCH($AS30,Calcs!$A$2:$A$37,0))</f>
        <v>29</v>
      </c>
      <c r="AV30" s="149">
        <f t="shared" si="1"/>
        <v>1</v>
      </c>
      <c r="AW30" s="149" t="str">
        <f t="shared" si="2"/>
        <v>29.1</v>
      </c>
      <c r="AX30" s="149"/>
      <c r="AY30" s="74"/>
      <c r="AZ30" s="70" t="str">
        <f>TablaEquipos[[#This Row],[Team]]</f>
        <v>PSV Eindhoven</v>
      </c>
      <c r="BA30" s="178"/>
      <c r="BB30" s="74"/>
      <c r="BC30" s="74"/>
      <c r="BD30" s="74"/>
      <c r="BE30" s="74"/>
      <c r="BF30" s="247" t="str">
        <f t="shared" si="0"/>
        <v>Visitante</v>
      </c>
      <c r="BI30" s="247">
        <f>SUMIF(Calcs!$A$2:$A$37,League!BI4,Calcs!$F$2:$F$37)</f>
        <v>14</v>
      </c>
      <c r="BJ30" s="247">
        <f>SUMIF(Calcs!$A$2:$A$37,League!BJ4,Calcs!$F$2:$F$37)</f>
        <v>16</v>
      </c>
      <c r="BK30" s="247">
        <f>SUMIF(Calcs!$A$2:$A$37,League!BK4,Calcs!$F$2:$F$37)</f>
        <v>4</v>
      </c>
      <c r="BL30" s="247">
        <f>SUMIF(Calcs!$A$2:$A$37,League!BL4,Calcs!$F$2:$F$37)</f>
        <v>13</v>
      </c>
      <c r="BM30" s="247">
        <f>SUMIF(Calcs!$A$2:$A$37,League!BM4,Calcs!$F$2:$F$37)</f>
        <v>20</v>
      </c>
      <c r="BN30" s="247">
        <f>SUMIF(Calcs!$A$2:$A$37,League!BN4,Calcs!$F$2:$F$37)</f>
        <v>8</v>
      </c>
      <c r="BO30" s="247">
        <f>SUMIF(Calcs!$A$2:$A$37,League!BO4,Calcs!$F$2:$F$37)</f>
        <v>20</v>
      </c>
      <c r="BP30" s="247">
        <f>SUMIF(Calcs!$A$2:$A$37,League!BP4,Calcs!$F$2:$F$37)</f>
        <v>12</v>
      </c>
      <c r="BQ30" s="247">
        <f>SUMIF(Calcs!$A$2:$A$37,League!BQ4,Calcs!$F$2:$F$37)</f>
        <v>16</v>
      </c>
      <c r="BR30" s="247">
        <f>SUMIF(Calcs!$A$2:$A$37,League!BR4,Calcs!$F$2:$F$37)</f>
        <v>9</v>
      </c>
      <c r="BS30" s="247">
        <f>SUMIF(Calcs!$A$2:$A$37,League!BS4,Calcs!$F$2:$F$37)</f>
        <v>11</v>
      </c>
      <c r="BT30" s="247">
        <f>SUMIF(Calcs!$A$2:$A$37,League!BT4,Calcs!$F$2:$F$37)</f>
        <v>20</v>
      </c>
      <c r="BU30" s="247">
        <f>SUMIF(Calcs!$A$2:$A$37,League!BU4,Calcs!$F$2:$F$37)</f>
        <v>7</v>
      </c>
      <c r="BV30" s="247">
        <f>SUMIF(Calcs!$A$2:$A$37,League!BV4,Calcs!$F$2:$F$37)</f>
        <v>19</v>
      </c>
      <c r="BW30" s="247">
        <f>SUMIF(Calcs!$A$2:$A$37,League!BW4,Calcs!$F$2:$F$37)</f>
        <v>14</v>
      </c>
      <c r="BX30" s="247">
        <f>SUMIF(Calcs!$A$2:$A$37,League!BX4,Calcs!$F$2:$F$37)</f>
        <v>12</v>
      </c>
      <c r="BY30" s="247">
        <f>SUMIF(Calcs!$A$2:$A$37,League!BY4,Calcs!$F$2:$F$37)</f>
        <v>7</v>
      </c>
      <c r="BZ30" s="247">
        <f>SUMIF(Calcs!$A$2:$A$37,League!BZ4,Calcs!$F$2:$F$37)</f>
        <v>19</v>
      </c>
      <c r="CA30" s="247">
        <f>SUMIF(Calcs!$A$2:$A$37,League!CA4,Calcs!$F$2:$F$37)</f>
        <v>4</v>
      </c>
      <c r="CB30" s="247">
        <f>SUMIF(Calcs!$A$2:$A$37,League!CB4,Calcs!$F$2:$F$37)</f>
        <v>10</v>
      </c>
      <c r="CC30" s="247">
        <f>SUMIF(Calcs!$A$2:$A$37,League!CC4,Calcs!$F$2:$F$37)</f>
        <v>5</v>
      </c>
      <c r="CD30" s="247">
        <f>SUMIF(Calcs!$A$2:$A$37,League!CD4,Calcs!$F$2:$F$37)</f>
        <v>14</v>
      </c>
      <c r="CE30" s="247">
        <f>SUMIF(Calcs!$A$2:$A$37,League!CE4,Calcs!$F$2:$F$37)</f>
        <v>15</v>
      </c>
      <c r="CF30" s="247">
        <f>SUMIF(Calcs!$A$2:$A$37,League!CF4,Calcs!$F$2:$F$37)</f>
        <v>15</v>
      </c>
      <c r="CG30" s="247">
        <f>SUMIF(Calcs!$A$2:$A$37,League!CG4,Calcs!$F$2:$F$37)</f>
        <v>6</v>
      </c>
      <c r="CH30" s="247">
        <f>SUMIF(Calcs!$A$2:$A$37,League!CH4,Calcs!$F$2:$F$37)</f>
        <v>18</v>
      </c>
      <c r="CI30" s="247">
        <f>SUMIF(Calcs!$A$2:$A$37,League!CI4,Calcs!$F$2:$F$37)</f>
        <v>5</v>
      </c>
      <c r="CJ30" s="247">
        <f>SUMIF(Calcs!$A$2:$A$37,League!CJ4,Calcs!$F$2:$F$37)</f>
        <v>10</v>
      </c>
      <c r="CK30" s="247">
        <f>SUMIF(Calcs!$A$2:$A$37,League!CK4,Calcs!$F$2:$F$37)</f>
        <v>7</v>
      </c>
      <c r="CL30" s="247">
        <f>SUMIF(Calcs!$A$2:$A$37,League!CL4,Calcs!$F$2:$F$37)</f>
        <v>7</v>
      </c>
      <c r="CM30" s="247">
        <f>SUMIF(Calcs!$A$2:$A$37,League!CM4,Calcs!$F$2:$F$37)</f>
        <v>14</v>
      </c>
      <c r="CN30" s="247">
        <f>SUMIF(Calcs!$A$2:$A$37,League!CN4,Calcs!$F$2:$F$37)</f>
        <v>10</v>
      </c>
      <c r="CO30" s="247">
        <f>SUMIF(Calcs!$A$2:$A$37,League!CO4,Calcs!$F$2:$F$37)</f>
        <v>11</v>
      </c>
      <c r="CP30" s="247">
        <f>SUMIF(Calcs!$A$2:$A$37,League!CP4,Calcs!$F$2:$F$37)</f>
        <v>8</v>
      </c>
      <c r="CQ30" s="247">
        <f>SUMIF(Calcs!$A$2:$A$37,League!CQ4,Calcs!$F$2:$F$37)</f>
        <v>13</v>
      </c>
      <c r="CR30" s="247">
        <f>SUMIF(Calcs!$A$2:$A$37,League!CR4,Calcs!$F$2:$F$37)</f>
        <v>13</v>
      </c>
      <c r="CS30" s="247"/>
      <c r="CT30" s="256"/>
      <c r="CU30" s="256"/>
      <c r="CV30" s="227"/>
    </row>
    <row r="31" spans="1:100" ht="17.100000000000001" customHeight="1">
      <c r="A31" s="484">
        <v>2</v>
      </c>
      <c r="B31" s="479">
        <f>Horarios!C31</f>
        <v>45931.875</v>
      </c>
      <c r="C31" s="480">
        <f>Horarios!C31</f>
        <v>45931.875</v>
      </c>
      <c r="D31" s="193" t="s">
        <v>23</v>
      </c>
      <c r="E31" s="25" t="e" vm="2">
        <f>INDEX(TablaEquipos[Badge],MATCH(D31,TablaEquipos[Team],0))</f>
        <v>#VALUE!</v>
      </c>
      <c r="F31" s="26"/>
      <c r="G31" s="481">
        <v>2</v>
      </c>
      <c r="H31" s="485">
        <v>0</v>
      </c>
      <c r="I31" s="483"/>
      <c r="J31" s="26" t="e" vm="16">
        <f>INDEX(TablaEquipos[Badge],MATCH(K31,TablaEquipos[Team],0))</f>
        <v>#VALUE!</v>
      </c>
      <c r="K31" s="210" t="s">
        <v>34</v>
      </c>
      <c r="L31" s="97"/>
      <c r="M31" s="74"/>
      <c r="N31" s="94">
        <v>30</v>
      </c>
      <c r="O31" s="54" t="e" vm="17">
        <f>INDEX(TablaEquipos[],MATCH(P31,TablaEquipos[Team],0),MATCH($O$1,TablaEquipos[#Headers],0))</f>
        <v>#VALUE!</v>
      </c>
      <c r="P31" s="55" t="str">
        <f>IFERROR(INDEX(Calcs!A$2:A$37,MATCH($N31,Calcs!$CJ$2:$CJ$37,0)),"")</f>
        <v>Pafos</v>
      </c>
      <c r="Q31" s="56">
        <f>IFERROR(INDEX(Calcs!$B$2:$AB$37,MATCH($N31,Calcs!$CJ$2:$CJ$37,0),MATCH(Q$1,Calcs!$B$1:$AB$1,0)),"")</f>
        <v>6</v>
      </c>
      <c r="R31" s="57">
        <f>IFERROR(INDEX(Calcs!$B$2:$AB$37,MATCH($N31,Calcs!$CJ$2:$CJ$37,0),MATCH(R$1,Calcs!$B$1:$AB$1,0)),"")</f>
        <v>7</v>
      </c>
      <c r="S31" s="57">
        <f>IFERROR(INDEX(Calcs!$B$2:$AB$37,MATCH($N31,Calcs!$CJ$2:$CJ$37,0),MATCH(S$1,Calcs!$B$1:$AB$1,0)),"")</f>
        <v>1</v>
      </c>
      <c r="T31" s="57">
        <f>IFERROR(INDEX(Calcs!$B$2:$AB$37,MATCH($N31,Calcs!$CJ$2:$CJ$37,0),MATCH(T$1,Calcs!$B$1:$AB$1,0)),"")</f>
        <v>3</v>
      </c>
      <c r="U31" s="57">
        <f>IFERROR(INDEX(Calcs!$B$2:$AB$37,MATCH($N31,Calcs!$CJ$2:$CJ$37,0),MATCH(U$1,Calcs!$B$1:$AB$1,0)),"")</f>
        <v>3</v>
      </c>
      <c r="V31" s="57">
        <f>IFERROR(INDEX(Calcs!$B$2:$AB$37,MATCH($N31,Calcs!$CJ$2:$CJ$37,0),MATCH(V$1,Calcs!$B$1:$AB$1,0)),"")</f>
        <v>4</v>
      </c>
      <c r="W31" s="57">
        <f>IFERROR(INDEX(Calcs!$B$2:$AB$37,MATCH($N31,Calcs!$CJ$2:$CJ$37,0),MATCH(W$1,Calcs!$B$1:$AB$1,0)),"")</f>
        <v>10</v>
      </c>
      <c r="X31" s="58">
        <f>IFERROR(INDEX(Calcs!$B$2:$AB$37,MATCH($N31,Calcs!$CJ$2:$CJ$37,0),MATCH(X$1,Calcs!$B$1:$AB$1,0)),"")</f>
        <v>-6</v>
      </c>
      <c r="Y31" s="59">
        <f>IFERROR(INDEX(Calcs!$B$2:$AB$37,MATCH($N31,Calcs!$CJ$2:$CJ$37,0),MATCH(Y$1,Calcs!$B$1:$AB$1,0)),"")</f>
        <v>4</v>
      </c>
      <c r="Z31" s="57">
        <f>IFERROR(INDEX(Calcs!$B$2:$AB$37,MATCH($N31,Calcs!$CJ$2:$CJ$37,0),MATCH(Z$1,Calcs!$B$1:$AB$1,0)),"")</f>
        <v>3</v>
      </c>
      <c r="AA31" s="57">
        <f>IFERROR(INDEX(Calcs!$B$2:$AB$37,MATCH($N31,Calcs!$CJ$2:$CJ$37,0),MATCH(AA$1,Calcs!$B$1:$AB$1,0)),"")</f>
        <v>1</v>
      </c>
      <c r="AB31" s="57">
        <f>IFERROR(INDEX(Calcs!$B$2:$AB$37,MATCH($N31,Calcs!$CJ$2:$CJ$37,0),MATCH(AB$1,Calcs!$B$1:$AB$1,0)),"")</f>
        <v>1</v>
      </c>
      <c r="AC31" s="57">
        <f>IFERROR(INDEX(Calcs!$B$2:$AB$37,MATCH($N31,Calcs!$CJ$2:$CJ$37,0),MATCH(AC$1,Calcs!$B$1:$AB$1,0)),"")</f>
        <v>1</v>
      </c>
      <c r="AD31" s="57">
        <f>IFERROR(INDEX(Calcs!$B$2:$AB$37,MATCH($N31,Calcs!$CJ$2:$CJ$37,0),MATCH(AD$1,Calcs!$B$1:$AB$1,0)),"")</f>
        <v>4</v>
      </c>
      <c r="AE31" s="57">
        <f>IFERROR(INDEX(Calcs!$B$2:$AB$37,MATCH($N31,Calcs!$CJ$2:$CJ$37,0),MATCH(AE$1,Calcs!$B$1:$AB$1,0)),"")</f>
        <v>7</v>
      </c>
      <c r="AF31" s="58">
        <f>IFERROR(INDEX(Calcs!$B$2:$AB$37,MATCH($N31,Calcs!$CJ$2:$CJ$37,0),MATCH(AF$1,Calcs!$B$1:$AB$1,0)),"")</f>
        <v>-3</v>
      </c>
      <c r="AG31" s="59">
        <f>IFERROR(INDEX(Calcs!$B$2:$AB$37,MATCH($N31,Calcs!$CJ$2:$CJ$37,0),MATCH(AG$1,Calcs!$B$1:$AB$1,0)),"")</f>
        <v>2</v>
      </c>
      <c r="AH31" s="57">
        <f>IFERROR(INDEX(Calcs!$B$2:$AB$37,MATCH($N31,Calcs!$CJ$2:$CJ$37,0),MATCH(AH$1,Calcs!$B$1:$AB$1,0)),"")</f>
        <v>4</v>
      </c>
      <c r="AI31" s="57">
        <f>IFERROR(INDEX(Calcs!$B$2:$AB$37,MATCH($N31,Calcs!$CJ$2:$CJ$37,0),MATCH(AI$1,Calcs!$B$1:$AB$1,0)),"")</f>
        <v>0</v>
      </c>
      <c r="AJ31" s="57">
        <f>IFERROR(INDEX(Calcs!$B$2:$AB$37,MATCH($N31,Calcs!$CJ$2:$CJ$37,0),MATCH(AJ$1,Calcs!$B$1:$AB$1,0)),"")</f>
        <v>2</v>
      </c>
      <c r="AK31" s="57">
        <f>IFERROR(INDEX(Calcs!$B$2:$AB$37,MATCH($N31,Calcs!$CJ$2:$CJ$37,0),MATCH(AK$1,Calcs!$B$1:$AB$1,0)),"")</f>
        <v>2</v>
      </c>
      <c r="AL31" s="57">
        <f>IFERROR(INDEX(Calcs!$B$2:$AB$37,MATCH($N31,Calcs!$CJ$2:$CJ$37,0),MATCH(AL$1,Calcs!$B$1:$AB$1,0)),"")</f>
        <v>0</v>
      </c>
      <c r="AM31" s="57">
        <f>IFERROR(INDEX(Calcs!$B$2:$AB$37,MATCH($N31,Calcs!$CJ$2:$CJ$37,0),MATCH(AM$1,Calcs!$B$1:$AB$1,0)),"")</f>
        <v>3</v>
      </c>
      <c r="AN31" s="60">
        <f>IFERROR(INDEX(Calcs!$B$2:$AB$37,MATCH($N31,Calcs!$CJ$2:$CJ$37,0),MATCH(AN$1,Calcs!$B$1:$AB$1,0)),"")</f>
        <v>-3</v>
      </c>
      <c r="AO31" s="57">
        <f>IFERROR(INDEX(Calcs!$B$2:$AB$37,MATCH($N31,Calcs!$CJ$2:$CJ$37,0),MATCH(AO$1,Calcs!$B$1:$AB$1,0)),"")</f>
        <v>65</v>
      </c>
      <c r="AP31" s="57">
        <f>IFERROR(INDEX(Calcs!$B$2:$AB$37,MATCH($N31,Calcs!$CJ$2:$CJ$37,0),MATCH(AP$1,Calcs!$B$1:$AB$1,0)),"")</f>
        <v>-23</v>
      </c>
      <c r="AQ31" s="60">
        <f>IFERROR(INDEX(Calcs!$B$2:$AB$37,MATCH($N31,Calcs!$CJ$2:$CJ$37,0),MATCH(AQ$1,Calcs!$B$1:$AB$1,0)),"")</f>
        <v>78</v>
      </c>
      <c r="AR31" s="74"/>
      <c r="AS31" s="9" t="str">
        <f>INDEX(Calcs!A$2:A$37,MATCH($N31,Calcs!$CF$2:$CF$37,0))</f>
        <v>Pafos</v>
      </c>
      <c r="AT31" s="177"/>
      <c r="AU31" s="149">
        <f>INDEX(Calcs!$BZ$2:$BZ$37,MATCH($AS31,Calcs!$A$2:$A$37,0))</f>
        <v>30</v>
      </c>
      <c r="AV31" s="149">
        <f t="shared" si="1"/>
        <v>1</v>
      </c>
      <c r="AW31" s="149" t="str">
        <f t="shared" si="2"/>
        <v>30.1</v>
      </c>
      <c r="AX31" s="149"/>
      <c r="AY31" s="74"/>
      <c r="AZ31" s="71" t="str">
        <f>TablaEquipos[[#This Row],[Team]]</f>
        <v>Qarabağ</v>
      </c>
      <c r="BA31" s="179"/>
      <c r="BB31" s="74"/>
      <c r="BC31" s="74"/>
      <c r="BD31" s="74"/>
      <c r="BE31" s="74"/>
      <c r="BF31" s="247" t="str">
        <f t="shared" si="0"/>
        <v>Local</v>
      </c>
      <c r="BI31" s="247">
        <f>SUMIF(Calcs!$A$2:$A$37,League!BI5,Calcs!$F$2:$F$37)</f>
        <v>9</v>
      </c>
      <c r="BJ31" s="247">
        <f>SUMIF(Calcs!$A$2:$A$37,League!BJ5,Calcs!$F$2:$F$37)</f>
        <v>4</v>
      </c>
      <c r="BK31" s="247">
        <f>SUMIF(Calcs!$A$2:$A$37,League!BK5,Calcs!$F$2:$F$37)</f>
        <v>11</v>
      </c>
      <c r="BL31" s="247">
        <f>SUMIF(Calcs!$A$2:$A$37,League!BL5,Calcs!$F$2:$F$37)</f>
        <v>16</v>
      </c>
      <c r="BM31" s="247">
        <f>SUMIF(Calcs!$A$2:$A$37,League!BM5,Calcs!$F$2:$F$37)</f>
        <v>7</v>
      </c>
      <c r="BN31" s="247">
        <f>SUMIF(Calcs!$A$2:$A$37,League!BN5,Calcs!$F$2:$F$37)</f>
        <v>12</v>
      </c>
      <c r="BO31" s="247">
        <f>SUMIF(Calcs!$A$2:$A$37,League!BO5,Calcs!$F$2:$F$37)</f>
        <v>6</v>
      </c>
      <c r="BP31" s="247">
        <f>SUMIF(Calcs!$A$2:$A$37,League!BP5,Calcs!$F$2:$F$37)</f>
        <v>20</v>
      </c>
      <c r="BQ31" s="247">
        <f>SUMIF(Calcs!$A$2:$A$37,League!BQ5,Calcs!$F$2:$F$37)</f>
        <v>10</v>
      </c>
      <c r="BR31" s="247">
        <f>SUMIF(Calcs!$A$2:$A$37,League!BR5,Calcs!$F$2:$F$37)</f>
        <v>8</v>
      </c>
      <c r="BS31" s="247">
        <f>SUMIF(Calcs!$A$2:$A$37,League!BS5,Calcs!$F$2:$F$37)</f>
        <v>13</v>
      </c>
      <c r="BT31" s="247">
        <f>SUMIF(Calcs!$A$2:$A$37,League!BT5,Calcs!$F$2:$F$37)</f>
        <v>18</v>
      </c>
      <c r="BU31" s="247">
        <f>SUMIF(Calcs!$A$2:$A$37,League!BU5,Calcs!$F$2:$F$37)</f>
        <v>13</v>
      </c>
      <c r="BV31" s="247">
        <f>SUMIF(Calcs!$A$2:$A$37,League!BV5,Calcs!$F$2:$F$37)</f>
        <v>15</v>
      </c>
      <c r="BW31" s="247">
        <f>SUMIF(Calcs!$A$2:$A$37,League!BW5,Calcs!$F$2:$F$37)</f>
        <v>7</v>
      </c>
      <c r="BX31" s="247">
        <f>SUMIF(Calcs!$A$2:$A$37,League!BX5,Calcs!$F$2:$F$37)</f>
        <v>7</v>
      </c>
      <c r="BY31" s="247">
        <f>SUMIF(Calcs!$A$2:$A$37,League!BY5,Calcs!$F$2:$F$37)</f>
        <v>5</v>
      </c>
      <c r="BZ31" s="247">
        <f>SUMIF(Calcs!$A$2:$A$37,League!BZ5,Calcs!$F$2:$F$37)</f>
        <v>14</v>
      </c>
      <c r="CA31" s="247">
        <f>SUMIF(Calcs!$A$2:$A$37,League!CA5,Calcs!$F$2:$F$37)</f>
        <v>13</v>
      </c>
      <c r="CB31" s="247">
        <f>SUMIF(Calcs!$A$2:$A$37,League!CB5,Calcs!$F$2:$F$37)</f>
        <v>19</v>
      </c>
      <c r="CC31" s="247">
        <f>SUMIF(Calcs!$A$2:$A$37,League!CC5,Calcs!$F$2:$F$37)</f>
        <v>19</v>
      </c>
      <c r="CD31" s="247">
        <f>SUMIF(Calcs!$A$2:$A$37,League!CD5,Calcs!$F$2:$F$37)</f>
        <v>10</v>
      </c>
      <c r="CE31" s="247">
        <f>SUMIF(Calcs!$A$2:$A$37,League!CE5,Calcs!$F$2:$F$37)</f>
        <v>12</v>
      </c>
      <c r="CF31" s="247">
        <f>SUMIF(Calcs!$A$2:$A$37,League!CF5,Calcs!$F$2:$F$37)</f>
        <v>10</v>
      </c>
      <c r="CG31" s="247">
        <f>SUMIF(Calcs!$A$2:$A$37,League!CG5,Calcs!$F$2:$F$37)</f>
        <v>7</v>
      </c>
      <c r="CH31" s="247">
        <f>SUMIF(Calcs!$A$2:$A$37,League!CH5,Calcs!$F$2:$F$37)</f>
        <v>15</v>
      </c>
      <c r="CI31" s="247">
        <f>SUMIF(Calcs!$A$2:$A$37,League!CI5,Calcs!$F$2:$F$37)</f>
        <v>5</v>
      </c>
      <c r="CJ31" s="247">
        <f>SUMIF(Calcs!$A$2:$A$37,League!CJ5,Calcs!$F$2:$F$37)</f>
        <v>20</v>
      </c>
      <c r="CK31" s="247">
        <f>SUMIF(Calcs!$A$2:$A$37,League!CK5,Calcs!$F$2:$F$37)</f>
        <v>8</v>
      </c>
      <c r="CL31" s="247">
        <f>SUMIF(Calcs!$A$2:$A$37,League!CL5,Calcs!$F$2:$F$37)</f>
        <v>14</v>
      </c>
      <c r="CM31" s="247">
        <f>SUMIF(Calcs!$A$2:$A$37,League!CM5,Calcs!$F$2:$F$37)</f>
        <v>14</v>
      </c>
      <c r="CN31" s="247">
        <f>SUMIF(Calcs!$A$2:$A$37,League!CN5,Calcs!$F$2:$F$37)</f>
        <v>20</v>
      </c>
      <c r="CO31" s="247">
        <f>SUMIF(Calcs!$A$2:$A$37,League!CO5,Calcs!$F$2:$F$37)</f>
        <v>14</v>
      </c>
      <c r="CP31" s="247">
        <f>SUMIF(Calcs!$A$2:$A$37,League!CP5,Calcs!$F$2:$F$37)</f>
        <v>11</v>
      </c>
      <c r="CQ31" s="247">
        <f>SUMIF(Calcs!$A$2:$A$37,League!CQ5,Calcs!$F$2:$F$37)</f>
        <v>16</v>
      </c>
      <c r="CR31" s="247">
        <f>SUMIF(Calcs!$A$2:$A$37,League!CR5,Calcs!$F$2:$F$37)</f>
        <v>4</v>
      </c>
      <c r="CS31" s="247"/>
      <c r="CT31" s="256"/>
      <c r="CU31" s="256"/>
      <c r="CV31" s="227"/>
    </row>
    <row r="32" spans="1:100" ht="17.100000000000001" customHeight="1">
      <c r="A32" s="484">
        <v>2</v>
      </c>
      <c r="B32" s="479">
        <f>Horarios!C32</f>
        <v>45931.875</v>
      </c>
      <c r="C32" s="480">
        <f>Horarios!C32</f>
        <v>45931.875</v>
      </c>
      <c r="D32" s="193" t="s">
        <v>48</v>
      </c>
      <c r="E32" s="25" t="e" vm="37">
        <f>INDEX(TablaEquipos[Badge],MATCH(D32,TablaEquipos[Team],0))</f>
        <v>#VALUE!</v>
      </c>
      <c r="F32" s="26"/>
      <c r="G32" s="481">
        <v>2</v>
      </c>
      <c r="H32" s="485">
        <v>2</v>
      </c>
      <c r="I32" s="483"/>
      <c r="J32" s="26" t="e" vm="27">
        <f>INDEX(TablaEquipos[Badge],MATCH(K32,TablaEquipos[Team],0))</f>
        <v>#VALUE!</v>
      </c>
      <c r="K32" s="210" t="s">
        <v>53</v>
      </c>
      <c r="L32" s="97"/>
      <c r="M32" s="74"/>
      <c r="N32" s="93">
        <v>31</v>
      </c>
      <c r="O32" s="54" t="e" vm="4">
        <f>INDEX(TablaEquipos[],MATCH(P32,TablaEquipos[Team],0),MATCH($O$1,TablaEquipos[#Headers],0))</f>
        <v>#VALUE!</v>
      </c>
      <c r="P32" s="55" t="str">
        <f>IFERROR(INDEX(Calcs!A$2:A$37,MATCH($N32,Calcs!$CJ$2:$CJ$37,0)),"")</f>
        <v>Union Saint-Gilloise</v>
      </c>
      <c r="Q32" s="56">
        <f>IFERROR(INDEX(Calcs!$B$2:$AB$37,MATCH($N32,Calcs!$CJ$2:$CJ$37,0),MATCH(Q$1,Calcs!$B$1:$AB$1,0)),"")</f>
        <v>6</v>
      </c>
      <c r="R32" s="57">
        <f>IFERROR(INDEX(Calcs!$B$2:$AB$37,MATCH($N32,Calcs!$CJ$2:$CJ$37,0),MATCH(R$1,Calcs!$B$1:$AB$1,0)),"")</f>
        <v>7</v>
      </c>
      <c r="S32" s="57">
        <f>IFERROR(INDEX(Calcs!$B$2:$AB$37,MATCH($N32,Calcs!$CJ$2:$CJ$37,0),MATCH(S$1,Calcs!$B$1:$AB$1,0)),"")</f>
        <v>2</v>
      </c>
      <c r="T32" s="57">
        <f>IFERROR(INDEX(Calcs!$B$2:$AB$37,MATCH($N32,Calcs!$CJ$2:$CJ$37,0),MATCH(T$1,Calcs!$B$1:$AB$1,0)),"")</f>
        <v>0</v>
      </c>
      <c r="U32" s="57">
        <f>IFERROR(INDEX(Calcs!$B$2:$AB$37,MATCH($N32,Calcs!$CJ$2:$CJ$37,0),MATCH(U$1,Calcs!$B$1:$AB$1,0)),"")</f>
        <v>5</v>
      </c>
      <c r="V32" s="57">
        <f>IFERROR(INDEX(Calcs!$B$2:$AB$37,MATCH($N32,Calcs!$CJ$2:$CJ$37,0),MATCH(V$1,Calcs!$B$1:$AB$1,0)),"")</f>
        <v>7</v>
      </c>
      <c r="W32" s="57">
        <f>IFERROR(INDEX(Calcs!$B$2:$AB$37,MATCH($N32,Calcs!$CJ$2:$CJ$37,0),MATCH(W$1,Calcs!$B$1:$AB$1,0)),"")</f>
        <v>17</v>
      </c>
      <c r="X32" s="58">
        <f>IFERROR(INDEX(Calcs!$B$2:$AB$37,MATCH($N32,Calcs!$CJ$2:$CJ$37,0),MATCH(X$1,Calcs!$B$1:$AB$1,0)),"")</f>
        <v>-10</v>
      </c>
      <c r="Y32" s="59">
        <f>IFERROR(INDEX(Calcs!$B$2:$AB$37,MATCH($N32,Calcs!$CJ$2:$CJ$37,0),MATCH(Y$1,Calcs!$B$1:$AB$1,0)),"")</f>
        <v>0</v>
      </c>
      <c r="Z32" s="57">
        <f>IFERROR(INDEX(Calcs!$B$2:$AB$37,MATCH($N32,Calcs!$CJ$2:$CJ$37,0),MATCH(Z$1,Calcs!$B$1:$AB$1,0)),"")</f>
        <v>3</v>
      </c>
      <c r="AA32" s="57">
        <f>IFERROR(INDEX(Calcs!$B$2:$AB$37,MATCH($N32,Calcs!$CJ$2:$CJ$37,0),MATCH(AA$1,Calcs!$B$1:$AB$1,0)),"")</f>
        <v>0</v>
      </c>
      <c r="AB32" s="57">
        <f>IFERROR(INDEX(Calcs!$B$2:$AB$37,MATCH($N32,Calcs!$CJ$2:$CJ$37,0),MATCH(AB$1,Calcs!$B$1:$AB$1,0)),"")</f>
        <v>0</v>
      </c>
      <c r="AC32" s="57">
        <f>IFERROR(INDEX(Calcs!$B$2:$AB$37,MATCH($N32,Calcs!$CJ$2:$CJ$37,0),MATCH(AC$1,Calcs!$B$1:$AB$1,0)),"")</f>
        <v>3</v>
      </c>
      <c r="AD32" s="57">
        <f>IFERROR(INDEX(Calcs!$B$2:$AB$37,MATCH($N32,Calcs!$CJ$2:$CJ$37,0),MATCH(AD$1,Calcs!$B$1:$AB$1,0)),"")</f>
        <v>2</v>
      </c>
      <c r="AE32" s="57">
        <f>IFERROR(INDEX(Calcs!$B$2:$AB$37,MATCH($N32,Calcs!$CJ$2:$CJ$37,0),MATCH(AE$1,Calcs!$B$1:$AB$1,0)),"")</f>
        <v>11</v>
      </c>
      <c r="AF32" s="58">
        <f>IFERROR(INDEX(Calcs!$B$2:$AB$37,MATCH($N32,Calcs!$CJ$2:$CJ$37,0),MATCH(AF$1,Calcs!$B$1:$AB$1,0)),"")</f>
        <v>-9</v>
      </c>
      <c r="AG32" s="59">
        <f>IFERROR(INDEX(Calcs!$B$2:$AB$37,MATCH($N32,Calcs!$CJ$2:$CJ$37,0),MATCH(AG$1,Calcs!$B$1:$AB$1,0)),"")</f>
        <v>6</v>
      </c>
      <c r="AH32" s="57">
        <f>IFERROR(INDEX(Calcs!$B$2:$AB$37,MATCH($N32,Calcs!$CJ$2:$CJ$37,0),MATCH(AH$1,Calcs!$B$1:$AB$1,0)),"")</f>
        <v>4</v>
      </c>
      <c r="AI32" s="57">
        <f>IFERROR(INDEX(Calcs!$B$2:$AB$37,MATCH($N32,Calcs!$CJ$2:$CJ$37,0),MATCH(AI$1,Calcs!$B$1:$AB$1,0)),"")</f>
        <v>2</v>
      </c>
      <c r="AJ32" s="57">
        <f>IFERROR(INDEX(Calcs!$B$2:$AB$37,MATCH($N32,Calcs!$CJ$2:$CJ$37,0),MATCH(AJ$1,Calcs!$B$1:$AB$1,0)),"")</f>
        <v>0</v>
      </c>
      <c r="AK32" s="57">
        <f>IFERROR(INDEX(Calcs!$B$2:$AB$37,MATCH($N32,Calcs!$CJ$2:$CJ$37,0),MATCH(AK$1,Calcs!$B$1:$AB$1,0)),"")</f>
        <v>2</v>
      </c>
      <c r="AL32" s="57">
        <f>IFERROR(INDEX(Calcs!$B$2:$AB$37,MATCH($N32,Calcs!$CJ$2:$CJ$37,0),MATCH(AL$1,Calcs!$B$1:$AB$1,0)),"")</f>
        <v>5</v>
      </c>
      <c r="AM32" s="57">
        <f>IFERROR(INDEX(Calcs!$B$2:$AB$37,MATCH($N32,Calcs!$CJ$2:$CJ$37,0),MATCH(AM$1,Calcs!$B$1:$AB$1,0)),"")</f>
        <v>6</v>
      </c>
      <c r="AN32" s="60">
        <f>IFERROR(INDEX(Calcs!$B$2:$AB$37,MATCH($N32,Calcs!$CJ$2:$CJ$37,0),MATCH(AN$1,Calcs!$B$1:$AB$1,0)),"")</f>
        <v>-1</v>
      </c>
      <c r="AO32" s="57">
        <f>IFERROR(INDEX(Calcs!$B$2:$AB$37,MATCH($N32,Calcs!$CJ$2:$CJ$37,0),MATCH(AO$1,Calcs!$B$1:$AB$1,0)),"")</f>
        <v>96</v>
      </c>
      <c r="AP32" s="57">
        <f>IFERROR(INDEX(Calcs!$B$2:$AB$37,MATCH($N32,Calcs!$CJ$2:$CJ$37,0),MATCH(AP$1,Calcs!$B$1:$AB$1,0)),"")</f>
        <v>34</v>
      </c>
      <c r="AQ32" s="60">
        <f>IFERROR(INDEX(Calcs!$B$2:$AB$37,MATCH($N32,Calcs!$CJ$2:$CJ$37,0),MATCH(AQ$1,Calcs!$B$1:$AB$1,0)),"")</f>
        <v>110</v>
      </c>
      <c r="AR32" s="74"/>
      <c r="AS32" s="9" t="str">
        <f>INDEX(Calcs!A$2:A$37,MATCH($N32,Calcs!$CF$2:$CF$37,0))</f>
        <v>Union Saint-Gilloise</v>
      </c>
      <c r="AT32" s="177"/>
      <c r="AU32" s="149">
        <f>INDEX(Calcs!$BZ$2:$BZ$37,MATCH($AS32,Calcs!$A$2:$A$37,0))</f>
        <v>31</v>
      </c>
      <c r="AV32" s="149">
        <f t="shared" si="1"/>
        <v>1</v>
      </c>
      <c r="AW32" s="149" t="str">
        <f t="shared" si="2"/>
        <v>31.1</v>
      </c>
      <c r="AX32" s="149"/>
      <c r="AY32" s="74"/>
      <c r="AZ32" s="70" t="str">
        <f>TablaEquipos[[#This Row],[Team]]</f>
        <v>Real Madrid</v>
      </c>
      <c r="BA32" s="178"/>
      <c r="BB32" s="74"/>
      <c r="BC32" s="74"/>
      <c r="BD32" s="74"/>
      <c r="BE32" s="74"/>
      <c r="BF32" s="247" t="str">
        <f t="shared" si="0"/>
        <v>Empate</v>
      </c>
      <c r="BI32" s="247">
        <f>SUMIF(Calcs!$A$2:$A$37,League!BI6,Calcs!$F$2:$F$37)</f>
        <v>6</v>
      </c>
      <c r="BJ32" s="247">
        <f>SUMIF(Calcs!$A$2:$A$37,League!BJ6,Calcs!$F$2:$F$37)</f>
        <v>20</v>
      </c>
      <c r="BK32" s="247">
        <f>SUMIF(Calcs!$A$2:$A$37,League!BK6,Calcs!$F$2:$F$37)</f>
        <v>10</v>
      </c>
      <c r="BL32" s="247">
        <f>SUMIF(Calcs!$A$2:$A$37,League!BL6,Calcs!$F$2:$F$37)</f>
        <v>4</v>
      </c>
      <c r="BM32" s="247">
        <f>SUMIF(Calcs!$A$2:$A$37,League!BM6,Calcs!$F$2:$F$37)</f>
        <v>13</v>
      </c>
      <c r="BN32" s="247">
        <f>SUMIF(Calcs!$A$2:$A$37,League!BN6,Calcs!$F$2:$F$37)</f>
        <v>14</v>
      </c>
      <c r="BO32" s="247">
        <f>SUMIF(Calcs!$A$2:$A$37,League!BO6,Calcs!$F$2:$F$37)</f>
        <v>13</v>
      </c>
      <c r="BP32" s="247">
        <f>SUMIF(Calcs!$A$2:$A$37,League!BP6,Calcs!$F$2:$F$37)</f>
        <v>20</v>
      </c>
      <c r="BQ32" s="247">
        <f>SUMIF(Calcs!$A$2:$A$37,League!BQ6,Calcs!$F$2:$F$37)</f>
        <v>7</v>
      </c>
      <c r="BR32" s="247">
        <f>SUMIF(Calcs!$A$2:$A$37,League!BR6,Calcs!$F$2:$F$37)</f>
        <v>14</v>
      </c>
      <c r="BS32" s="247">
        <f>SUMIF(Calcs!$A$2:$A$37,League!BS6,Calcs!$F$2:$F$37)</f>
        <v>5</v>
      </c>
      <c r="BT32" s="247">
        <f>SUMIF(Calcs!$A$2:$A$37,League!BT6,Calcs!$F$2:$F$37)</f>
        <v>14</v>
      </c>
      <c r="BU32" s="247">
        <f>SUMIF(Calcs!$A$2:$A$37,League!BU6,Calcs!$F$2:$F$37)</f>
        <v>18</v>
      </c>
      <c r="BV32" s="247">
        <f>SUMIF(Calcs!$A$2:$A$37,League!BV6,Calcs!$F$2:$F$37)</f>
        <v>5</v>
      </c>
      <c r="BW32" s="247">
        <f>SUMIF(Calcs!$A$2:$A$37,League!BW6,Calcs!$F$2:$F$37)</f>
        <v>10</v>
      </c>
      <c r="BX32" s="247">
        <f>SUMIF(Calcs!$A$2:$A$37,League!BX6,Calcs!$F$2:$F$37)</f>
        <v>7</v>
      </c>
      <c r="BY32" s="247">
        <f>SUMIF(Calcs!$A$2:$A$37,League!BY6,Calcs!$F$2:$F$37)</f>
        <v>16</v>
      </c>
      <c r="BZ32" s="247">
        <f>SUMIF(Calcs!$A$2:$A$37,League!BZ6,Calcs!$F$2:$F$37)</f>
        <v>12</v>
      </c>
      <c r="CA32" s="247">
        <f>SUMIF(Calcs!$A$2:$A$37,League!CA6,Calcs!$F$2:$F$37)</f>
        <v>11</v>
      </c>
      <c r="CB32" s="247">
        <f>SUMIF(Calcs!$A$2:$A$37,League!CB6,Calcs!$F$2:$F$37)</f>
        <v>15</v>
      </c>
      <c r="CC32" s="247">
        <f>SUMIF(Calcs!$A$2:$A$37,League!CC6,Calcs!$F$2:$F$37)</f>
        <v>10</v>
      </c>
      <c r="CD32" s="247">
        <f>SUMIF(Calcs!$A$2:$A$37,League!CD6,Calcs!$F$2:$F$37)</f>
        <v>16</v>
      </c>
      <c r="CE32" s="247">
        <f>SUMIF(Calcs!$A$2:$A$37,League!CE6,Calcs!$F$2:$F$37)</f>
        <v>4</v>
      </c>
      <c r="CF32" s="247">
        <f>SUMIF(Calcs!$A$2:$A$37,League!CF6,Calcs!$F$2:$F$37)</f>
        <v>13</v>
      </c>
      <c r="CG32" s="247">
        <f>SUMIF(Calcs!$A$2:$A$37,League!CG6,Calcs!$F$2:$F$37)</f>
        <v>11</v>
      </c>
      <c r="CH32" s="247">
        <f>SUMIF(Calcs!$A$2:$A$37,League!CH6,Calcs!$F$2:$F$37)</f>
        <v>19</v>
      </c>
      <c r="CI32" s="247">
        <f>SUMIF(Calcs!$A$2:$A$37,League!CI6,Calcs!$F$2:$F$37)</f>
        <v>8</v>
      </c>
      <c r="CJ32" s="247">
        <f>SUMIF(Calcs!$A$2:$A$37,League!CJ6,Calcs!$F$2:$F$37)</f>
        <v>15</v>
      </c>
      <c r="CK32" s="247">
        <f>SUMIF(Calcs!$A$2:$A$37,League!CK6,Calcs!$F$2:$F$37)</f>
        <v>14</v>
      </c>
      <c r="CL32" s="247">
        <f>SUMIF(Calcs!$A$2:$A$37,League!CL6,Calcs!$F$2:$F$37)</f>
        <v>7</v>
      </c>
      <c r="CM32" s="247">
        <f>SUMIF(Calcs!$A$2:$A$37,League!CM6,Calcs!$F$2:$F$37)</f>
        <v>8</v>
      </c>
      <c r="CN32" s="247">
        <f>SUMIF(Calcs!$A$2:$A$37,League!CN6,Calcs!$F$2:$F$37)</f>
        <v>7</v>
      </c>
      <c r="CO32" s="247">
        <f>SUMIF(Calcs!$A$2:$A$37,League!CO6,Calcs!$F$2:$F$37)</f>
        <v>12</v>
      </c>
      <c r="CP32" s="247">
        <f>SUMIF(Calcs!$A$2:$A$37,League!CP6,Calcs!$F$2:$F$37)</f>
        <v>20</v>
      </c>
      <c r="CQ32" s="247">
        <f>SUMIF(Calcs!$A$2:$A$37,League!CQ6,Calcs!$F$2:$F$37)</f>
        <v>9</v>
      </c>
      <c r="CR32" s="247">
        <f>SUMIF(Calcs!$A$2:$A$37,League!CR6,Calcs!$F$2:$F$37)</f>
        <v>19</v>
      </c>
      <c r="CS32" s="247"/>
      <c r="CT32" s="256"/>
      <c r="CU32" s="256"/>
      <c r="CV32" s="227"/>
    </row>
    <row r="33" spans="1:100" ht="17.100000000000001" customHeight="1">
      <c r="A33" s="484">
        <v>2</v>
      </c>
      <c r="B33" s="479">
        <f>Horarios!C33</f>
        <v>45931.875</v>
      </c>
      <c r="C33" s="480">
        <f>Horarios!C33</f>
        <v>45931.875</v>
      </c>
      <c r="D33" s="193" t="s">
        <v>50</v>
      </c>
      <c r="E33" s="25" t="e" vm="32">
        <f>INDEX(TablaEquipos[Badge],MATCH(D33,TablaEquipos[Team],0))</f>
        <v>#VALUE!</v>
      </c>
      <c r="F33" s="26"/>
      <c r="G33" s="481">
        <v>1</v>
      </c>
      <c r="H33" s="485">
        <v>1</v>
      </c>
      <c r="I33" s="483"/>
      <c r="J33" s="26" t="e" vm="3">
        <f>INDEX(TablaEquipos[Badge],MATCH(K33,TablaEquipos[Team],0))</f>
        <v>#VALUE!</v>
      </c>
      <c r="K33" s="210" t="s">
        <v>24</v>
      </c>
      <c r="L33" s="97"/>
      <c r="M33" s="74"/>
      <c r="N33" s="94">
        <v>32</v>
      </c>
      <c r="O33" s="54" t="e" vm="22">
        <f>INDEX(TablaEquipos[],MATCH(P33,TablaEquipos[Team],0),MATCH($O$1,TablaEquipos[#Headers],0))</f>
        <v>#VALUE!</v>
      </c>
      <c r="P33" s="55" t="str">
        <f>IFERROR(INDEX(Calcs!A$2:A$37,MATCH($N33,Calcs!$CJ$2:$CJ$37,0)),"")</f>
        <v>Ajax</v>
      </c>
      <c r="Q33" s="56">
        <f>IFERROR(INDEX(Calcs!$B$2:$AB$37,MATCH($N33,Calcs!$CJ$2:$CJ$37,0),MATCH(Q$1,Calcs!$B$1:$AB$1,0)),"")</f>
        <v>6</v>
      </c>
      <c r="R33" s="57">
        <f>IFERROR(INDEX(Calcs!$B$2:$AB$37,MATCH($N33,Calcs!$CJ$2:$CJ$37,0),MATCH(R$1,Calcs!$B$1:$AB$1,0)),"")</f>
        <v>7</v>
      </c>
      <c r="S33" s="57">
        <f>IFERROR(INDEX(Calcs!$B$2:$AB$37,MATCH($N33,Calcs!$CJ$2:$CJ$37,0),MATCH(S$1,Calcs!$B$1:$AB$1,0)),"")</f>
        <v>2</v>
      </c>
      <c r="T33" s="57">
        <f>IFERROR(INDEX(Calcs!$B$2:$AB$37,MATCH($N33,Calcs!$CJ$2:$CJ$37,0),MATCH(T$1,Calcs!$B$1:$AB$1,0)),"")</f>
        <v>0</v>
      </c>
      <c r="U33" s="57">
        <f>IFERROR(INDEX(Calcs!$B$2:$AB$37,MATCH($N33,Calcs!$CJ$2:$CJ$37,0),MATCH(U$1,Calcs!$B$1:$AB$1,0)),"")</f>
        <v>5</v>
      </c>
      <c r="V33" s="57">
        <f>IFERROR(INDEX(Calcs!$B$2:$AB$37,MATCH($N33,Calcs!$CJ$2:$CJ$37,0),MATCH(V$1,Calcs!$B$1:$AB$1,0)),"")</f>
        <v>7</v>
      </c>
      <c r="W33" s="57">
        <f>IFERROR(INDEX(Calcs!$B$2:$AB$37,MATCH($N33,Calcs!$CJ$2:$CJ$37,0),MATCH(W$1,Calcs!$B$1:$AB$1,0)),"")</f>
        <v>19</v>
      </c>
      <c r="X33" s="58">
        <f>IFERROR(INDEX(Calcs!$B$2:$AB$37,MATCH($N33,Calcs!$CJ$2:$CJ$37,0),MATCH(X$1,Calcs!$B$1:$AB$1,0)),"")</f>
        <v>-12</v>
      </c>
      <c r="Y33" s="59">
        <f>IFERROR(INDEX(Calcs!$B$2:$AB$37,MATCH($N33,Calcs!$CJ$2:$CJ$37,0),MATCH(Y$1,Calcs!$B$1:$AB$1,0)),"")</f>
        <v>0</v>
      </c>
      <c r="Z33" s="57">
        <f>IFERROR(INDEX(Calcs!$B$2:$AB$37,MATCH($N33,Calcs!$CJ$2:$CJ$37,0),MATCH(Z$1,Calcs!$B$1:$AB$1,0)),"")</f>
        <v>3</v>
      </c>
      <c r="AA33" s="57">
        <f>IFERROR(INDEX(Calcs!$B$2:$AB$37,MATCH($N33,Calcs!$CJ$2:$CJ$37,0),MATCH(AA$1,Calcs!$B$1:$AB$1,0)),"")</f>
        <v>0</v>
      </c>
      <c r="AB33" s="57">
        <f>IFERROR(INDEX(Calcs!$B$2:$AB$37,MATCH($N33,Calcs!$CJ$2:$CJ$37,0),MATCH(AB$1,Calcs!$B$1:$AB$1,0)),"")</f>
        <v>0</v>
      </c>
      <c r="AC33" s="57">
        <f>IFERROR(INDEX(Calcs!$B$2:$AB$37,MATCH($N33,Calcs!$CJ$2:$CJ$37,0),MATCH(AC$1,Calcs!$B$1:$AB$1,0)),"")</f>
        <v>3</v>
      </c>
      <c r="AD33" s="57">
        <f>IFERROR(INDEX(Calcs!$B$2:$AB$37,MATCH($N33,Calcs!$CJ$2:$CJ$37,0),MATCH(AD$1,Calcs!$B$1:$AB$1,0)),"")</f>
        <v>0</v>
      </c>
      <c r="AE33" s="57">
        <f>IFERROR(INDEX(Calcs!$B$2:$AB$37,MATCH($N33,Calcs!$CJ$2:$CJ$37,0),MATCH(AE$1,Calcs!$B$1:$AB$1,0)),"")</f>
        <v>7</v>
      </c>
      <c r="AF33" s="58">
        <f>IFERROR(INDEX(Calcs!$B$2:$AB$37,MATCH($N33,Calcs!$CJ$2:$CJ$37,0),MATCH(AF$1,Calcs!$B$1:$AB$1,0)),"")</f>
        <v>-7</v>
      </c>
      <c r="AG33" s="59">
        <f>IFERROR(INDEX(Calcs!$B$2:$AB$37,MATCH($N33,Calcs!$CJ$2:$CJ$37,0),MATCH(AG$1,Calcs!$B$1:$AB$1,0)),"")</f>
        <v>6</v>
      </c>
      <c r="AH33" s="57">
        <f>IFERROR(INDEX(Calcs!$B$2:$AB$37,MATCH($N33,Calcs!$CJ$2:$CJ$37,0),MATCH(AH$1,Calcs!$B$1:$AB$1,0)),"")</f>
        <v>4</v>
      </c>
      <c r="AI33" s="57">
        <f>IFERROR(INDEX(Calcs!$B$2:$AB$37,MATCH($N33,Calcs!$CJ$2:$CJ$37,0),MATCH(AI$1,Calcs!$B$1:$AB$1,0)),"")</f>
        <v>2</v>
      </c>
      <c r="AJ33" s="57">
        <f>IFERROR(INDEX(Calcs!$B$2:$AB$37,MATCH($N33,Calcs!$CJ$2:$CJ$37,0),MATCH(AJ$1,Calcs!$B$1:$AB$1,0)),"")</f>
        <v>0</v>
      </c>
      <c r="AK33" s="57">
        <f>IFERROR(INDEX(Calcs!$B$2:$AB$37,MATCH($N33,Calcs!$CJ$2:$CJ$37,0),MATCH(AK$1,Calcs!$B$1:$AB$1,0)),"")</f>
        <v>2</v>
      </c>
      <c r="AL33" s="57">
        <f>IFERROR(INDEX(Calcs!$B$2:$AB$37,MATCH($N33,Calcs!$CJ$2:$CJ$37,0),MATCH(AL$1,Calcs!$B$1:$AB$1,0)),"")</f>
        <v>7</v>
      </c>
      <c r="AM33" s="57">
        <f>IFERROR(INDEX(Calcs!$B$2:$AB$37,MATCH($N33,Calcs!$CJ$2:$CJ$37,0),MATCH(AM$1,Calcs!$B$1:$AB$1,0)),"")</f>
        <v>12</v>
      </c>
      <c r="AN33" s="60">
        <f>IFERROR(INDEX(Calcs!$B$2:$AB$37,MATCH($N33,Calcs!$CJ$2:$CJ$37,0),MATCH(AN$1,Calcs!$B$1:$AB$1,0)),"")</f>
        <v>-5</v>
      </c>
      <c r="AO33" s="57">
        <f>IFERROR(INDEX(Calcs!$B$2:$AB$37,MATCH($N33,Calcs!$CJ$2:$CJ$37,0),MATCH(AO$1,Calcs!$B$1:$AB$1,0)),"")</f>
        <v>69</v>
      </c>
      <c r="AP33" s="57">
        <f>IFERROR(INDEX(Calcs!$B$2:$AB$37,MATCH($N33,Calcs!$CJ$2:$CJ$37,0),MATCH(AP$1,Calcs!$B$1:$AB$1,0)),"")</f>
        <v>-9</v>
      </c>
      <c r="AQ33" s="60">
        <f>IFERROR(INDEX(Calcs!$B$2:$AB$37,MATCH($N33,Calcs!$CJ$2:$CJ$37,0),MATCH(AQ$1,Calcs!$B$1:$AB$1,0)),"")</f>
        <v>79</v>
      </c>
      <c r="AR33" s="74"/>
      <c r="AS33" s="9" t="str">
        <f>INDEX(Calcs!A$2:A$37,MATCH($N33,Calcs!$CF$2:$CF$37,0))</f>
        <v>Ajax</v>
      </c>
      <c r="AT33" s="177"/>
      <c r="AU33" s="149">
        <f>INDEX(Calcs!$BZ$2:$BZ$37,MATCH($AS33,Calcs!$A$2:$A$37,0))</f>
        <v>32</v>
      </c>
      <c r="AV33" s="149">
        <f t="shared" si="1"/>
        <v>1</v>
      </c>
      <c r="AW33" s="149" t="str">
        <f t="shared" si="2"/>
        <v>32.1</v>
      </c>
      <c r="AX33" s="149"/>
      <c r="AY33" s="74"/>
      <c r="AZ33" s="71" t="str">
        <f>TablaEquipos[[#This Row],[Team]]</f>
        <v>Slavia Praha</v>
      </c>
      <c r="BA33" s="179"/>
      <c r="BB33" s="74"/>
      <c r="BC33" s="74"/>
      <c r="BD33" s="74"/>
      <c r="BE33" s="74"/>
      <c r="BF33" s="247" t="str">
        <f t="shared" si="0"/>
        <v>Empate</v>
      </c>
      <c r="BI33" s="247">
        <f>SUMIF(Calcs!$A$2:$A$37,League!BI7,Calcs!$F$2:$F$37)</f>
        <v>13</v>
      </c>
      <c r="BJ33" s="247">
        <f>SUMIF(Calcs!$A$2:$A$37,League!BJ7,Calcs!$F$2:$F$37)</f>
        <v>12</v>
      </c>
      <c r="BK33" s="247">
        <f>SUMIF(Calcs!$A$2:$A$37,League!BK7,Calcs!$F$2:$F$37)</f>
        <v>14</v>
      </c>
      <c r="BL33" s="247">
        <f>SUMIF(Calcs!$A$2:$A$37,League!BL7,Calcs!$F$2:$F$37)</f>
        <v>20</v>
      </c>
      <c r="BM33" s="247">
        <f>SUMIF(Calcs!$A$2:$A$37,League!BM7,Calcs!$F$2:$F$37)</f>
        <v>15</v>
      </c>
      <c r="BN33" s="247">
        <f>SUMIF(Calcs!$A$2:$A$37,League!BN7,Calcs!$F$2:$F$37)</f>
        <v>10</v>
      </c>
      <c r="BO33" s="247">
        <f>SUMIF(Calcs!$A$2:$A$37,League!BO7,Calcs!$F$2:$F$37)</f>
        <v>16</v>
      </c>
      <c r="BP33" s="247">
        <f>SUMIF(Calcs!$A$2:$A$37,League!BP7,Calcs!$F$2:$F$37)</f>
        <v>14</v>
      </c>
      <c r="BQ33" s="247">
        <f>SUMIF(Calcs!$A$2:$A$37,League!BQ7,Calcs!$F$2:$F$37)</f>
        <v>7</v>
      </c>
      <c r="BR33" s="247">
        <f>SUMIF(Calcs!$A$2:$A$37,League!BR7,Calcs!$F$2:$F$37)</f>
        <v>19</v>
      </c>
      <c r="BS33" s="247">
        <f>SUMIF(Calcs!$A$2:$A$37,League!BS7,Calcs!$F$2:$F$37)</f>
        <v>12</v>
      </c>
      <c r="BT33" s="247">
        <f>SUMIF(Calcs!$A$2:$A$37,League!BT7,Calcs!$F$2:$F$37)</f>
        <v>20</v>
      </c>
      <c r="BU33" s="247">
        <f>SUMIF(Calcs!$A$2:$A$37,League!BU7,Calcs!$F$2:$F$37)</f>
        <v>10</v>
      </c>
      <c r="BV33" s="247">
        <f>SUMIF(Calcs!$A$2:$A$37,League!BV7,Calcs!$F$2:$F$37)</f>
        <v>5</v>
      </c>
      <c r="BW33" s="247">
        <f>SUMIF(Calcs!$A$2:$A$37,League!BW7,Calcs!$F$2:$F$37)</f>
        <v>18</v>
      </c>
      <c r="BX33" s="247">
        <f>SUMIF(Calcs!$A$2:$A$37,League!BX7,Calcs!$F$2:$F$37)</f>
        <v>8</v>
      </c>
      <c r="BY33" s="247">
        <f>SUMIF(Calcs!$A$2:$A$37,League!BY7,Calcs!$F$2:$F$37)</f>
        <v>14</v>
      </c>
      <c r="BZ33" s="247">
        <f>SUMIF(Calcs!$A$2:$A$37,League!BZ7,Calcs!$F$2:$F$37)</f>
        <v>4</v>
      </c>
      <c r="CA33" s="247">
        <f>SUMIF(Calcs!$A$2:$A$37,League!CA7,Calcs!$F$2:$F$37)</f>
        <v>8</v>
      </c>
      <c r="CB33" s="247">
        <f>SUMIF(Calcs!$A$2:$A$37,League!CB7,Calcs!$F$2:$F$37)</f>
        <v>13</v>
      </c>
      <c r="CC33" s="247">
        <f>SUMIF(Calcs!$A$2:$A$37,League!CC7,Calcs!$F$2:$F$37)</f>
        <v>19</v>
      </c>
      <c r="CD33" s="247">
        <f>SUMIF(Calcs!$A$2:$A$37,League!CD7,Calcs!$F$2:$F$37)</f>
        <v>7</v>
      </c>
      <c r="CE33" s="247">
        <f>SUMIF(Calcs!$A$2:$A$37,League!CE7,Calcs!$F$2:$F$37)</f>
        <v>9</v>
      </c>
      <c r="CF33" s="247">
        <f>SUMIF(Calcs!$A$2:$A$37,League!CF7,Calcs!$F$2:$F$37)</f>
        <v>6</v>
      </c>
      <c r="CG33" s="247">
        <f>SUMIF(Calcs!$A$2:$A$37,League!CG7,Calcs!$F$2:$F$37)</f>
        <v>10</v>
      </c>
      <c r="CH33" s="247">
        <f>SUMIF(Calcs!$A$2:$A$37,League!CH7,Calcs!$F$2:$F$37)</f>
        <v>5</v>
      </c>
      <c r="CI33" s="247">
        <f>SUMIF(Calcs!$A$2:$A$37,League!CI7,Calcs!$F$2:$F$37)</f>
        <v>14</v>
      </c>
      <c r="CJ33" s="247">
        <f>SUMIF(Calcs!$A$2:$A$37,League!CJ7,Calcs!$F$2:$F$37)</f>
        <v>7</v>
      </c>
      <c r="CK33" s="247">
        <f>SUMIF(Calcs!$A$2:$A$37,League!CK7,Calcs!$F$2:$F$37)</f>
        <v>16</v>
      </c>
      <c r="CL33" s="247">
        <f>SUMIF(Calcs!$A$2:$A$37,League!CL7,Calcs!$F$2:$F$37)</f>
        <v>7</v>
      </c>
      <c r="CM33" s="247">
        <f>SUMIF(Calcs!$A$2:$A$37,League!CM7,Calcs!$F$2:$F$37)</f>
        <v>13</v>
      </c>
      <c r="CN33" s="247">
        <f>SUMIF(Calcs!$A$2:$A$37,League!CN7,Calcs!$F$2:$F$37)</f>
        <v>15</v>
      </c>
      <c r="CO33" s="247">
        <f>SUMIF(Calcs!$A$2:$A$37,League!CO7,Calcs!$F$2:$F$37)</f>
        <v>20</v>
      </c>
      <c r="CP33" s="247">
        <f>SUMIF(Calcs!$A$2:$A$37,League!CP7,Calcs!$F$2:$F$37)</f>
        <v>4</v>
      </c>
      <c r="CQ33" s="247">
        <f>SUMIF(Calcs!$A$2:$A$37,League!CQ7,Calcs!$F$2:$F$37)</f>
        <v>11</v>
      </c>
      <c r="CR33" s="247">
        <f>SUMIF(Calcs!$A$2:$A$37,League!CR7,Calcs!$F$2:$F$37)</f>
        <v>11</v>
      </c>
      <c r="CS33" s="247"/>
      <c r="CT33" s="256"/>
      <c r="CU33" s="256"/>
      <c r="CV33" s="227"/>
    </row>
    <row r="34" spans="1:100" ht="17.100000000000001" customHeight="1">
      <c r="A34" s="484">
        <v>2</v>
      </c>
      <c r="B34" s="479">
        <f>Horarios!C34</f>
        <v>45931.875</v>
      </c>
      <c r="C34" s="480">
        <f>Horarios!C34</f>
        <v>45931.875</v>
      </c>
      <c r="D34" s="193" t="s">
        <v>27</v>
      </c>
      <c r="E34" s="25" t="e" vm="7">
        <f>INDEX(TablaEquipos[Badge],MATCH(D34,TablaEquipos[Team],0))</f>
        <v>#VALUE!</v>
      </c>
      <c r="F34" s="26"/>
      <c r="G34" s="481">
        <v>4</v>
      </c>
      <c r="H34" s="485">
        <v>1</v>
      </c>
      <c r="I34" s="483"/>
      <c r="J34" s="26" t="e" vm="1">
        <f>INDEX(TablaEquipos[Badge],MATCH(K34,TablaEquipos[Team],0))</f>
        <v>#VALUE!</v>
      </c>
      <c r="K34" s="210" t="s">
        <v>22</v>
      </c>
      <c r="L34" s="97"/>
      <c r="M34" s="74"/>
      <c r="N34" s="93">
        <v>33</v>
      </c>
      <c r="O34" s="54" t="e" vm="33">
        <f>INDEX(TablaEquipos[],MATCH(P34,TablaEquipos[Team],0),MATCH($O$1,TablaEquipos[#Headers],0))</f>
        <v>#VALUE!</v>
      </c>
      <c r="P34" s="55" t="str">
        <f>IFERROR(INDEX(Calcs!A$2:A$37,MATCH($N34,Calcs!$CJ$2:$CJ$37,0)),"")</f>
        <v>Eintracht Frankfurt</v>
      </c>
      <c r="Q34" s="56">
        <f>IFERROR(INDEX(Calcs!$B$2:$AB$37,MATCH($N34,Calcs!$CJ$2:$CJ$37,0),MATCH(Q$1,Calcs!$B$1:$AB$1,0)),"")</f>
        <v>4</v>
      </c>
      <c r="R34" s="57">
        <f>IFERROR(INDEX(Calcs!$B$2:$AB$37,MATCH($N34,Calcs!$CJ$2:$CJ$37,0),MATCH(R$1,Calcs!$B$1:$AB$1,0)),"")</f>
        <v>7</v>
      </c>
      <c r="S34" s="57">
        <f>IFERROR(INDEX(Calcs!$B$2:$AB$37,MATCH($N34,Calcs!$CJ$2:$CJ$37,0),MATCH(S$1,Calcs!$B$1:$AB$1,0)),"")</f>
        <v>1</v>
      </c>
      <c r="T34" s="57">
        <f>IFERROR(INDEX(Calcs!$B$2:$AB$37,MATCH($N34,Calcs!$CJ$2:$CJ$37,0),MATCH(T$1,Calcs!$B$1:$AB$1,0)),"")</f>
        <v>1</v>
      </c>
      <c r="U34" s="57">
        <f>IFERROR(INDEX(Calcs!$B$2:$AB$37,MATCH($N34,Calcs!$CJ$2:$CJ$37,0),MATCH(U$1,Calcs!$B$1:$AB$1,0)),"")</f>
        <v>5</v>
      </c>
      <c r="V34" s="57">
        <f>IFERROR(INDEX(Calcs!$B$2:$AB$37,MATCH($N34,Calcs!$CJ$2:$CJ$37,0),MATCH(V$1,Calcs!$B$1:$AB$1,0)),"")</f>
        <v>10</v>
      </c>
      <c r="W34" s="57">
        <f>IFERROR(INDEX(Calcs!$B$2:$AB$37,MATCH($N34,Calcs!$CJ$2:$CJ$37,0),MATCH(W$1,Calcs!$B$1:$AB$1,0)),"")</f>
        <v>19</v>
      </c>
      <c r="X34" s="58">
        <f>IFERROR(INDEX(Calcs!$B$2:$AB$37,MATCH($N34,Calcs!$CJ$2:$CJ$37,0),MATCH(X$1,Calcs!$B$1:$AB$1,0)),"")</f>
        <v>-9</v>
      </c>
      <c r="Y34" s="59">
        <f>IFERROR(INDEX(Calcs!$B$2:$AB$37,MATCH($N34,Calcs!$CJ$2:$CJ$37,0),MATCH(Y$1,Calcs!$B$1:$AB$1,0)),"")</f>
        <v>3</v>
      </c>
      <c r="Z34" s="57">
        <f>IFERROR(INDEX(Calcs!$B$2:$AB$37,MATCH($N34,Calcs!$CJ$2:$CJ$37,0),MATCH(Z$1,Calcs!$B$1:$AB$1,0)),"")</f>
        <v>3</v>
      </c>
      <c r="AA34" s="57">
        <f>IFERROR(INDEX(Calcs!$B$2:$AB$37,MATCH($N34,Calcs!$CJ$2:$CJ$37,0),MATCH(AA$1,Calcs!$B$1:$AB$1,0)),"")</f>
        <v>1</v>
      </c>
      <c r="AB34" s="57">
        <f>IFERROR(INDEX(Calcs!$B$2:$AB$37,MATCH($N34,Calcs!$CJ$2:$CJ$37,0),MATCH(AB$1,Calcs!$B$1:$AB$1,0)),"")</f>
        <v>0</v>
      </c>
      <c r="AC34" s="57">
        <f>IFERROR(INDEX(Calcs!$B$2:$AB$37,MATCH($N34,Calcs!$CJ$2:$CJ$37,0),MATCH(AC$1,Calcs!$B$1:$AB$1,0)),"")</f>
        <v>2</v>
      </c>
      <c r="AD34" s="57">
        <f>IFERROR(INDEX(Calcs!$B$2:$AB$37,MATCH($N34,Calcs!$CJ$2:$CJ$37,0),MATCH(AD$1,Calcs!$B$1:$AB$1,0)),"")</f>
        <v>6</v>
      </c>
      <c r="AE34" s="57">
        <f>IFERROR(INDEX(Calcs!$B$2:$AB$37,MATCH($N34,Calcs!$CJ$2:$CJ$37,0),MATCH(AE$1,Calcs!$B$1:$AB$1,0)),"")</f>
        <v>9</v>
      </c>
      <c r="AF34" s="58">
        <f>IFERROR(INDEX(Calcs!$B$2:$AB$37,MATCH($N34,Calcs!$CJ$2:$CJ$37,0),MATCH(AF$1,Calcs!$B$1:$AB$1,0)),"")</f>
        <v>-3</v>
      </c>
      <c r="AG34" s="59">
        <f>IFERROR(INDEX(Calcs!$B$2:$AB$37,MATCH($N34,Calcs!$CJ$2:$CJ$37,0),MATCH(AG$1,Calcs!$B$1:$AB$1,0)),"")</f>
        <v>1</v>
      </c>
      <c r="AH34" s="57">
        <f>IFERROR(INDEX(Calcs!$B$2:$AB$37,MATCH($N34,Calcs!$CJ$2:$CJ$37,0),MATCH(AH$1,Calcs!$B$1:$AB$1,0)),"")</f>
        <v>4</v>
      </c>
      <c r="AI34" s="57">
        <f>IFERROR(INDEX(Calcs!$B$2:$AB$37,MATCH($N34,Calcs!$CJ$2:$CJ$37,0),MATCH(AI$1,Calcs!$B$1:$AB$1,0)),"")</f>
        <v>0</v>
      </c>
      <c r="AJ34" s="57">
        <f>IFERROR(INDEX(Calcs!$B$2:$AB$37,MATCH($N34,Calcs!$CJ$2:$CJ$37,0),MATCH(AJ$1,Calcs!$B$1:$AB$1,0)),"")</f>
        <v>1</v>
      </c>
      <c r="AK34" s="57">
        <f>IFERROR(INDEX(Calcs!$B$2:$AB$37,MATCH($N34,Calcs!$CJ$2:$CJ$37,0),MATCH(AK$1,Calcs!$B$1:$AB$1,0)),"")</f>
        <v>3</v>
      </c>
      <c r="AL34" s="57">
        <f>IFERROR(INDEX(Calcs!$B$2:$AB$37,MATCH($N34,Calcs!$CJ$2:$CJ$37,0),MATCH(AL$1,Calcs!$B$1:$AB$1,0)),"")</f>
        <v>4</v>
      </c>
      <c r="AM34" s="57">
        <f>IFERROR(INDEX(Calcs!$B$2:$AB$37,MATCH($N34,Calcs!$CJ$2:$CJ$37,0),MATCH(AM$1,Calcs!$B$1:$AB$1,0)),"")</f>
        <v>10</v>
      </c>
      <c r="AN34" s="60">
        <f>IFERROR(INDEX(Calcs!$B$2:$AB$37,MATCH($N34,Calcs!$CJ$2:$CJ$37,0),MATCH(AN$1,Calcs!$B$1:$AB$1,0)),"")</f>
        <v>-6</v>
      </c>
      <c r="AO34" s="57">
        <f>IFERROR(INDEX(Calcs!$B$2:$AB$37,MATCH($N34,Calcs!$CJ$2:$CJ$37,0),MATCH(AO$1,Calcs!$B$1:$AB$1,0)),"")</f>
        <v>96</v>
      </c>
      <c r="AP34" s="57">
        <f>IFERROR(INDEX(Calcs!$B$2:$AB$37,MATCH($N34,Calcs!$CJ$2:$CJ$37,0),MATCH(AP$1,Calcs!$B$1:$AB$1,0)),"")</f>
        <v>16</v>
      </c>
      <c r="AQ34" s="60">
        <f>IFERROR(INDEX(Calcs!$B$2:$AB$37,MATCH($N34,Calcs!$CJ$2:$CJ$37,0),MATCH(AQ$1,Calcs!$B$1:$AB$1,0)),"")</f>
        <v>102</v>
      </c>
      <c r="AR34" s="74"/>
      <c r="AS34" s="9" t="str">
        <f>INDEX(Calcs!A$2:A$37,MATCH($N34,Calcs!$CF$2:$CF$37,0))</f>
        <v>Eintracht Frankfurt</v>
      </c>
      <c r="AT34" s="177"/>
      <c r="AU34" s="149">
        <f>INDEX(Calcs!$BZ$2:$BZ$37,MATCH($AS34,Calcs!$A$2:$A$37,0))</f>
        <v>33</v>
      </c>
      <c r="AV34" s="149">
        <f t="shared" si="1"/>
        <v>1</v>
      </c>
      <c r="AW34" s="149" t="str">
        <f t="shared" si="2"/>
        <v>33.1</v>
      </c>
      <c r="AX34" s="149"/>
      <c r="AY34" s="74"/>
      <c r="AZ34" s="70" t="str">
        <f>TablaEquipos[[#This Row],[Team]]</f>
        <v>Sporting Portugal</v>
      </c>
      <c r="BA34" s="178"/>
      <c r="BB34" s="74"/>
      <c r="BC34" s="74"/>
      <c r="BD34" s="74"/>
      <c r="BE34" s="74"/>
      <c r="BF34" s="247" t="str">
        <f t="shared" ref="BF34:BF65" si="5">IF(OR(G34="",H34=""),"Pendiente",IF(G34&gt;H34,"Local",IF(G34&lt;H34,"Visitante","Empate")))</f>
        <v>Local</v>
      </c>
      <c r="BI34" s="247">
        <f>SUMIF(Calcs!$A$2:$A$37,League!BI8,Calcs!$F$2:$F$37)</f>
        <v>5</v>
      </c>
      <c r="BJ34" s="247">
        <f>SUMIF(Calcs!$A$2:$A$37,League!BJ8,Calcs!$F$2:$F$37)</f>
        <v>13</v>
      </c>
      <c r="BK34" s="247">
        <f>SUMIF(Calcs!$A$2:$A$37,League!BK8,Calcs!$F$2:$F$37)</f>
        <v>7</v>
      </c>
      <c r="BL34" s="247">
        <f>SUMIF(Calcs!$A$2:$A$37,League!BL8,Calcs!$F$2:$F$37)</f>
        <v>10</v>
      </c>
      <c r="BM34" s="247">
        <f>SUMIF(Calcs!$A$2:$A$37,League!BM8,Calcs!$F$2:$F$37)</f>
        <v>9</v>
      </c>
      <c r="BN34" s="247">
        <f>SUMIF(Calcs!$A$2:$A$37,League!BN8,Calcs!$F$2:$F$37)</f>
        <v>4</v>
      </c>
      <c r="BO34" s="247">
        <f>SUMIF(Calcs!$A$2:$A$37,League!BO8,Calcs!$F$2:$F$37)</f>
        <v>8</v>
      </c>
      <c r="BP34" s="247">
        <f>SUMIF(Calcs!$A$2:$A$37,League!BP8,Calcs!$F$2:$F$37)</f>
        <v>7</v>
      </c>
      <c r="BQ34" s="247">
        <f>SUMIF(Calcs!$A$2:$A$37,League!BQ8,Calcs!$F$2:$F$37)</f>
        <v>14</v>
      </c>
      <c r="BR34" s="247">
        <f>SUMIF(Calcs!$A$2:$A$37,League!BR8,Calcs!$F$2:$F$37)</f>
        <v>13</v>
      </c>
      <c r="BS34" s="247">
        <f>SUMIF(Calcs!$A$2:$A$37,League!BS8,Calcs!$F$2:$F$37)</f>
        <v>15</v>
      </c>
      <c r="BT34" s="247">
        <f>SUMIF(Calcs!$A$2:$A$37,League!BT8,Calcs!$F$2:$F$37)</f>
        <v>5</v>
      </c>
      <c r="BU34" s="247">
        <f>SUMIF(Calcs!$A$2:$A$37,League!BU8,Calcs!$F$2:$F$37)</f>
        <v>4</v>
      </c>
      <c r="BV34" s="247">
        <f>SUMIF(Calcs!$A$2:$A$37,League!BV8,Calcs!$F$2:$F$37)</f>
        <v>7</v>
      </c>
      <c r="BW34" s="247">
        <f>SUMIF(Calcs!$A$2:$A$37,League!BW8,Calcs!$F$2:$F$37)</f>
        <v>13</v>
      </c>
      <c r="BX34" s="247">
        <f>SUMIF(Calcs!$A$2:$A$37,League!BX8,Calcs!$F$2:$F$37)</f>
        <v>16</v>
      </c>
      <c r="BY34" s="247">
        <f>SUMIF(Calcs!$A$2:$A$37,League!BY8,Calcs!$F$2:$F$37)</f>
        <v>20</v>
      </c>
      <c r="BZ34" s="247">
        <f>SUMIF(Calcs!$A$2:$A$37,League!BZ8,Calcs!$F$2:$F$37)</f>
        <v>6</v>
      </c>
      <c r="CA34" s="247">
        <f>SUMIF(Calcs!$A$2:$A$37,League!CA8,Calcs!$F$2:$F$37)</f>
        <v>12</v>
      </c>
      <c r="CB34" s="247">
        <f>SUMIF(Calcs!$A$2:$A$37,League!CB8,Calcs!$F$2:$F$37)</f>
        <v>11</v>
      </c>
      <c r="CC34" s="247">
        <f>SUMIF(Calcs!$A$2:$A$37,League!CC8,Calcs!$F$2:$F$37)</f>
        <v>12</v>
      </c>
      <c r="CD34" s="247">
        <f>SUMIF(Calcs!$A$2:$A$37,League!CD8,Calcs!$F$2:$F$37)</f>
        <v>14</v>
      </c>
      <c r="CE34" s="247">
        <f>SUMIF(Calcs!$A$2:$A$37,League!CE8,Calcs!$F$2:$F$37)</f>
        <v>19</v>
      </c>
      <c r="CF34" s="247">
        <f>SUMIF(Calcs!$A$2:$A$37,League!CF8,Calcs!$F$2:$F$37)</f>
        <v>11</v>
      </c>
      <c r="CG34" s="247">
        <f>SUMIF(Calcs!$A$2:$A$37,League!CG8,Calcs!$F$2:$F$37)</f>
        <v>15</v>
      </c>
      <c r="CH34" s="247">
        <f>SUMIF(Calcs!$A$2:$A$37,League!CH8,Calcs!$F$2:$F$37)</f>
        <v>10</v>
      </c>
      <c r="CI34" s="247">
        <f>SUMIF(Calcs!$A$2:$A$37,League!CI8,Calcs!$F$2:$F$37)</f>
        <v>14</v>
      </c>
      <c r="CJ34" s="247">
        <f>SUMIF(Calcs!$A$2:$A$37,League!CJ8,Calcs!$F$2:$F$37)</f>
        <v>14</v>
      </c>
      <c r="CK34" s="247">
        <f>SUMIF(Calcs!$A$2:$A$37,League!CK8,Calcs!$F$2:$F$37)</f>
        <v>16</v>
      </c>
      <c r="CL34" s="247">
        <f>SUMIF(Calcs!$A$2:$A$37,League!CL8,Calcs!$F$2:$F$37)</f>
        <v>10</v>
      </c>
      <c r="CM34" s="247">
        <f>SUMIF(Calcs!$A$2:$A$37,League!CM8,Calcs!$F$2:$F$37)</f>
        <v>8</v>
      </c>
      <c r="CN34" s="247">
        <f>SUMIF(Calcs!$A$2:$A$37,League!CN8,Calcs!$F$2:$F$37)</f>
        <v>18</v>
      </c>
      <c r="CO34" s="247">
        <f>SUMIF(Calcs!$A$2:$A$37,League!CO8,Calcs!$F$2:$F$37)</f>
        <v>20</v>
      </c>
      <c r="CP34" s="247">
        <f>SUMIF(Calcs!$A$2:$A$37,League!CP8,Calcs!$F$2:$F$37)</f>
        <v>19</v>
      </c>
      <c r="CQ34" s="247">
        <f>SUMIF(Calcs!$A$2:$A$37,League!CQ8,Calcs!$F$2:$F$37)</f>
        <v>20</v>
      </c>
      <c r="CR34" s="247">
        <f>SUMIF(Calcs!$A$2:$A$37,League!CR8,Calcs!$F$2:$F$37)</f>
        <v>7</v>
      </c>
      <c r="CS34" s="247"/>
      <c r="CT34" s="256"/>
      <c r="CU34" s="256"/>
      <c r="CV34" s="227"/>
    </row>
    <row r="35" spans="1:100" ht="17.100000000000001" customHeight="1">
      <c r="A35" s="484">
        <v>2</v>
      </c>
      <c r="B35" s="479">
        <f>Horarios!C35</f>
        <v>45931.875</v>
      </c>
      <c r="C35" s="480">
        <f>Horarios!C35</f>
        <v>45931.875</v>
      </c>
      <c r="D35" s="193" t="s">
        <v>56</v>
      </c>
      <c r="E35" s="25" t="e" vm="24">
        <f>INDEX(TablaEquipos[Badge],MATCH(D35,TablaEquipos[Team],0))</f>
        <v>#VALUE!</v>
      </c>
      <c r="F35" s="26"/>
      <c r="G35" s="481">
        <v>1</v>
      </c>
      <c r="H35" s="485">
        <v>2</v>
      </c>
      <c r="I35" s="483"/>
      <c r="J35" s="26" t="e" vm="15">
        <f>INDEX(TablaEquipos[Badge],MATCH(K35,TablaEquipos[Team],0))</f>
        <v>#VALUE!</v>
      </c>
      <c r="K35" s="210" t="s">
        <v>45</v>
      </c>
      <c r="L35" s="97"/>
      <c r="M35" s="74"/>
      <c r="N35" s="93">
        <v>34</v>
      </c>
      <c r="O35" s="54" t="e" vm="19">
        <f>INDEX(TablaEquipos[],MATCH(P35,TablaEquipos[Team],0),MATCH($O$1,TablaEquipos[#Headers],0))</f>
        <v>#VALUE!</v>
      </c>
      <c r="P35" s="55" t="str">
        <f>IFERROR(INDEX(Calcs!A$2:A$37,MATCH($N35,Calcs!$CJ$2:$CJ$37,0)),"")</f>
        <v>Slavia Praha</v>
      </c>
      <c r="Q35" s="56">
        <f>IFERROR(INDEX(Calcs!$B$2:$AB$37,MATCH($N35,Calcs!$CJ$2:$CJ$37,0),MATCH(Q$1,Calcs!$B$1:$AB$1,0)),"")</f>
        <v>3</v>
      </c>
      <c r="R35" s="57">
        <f>IFERROR(INDEX(Calcs!$B$2:$AB$37,MATCH($N35,Calcs!$CJ$2:$CJ$37,0),MATCH(R$1,Calcs!$B$1:$AB$1,0)),"")</f>
        <v>7</v>
      </c>
      <c r="S35" s="57">
        <f>IFERROR(INDEX(Calcs!$B$2:$AB$37,MATCH($N35,Calcs!$CJ$2:$CJ$37,0),MATCH(S$1,Calcs!$B$1:$AB$1,0)),"")</f>
        <v>0</v>
      </c>
      <c r="T35" s="57">
        <f>IFERROR(INDEX(Calcs!$B$2:$AB$37,MATCH($N35,Calcs!$CJ$2:$CJ$37,0),MATCH(T$1,Calcs!$B$1:$AB$1,0)),"")</f>
        <v>3</v>
      </c>
      <c r="U35" s="57">
        <f>IFERROR(INDEX(Calcs!$B$2:$AB$37,MATCH($N35,Calcs!$CJ$2:$CJ$37,0),MATCH(U$1,Calcs!$B$1:$AB$1,0)),"")</f>
        <v>4</v>
      </c>
      <c r="V35" s="57">
        <f>IFERROR(INDEX(Calcs!$B$2:$AB$37,MATCH($N35,Calcs!$CJ$2:$CJ$37,0),MATCH(V$1,Calcs!$B$1:$AB$1,0)),"")</f>
        <v>4</v>
      </c>
      <c r="W35" s="57">
        <f>IFERROR(INDEX(Calcs!$B$2:$AB$37,MATCH($N35,Calcs!$CJ$2:$CJ$37,0),MATCH(W$1,Calcs!$B$1:$AB$1,0)),"")</f>
        <v>15</v>
      </c>
      <c r="X35" s="58">
        <f>IFERROR(INDEX(Calcs!$B$2:$AB$37,MATCH($N35,Calcs!$CJ$2:$CJ$37,0),MATCH(X$1,Calcs!$B$1:$AB$1,0)),"")</f>
        <v>-11</v>
      </c>
      <c r="Y35" s="59">
        <f>IFERROR(INDEX(Calcs!$B$2:$AB$37,MATCH($N35,Calcs!$CJ$2:$CJ$37,0),MATCH(Y$1,Calcs!$B$1:$AB$1,0)),"")</f>
        <v>2</v>
      </c>
      <c r="Z35" s="57">
        <f>IFERROR(INDEX(Calcs!$B$2:$AB$37,MATCH($N35,Calcs!$CJ$2:$CJ$37,0),MATCH(Z$1,Calcs!$B$1:$AB$1,0)),"")</f>
        <v>4</v>
      </c>
      <c r="AA35" s="57">
        <f>IFERROR(INDEX(Calcs!$B$2:$AB$37,MATCH($N35,Calcs!$CJ$2:$CJ$37,0),MATCH(AA$1,Calcs!$B$1:$AB$1,0)),"")</f>
        <v>0</v>
      </c>
      <c r="AB35" s="57">
        <f>IFERROR(INDEX(Calcs!$B$2:$AB$37,MATCH($N35,Calcs!$CJ$2:$CJ$37,0),MATCH(AB$1,Calcs!$B$1:$AB$1,0)),"")</f>
        <v>2</v>
      </c>
      <c r="AC35" s="57">
        <f>IFERROR(INDEX(Calcs!$B$2:$AB$37,MATCH($N35,Calcs!$CJ$2:$CJ$37,0),MATCH(AC$1,Calcs!$B$1:$AB$1,0)),"")</f>
        <v>2</v>
      </c>
      <c r="AD35" s="57">
        <f>IFERROR(INDEX(Calcs!$B$2:$AB$37,MATCH($N35,Calcs!$CJ$2:$CJ$37,0),MATCH(AD$1,Calcs!$B$1:$AB$1,0)),"")</f>
        <v>4</v>
      </c>
      <c r="AE35" s="57">
        <f>IFERROR(INDEX(Calcs!$B$2:$AB$37,MATCH($N35,Calcs!$CJ$2:$CJ$37,0),MATCH(AE$1,Calcs!$B$1:$AB$1,0)),"")</f>
        <v>9</v>
      </c>
      <c r="AF35" s="58">
        <f>IFERROR(INDEX(Calcs!$B$2:$AB$37,MATCH($N35,Calcs!$CJ$2:$CJ$37,0),MATCH(AF$1,Calcs!$B$1:$AB$1,0)),"")</f>
        <v>-5</v>
      </c>
      <c r="AG35" s="59">
        <f>IFERROR(INDEX(Calcs!$B$2:$AB$37,MATCH($N35,Calcs!$CJ$2:$CJ$37,0),MATCH(AG$1,Calcs!$B$1:$AB$1,0)),"")</f>
        <v>1</v>
      </c>
      <c r="AH35" s="57">
        <f>IFERROR(INDEX(Calcs!$B$2:$AB$37,MATCH($N35,Calcs!$CJ$2:$CJ$37,0),MATCH(AH$1,Calcs!$B$1:$AB$1,0)),"")</f>
        <v>3</v>
      </c>
      <c r="AI35" s="57">
        <f>IFERROR(INDEX(Calcs!$B$2:$AB$37,MATCH($N35,Calcs!$CJ$2:$CJ$37,0),MATCH(AI$1,Calcs!$B$1:$AB$1,0)),"")</f>
        <v>0</v>
      </c>
      <c r="AJ35" s="57">
        <f>IFERROR(INDEX(Calcs!$B$2:$AB$37,MATCH($N35,Calcs!$CJ$2:$CJ$37,0),MATCH(AJ$1,Calcs!$B$1:$AB$1,0)),"")</f>
        <v>1</v>
      </c>
      <c r="AK35" s="57">
        <f>IFERROR(INDEX(Calcs!$B$2:$AB$37,MATCH($N35,Calcs!$CJ$2:$CJ$37,0),MATCH(AK$1,Calcs!$B$1:$AB$1,0)),"")</f>
        <v>2</v>
      </c>
      <c r="AL35" s="57">
        <f>IFERROR(INDEX(Calcs!$B$2:$AB$37,MATCH($N35,Calcs!$CJ$2:$CJ$37,0),MATCH(AL$1,Calcs!$B$1:$AB$1,0)),"")</f>
        <v>0</v>
      </c>
      <c r="AM35" s="57">
        <f>IFERROR(INDEX(Calcs!$B$2:$AB$37,MATCH($N35,Calcs!$CJ$2:$CJ$37,0),MATCH(AM$1,Calcs!$B$1:$AB$1,0)),"")</f>
        <v>6</v>
      </c>
      <c r="AN35" s="60">
        <f>IFERROR(INDEX(Calcs!$B$2:$AB$37,MATCH($N35,Calcs!$CJ$2:$CJ$37,0),MATCH(AN$1,Calcs!$B$1:$AB$1,0)),"")</f>
        <v>-6</v>
      </c>
      <c r="AO35" s="57">
        <f>IFERROR(INDEX(Calcs!$B$2:$AB$37,MATCH($N35,Calcs!$CJ$2:$CJ$37,0),MATCH(AO$1,Calcs!$B$1:$AB$1,0)),"")</f>
        <v>93</v>
      </c>
      <c r="AP35" s="57">
        <f>IFERROR(INDEX(Calcs!$B$2:$AB$37,MATCH($N35,Calcs!$CJ$2:$CJ$37,0),MATCH(AP$1,Calcs!$B$1:$AB$1,0)),"")</f>
        <v>26</v>
      </c>
      <c r="AQ35" s="60">
        <f>IFERROR(INDEX(Calcs!$B$2:$AB$37,MATCH($N35,Calcs!$CJ$2:$CJ$37,0),MATCH(AQ$1,Calcs!$B$1:$AB$1,0)),"")</f>
        <v>99</v>
      </c>
      <c r="AR35" s="74"/>
      <c r="AS35" s="9" t="str">
        <f>INDEX(Calcs!A$2:A$37,MATCH($N35,Calcs!$CF$2:$CF$37,0))</f>
        <v>Slavia Praha</v>
      </c>
      <c r="AT35" s="177"/>
      <c r="AU35" s="149">
        <f>INDEX(Calcs!$BZ$2:$BZ$37,MATCH($AS35,Calcs!$A$2:$A$37,0))</f>
        <v>34</v>
      </c>
      <c r="AV35" s="149">
        <f t="shared" si="1"/>
        <v>1</v>
      </c>
      <c r="AW35" s="149" t="str">
        <f t="shared" si="2"/>
        <v>34.1</v>
      </c>
      <c r="AX35" s="149"/>
      <c r="AY35" s="74"/>
      <c r="AZ35" s="71" t="str">
        <f>TablaEquipos[[#This Row],[Team]]</f>
        <v>Tottenham</v>
      </c>
      <c r="BA35" s="179"/>
      <c r="BB35" s="74"/>
      <c r="BC35" s="74"/>
      <c r="BD35" s="74"/>
      <c r="BE35" s="74"/>
      <c r="BF35" s="247" t="str">
        <f t="shared" si="5"/>
        <v>Visitante</v>
      </c>
      <c r="BI35" s="247">
        <f>SUMIF(Calcs!$A$2:$A$37,League!BI9,Calcs!$F$2:$F$37)</f>
        <v>8</v>
      </c>
      <c r="BJ35" s="247">
        <f>SUMIF(Calcs!$A$2:$A$37,League!BJ9,Calcs!$F$2:$F$37)</f>
        <v>5</v>
      </c>
      <c r="BK35" s="247">
        <f>SUMIF(Calcs!$A$2:$A$37,League!BK9,Calcs!$F$2:$F$37)</f>
        <v>7</v>
      </c>
      <c r="BL35" s="247">
        <f>SUMIF(Calcs!$A$2:$A$37,League!BL9,Calcs!$F$2:$F$37)</f>
        <v>14</v>
      </c>
      <c r="BM35" s="247">
        <f>SUMIF(Calcs!$A$2:$A$37,League!BM9,Calcs!$F$2:$F$37)</f>
        <v>12</v>
      </c>
      <c r="BN35" s="247">
        <f>SUMIF(Calcs!$A$2:$A$37,League!BN9,Calcs!$F$2:$F$37)</f>
        <v>11</v>
      </c>
      <c r="BO35" s="247">
        <f>SUMIF(Calcs!$A$2:$A$37,League!BO9,Calcs!$F$2:$F$37)</f>
        <v>5</v>
      </c>
      <c r="BP35" s="247">
        <f>SUMIF(Calcs!$A$2:$A$37,League!BP9,Calcs!$F$2:$F$37)</f>
        <v>15</v>
      </c>
      <c r="BQ35" s="247">
        <f>SUMIF(Calcs!$A$2:$A$37,League!BQ9,Calcs!$F$2:$F$37)</f>
        <v>19</v>
      </c>
      <c r="BR35" s="247">
        <f>SUMIF(Calcs!$A$2:$A$37,League!BR9,Calcs!$F$2:$F$37)</f>
        <v>16</v>
      </c>
      <c r="BS35" s="247">
        <f>SUMIF(Calcs!$A$2:$A$37,League!BS9,Calcs!$F$2:$F$37)</f>
        <v>13</v>
      </c>
      <c r="BT35" s="247">
        <f>SUMIF(Calcs!$A$2:$A$37,League!BT9,Calcs!$F$2:$F$37)</f>
        <v>11</v>
      </c>
      <c r="BU35" s="247">
        <f>SUMIF(Calcs!$A$2:$A$37,League!BU9,Calcs!$F$2:$F$37)</f>
        <v>7</v>
      </c>
      <c r="BV35" s="247">
        <f>SUMIF(Calcs!$A$2:$A$37,League!BV9,Calcs!$F$2:$F$37)</f>
        <v>18</v>
      </c>
      <c r="BW35" s="247">
        <f>SUMIF(Calcs!$A$2:$A$37,League!BW9,Calcs!$F$2:$F$37)</f>
        <v>15</v>
      </c>
      <c r="BX35" s="247">
        <f>SUMIF(Calcs!$A$2:$A$37,League!BX9,Calcs!$F$2:$F$37)</f>
        <v>13</v>
      </c>
      <c r="BY35" s="247">
        <f>SUMIF(Calcs!$A$2:$A$37,League!BY9,Calcs!$F$2:$F$37)</f>
        <v>19</v>
      </c>
      <c r="BZ35" s="247">
        <f>SUMIF(Calcs!$A$2:$A$37,League!BZ9,Calcs!$F$2:$F$37)</f>
        <v>8</v>
      </c>
      <c r="CA35" s="247">
        <f>SUMIF(Calcs!$A$2:$A$37,League!CA9,Calcs!$F$2:$F$37)</f>
        <v>20</v>
      </c>
      <c r="CB35" s="247">
        <f>SUMIF(Calcs!$A$2:$A$37,League!CB9,Calcs!$F$2:$F$37)</f>
        <v>13</v>
      </c>
      <c r="CC35" s="247">
        <f>SUMIF(Calcs!$A$2:$A$37,League!CC9,Calcs!$F$2:$F$37)</f>
        <v>9</v>
      </c>
      <c r="CD35" s="247">
        <f>SUMIF(Calcs!$A$2:$A$37,League!CD9,Calcs!$F$2:$F$37)</f>
        <v>12</v>
      </c>
      <c r="CE35" s="247">
        <f>SUMIF(Calcs!$A$2:$A$37,League!CE9,Calcs!$F$2:$F$37)</f>
        <v>14</v>
      </c>
      <c r="CF35" s="247">
        <f>SUMIF(Calcs!$A$2:$A$37,League!CF9,Calcs!$F$2:$F$37)</f>
        <v>14</v>
      </c>
      <c r="CG35" s="247">
        <f>SUMIF(Calcs!$A$2:$A$37,League!CG9,Calcs!$F$2:$F$37)</f>
        <v>20</v>
      </c>
      <c r="CH35" s="247">
        <f>SUMIF(Calcs!$A$2:$A$37,League!CH9,Calcs!$F$2:$F$37)</f>
        <v>7</v>
      </c>
      <c r="CI35" s="247">
        <f>SUMIF(Calcs!$A$2:$A$37,League!CI9,Calcs!$F$2:$F$37)</f>
        <v>4</v>
      </c>
      <c r="CJ35" s="247">
        <f>SUMIF(Calcs!$A$2:$A$37,League!CJ9,Calcs!$F$2:$F$37)</f>
        <v>16</v>
      </c>
      <c r="CK35" s="247">
        <f>SUMIF(Calcs!$A$2:$A$37,League!CK9,Calcs!$F$2:$F$37)</f>
        <v>20</v>
      </c>
      <c r="CL35" s="247">
        <f>SUMIF(Calcs!$A$2:$A$37,League!CL9,Calcs!$F$2:$F$37)</f>
        <v>14</v>
      </c>
      <c r="CM35" s="247">
        <f>SUMIF(Calcs!$A$2:$A$37,League!CM9,Calcs!$F$2:$F$37)</f>
        <v>6</v>
      </c>
      <c r="CN35" s="247">
        <f>SUMIF(Calcs!$A$2:$A$37,League!CN9,Calcs!$F$2:$F$37)</f>
        <v>4</v>
      </c>
      <c r="CO35" s="247">
        <f>SUMIF(Calcs!$A$2:$A$37,League!CO9,Calcs!$F$2:$F$37)</f>
        <v>7</v>
      </c>
      <c r="CP35" s="247">
        <f>SUMIF(Calcs!$A$2:$A$37,League!CP9,Calcs!$F$2:$F$37)</f>
        <v>10</v>
      </c>
      <c r="CQ35" s="247">
        <f>SUMIF(Calcs!$A$2:$A$37,League!CQ9,Calcs!$F$2:$F$37)</f>
        <v>10</v>
      </c>
      <c r="CR35" s="247">
        <f>SUMIF(Calcs!$A$2:$A$37,League!CR9,Calcs!$F$2:$F$37)</f>
        <v>10</v>
      </c>
      <c r="CS35" s="247"/>
      <c r="CT35" s="256"/>
      <c r="CU35" s="256"/>
      <c r="CV35" s="227"/>
    </row>
    <row r="36" spans="1:100" ht="17.100000000000001" customHeight="1">
      <c r="A36" s="484">
        <v>2</v>
      </c>
      <c r="B36" s="479">
        <f>Horarios!C36</f>
        <v>45931.875</v>
      </c>
      <c r="C36" s="480">
        <f>Horarios!C36</f>
        <v>45931.875</v>
      </c>
      <c r="D36" s="193" t="s">
        <v>54</v>
      </c>
      <c r="E36" s="25" t="e" vm="35">
        <f>INDEX(TablaEquipos[Badge],MATCH(D36,TablaEquipos[Team],0))</f>
        <v>#VALUE!</v>
      </c>
      <c r="F36" s="26"/>
      <c r="G36" s="481">
        <v>2</v>
      </c>
      <c r="H36" s="485">
        <v>1</v>
      </c>
      <c r="I36" s="483"/>
      <c r="J36" s="26" t="e" vm="25">
        <f>INDEX(TablaEquipos[Badge],MATCH(K36,TablaEquipos[Team],0))</f>
        <v>#VALUE!</v>
      </c>
      <c r="K36" s="210" t="s">
        <v>58</v>
      </c>
      <c r="L36" s="97"/>
      <c r="M36" s="74"/>
      <c r="N36" s="94">
        <v>35</v>
      </c>
      <c r="O36" s="54" t="e" vm="14">
        <f>INDEX(TablaEquipos[],MATCH(P36,TablaEquipos[Team],0),MATCH($O$1,TablaEquipos[#Headers],0))</f>
        <v>#VALUE!</v>
      </c>
      <c r="P36" s="55" t="str">
        <f>IFERROR(INDEX(Calcs!A$2:A$37,MATCH($N36,Calcs!$CJ$2:$CJ$37,0)),"")</f>
        <v>Villarreal</v>
      </c>
      <c r="Q36" s="56">
        <f>IFERROR(INDEX(Calcs!$B$2:$AB$37,MATCH($N36,Calcs!$CJ$2:$CJ$37,0),MATCH(Q$1,Calcs!$B$1:$AB$1,0)),"")</f>
        <v>1</v>
      </c>
      <c r="R36" s="57">
        <f>IFERROR(INDEX(Calcs!$B$2:$AB$37,MATCH($N36,Calcs!$CJ$2:$CJ$37,0),MATCH(R$1,Calcs!$B$1:$AB$1,0)),"")</f>
        <v>7</v>
      </c>
      <c r="S36" s="57">
        <f>IFERROR(INDEX(Calcs!$B$2:$AB$37,MATCH($N36,Calcs!$CJ$2:$CJ$37,0),MATCH(S$1,Calcs!$B$1:$AB$1,0)),"")</f>
        <v>0</v>
      </c>
      <c r="T36" s="57">
        <f>IFERROR(INDEX(Calcs!$B$2:$AB$37,MATCH($N36,Calcs!$CJ$2:$CJ$37,0),MATCH(T$1,Calcs!$B$1:$AB$1,0)),"")</f>
        <v>1</v>
      </c>
      <c r="U36" s="57">
        <f>IFERROR(INDEX(Calcs!$B$2:$AB$37,MATCH($N36,Calcs!$CJ$2:$CJ$37,0),MATCH(U$1,Calcs!$B$1:$AB$1,0)),"")</f>
        <v>6</v>
      </c>
      <c r="V36" s="57">
        <f>IFERROR(INDEX(Calcs!$B$2:$AB$37,MATCH($N36,Calcs!$CJ$2:$CJ$37,0),MATCH(V$1,Calcs!$B$1:$AB$1,0)),"")</f>
        <v>5</v>
      </c>
      <c r="W36" s="57">
        <f>IFERROR(INDEX(Calcs!$B$2:$AB$37,MATCH($N36,Calcs!$CJ$2:$CJ$37,0),MATCH(W$1,Calcs!$B$1:$AB$1,0)),"")</f>
        <v>15</v>
      </c>
      <c r="X36" s="58">
        <f>IFERROR(INDEX(Calcs!$B$2:$AB$37,MATCH($N36,Calcs!$CJ$2:$CJ$37,0),MATCH(X$1,Calcs!$B$1:$AB$1,0)),"")</f>
        <v>-10</v>
      </c>
      <c r="Y36" s="59">
        <f>IFERROR(INDEX(Calcs!$B$2:$AB$37,MATCH($N36,Calcs!$CJ$2:$CJ$37,0),MATCH(Y$1,Calcs!$B$1:$AB$1,0)),"")</f>
        <v>1</v>
      </c>
      <c r="Z36" s="57">
        <f>IFERROR(INDEX(Calcs!$B$2:$AB$37,MATCH($N36,Calcs!$CJ$2:$CJ$37,0),MATCH(Z$1,Calcs!$B$1:$AB$1,0)),"")</f>
        <v>4</v>
      </c>
      <c r="AA36" s="57">
        <f>IFERROR(INDEX(Calcs!$B$2:$AB$37,MATCH($N36,Calcs!$CJ$2:$CJ$37,0),MATCH(AA$1,Calcs!$B$1:$AB$1,0)),"")</f>
        <v>0</v>
      </c>
      <c r="AB36" s="57">
        <f>IFERROR(INDEX(Calcs!$B$2:$AB$37,MATCH($N36,Calcs!$CJ$2:$CJ$37,0),MATCH(AB$1,Calcs!$B$1:$AB$1,0)),"")</f>
        <v>1</v>
      </c>
      <c r="AC36" s="57">
        <f>IFERROR(INDEX(Calcs!$B$2:$AB$37,MATCH($N36,Calcs!$CJ$2:$CJ$37,0),MATCH(AC$1,Calcs!$B$1:$AB$1,0)),"")</f>
        <v>3</v>
      </c>
      <c r="AD36" s="57">
        <f>IFERROR(INDEX(Calcs!$B$2:$AB$37,MATCH($N36,Calcs!$CJ$2:$CJ$37,0),MATCH(AD$1,Calcs!$B$1:$AB$1,0)),"")</f>
        <v>5</v>
      </c>
      <c r="AE36" s="57">
        <f>IFERROR(INDEX(Calcs!$B$2:$AB$37,MATCH($N36,Calcs!$CJ$2:$CJ$37,0),MATCH(AE$1,Calcs!$B$1:$AB$1,0)),"")</f>
        <v>9</v>
      </c>
      <c r="AF36" s="58">
        <f>IFERROR(INDEX(Calcs!$B$2:$AB$37,MATCH($N36,Calcs!$CJ$2:$CJ$37,0),MATCH(AF$1,Calcs!$B$1:$AB$1,0)),"")</f>
        <v>-4</v>
      </c>
      <c r="AG36" s="59">
        <f>IFERROR(INDEX(Calcs!$B$2:$AB$37,MATCH($N36,Calcs!$CJ$2:$CJ$37,0),MATCH(AG$1,Calcs!$B$1:$AB$1,0)),"")</f>
        <v>0</v>
      </c>
      <c r="AH36" s="57">
        <f>IFERROR(INDEX(Calcs!$B$2:$AB$37,MATCH($N36,Calcs!$CJ$2:$CJ$37,0),MATCH(AH$1,Calcs!$B$1:$AB$1,0)),"")</f>
        <v>3</v>
      </c>
      <c r="AI36" s="57">
        <f>IFERROR(INDEX(Calcs!$B$2:$AB$37,MATCH($N36,Calcs!$CJ$2:$CJ$37,0),MATCH(AI$1,Calcs!$B$1:$AB$1,0)),"")</f>
        <v>0</v>
      </c>
      <c r="AJ36" s="57">
        <f>IFERROR(INDEX(Calcs!$B$2:$AB$37,MATCH($N36,Calcs!$CJ$2:$CJ$37,0),MATCH(AJ$1,Calcs!$B$1:$AB$1,0)),"")</f>
        <v>0</v>
      </c>
      <c r="AK36" s="57">
        <f>IFERROR(INDEX(Calcs!$B$2:$AB$37,MATCH($N36,Calcs!$CJ$2:$CJ$37,0),MATCH(AK$1,Calcs!$B$1:$AB$1,0)),"")</f>
        <v>3</v>
      </c>
      <c r="AL36" s="57">
        <f>IFERROR(INDEX(Calcs!$B$2:$AB$37,MATCH($N36,Calcs!$CJ$2:$CJ$37,0),MATCH(AL$1,Calcs!$B$1:$AB$1,0)),"")</f>
        <v>0</v>
      </c>
      <c r="AM36" s="57">
        <f>IFERROR(INDEX(Calcs!$B$2:$AB$37,MATCH($N36,Calcs!$CJ$2:$CJ$37,0),MATCH(AM$1,Calcs!$B$1:$AB$1,0)),"")</f>
        <v>6</v>
      </c>
      <c r="AN36" s="60">
        <f>IFERROR(INDEX(Calcs!$B$2:$AB$37,MATCH($N36,Calcs!$CJ$2:$CJ$37,0),MATCH(AN$1,Calcs!$B$1:$AB$1,0)),"")</f>
        <v>-6</v>
      </c>
      <c r="AO36" s="57">
        <f>IFERROR(INDEX(Calcs!$B$2:$AB$37,MATCH($N36,Calcs!$CJ$2:$CJ$37,0),MATCH(AO$1,Calcs!$B$1:$AB$1,0)),"")</f>
        <v>79</v>
      </c>
      <c r="AP36" s="57">
        <f>IFERROR(INDEX(Calcs!$B$2:$AB$37,MATCH($N36,Calcs!$CJ$2:$CJ$37,0),MATCH(AP$1,Calcs!$B$1:$AB$1,0)),"")</f>
        <v>-8</v>
      </c>
      <c r="AQ36" s="60">
        <f>IFERROR(INDEX(Calcs!$B$2:$AB$37,MATCH($N36,Calcs!$CJ$2:$CJ$37,0),MATCH(AQ$1,Calcs!$B$1:$AB$1,0)),"")</f>
        <v>93</v>
      </c>
      <c r="AR36" s="74"/>
      <c r="AS36" s="9" t="str">
        <f>INDEX(Calcs!A$2:A$37,MATCH($N36,Calcs!$CF$2:$CF$37,0))</f>
        <v>Villarreal</v>
      </c>
      <c r="AT36" s="177"/>
      <c r="AU36" s="149">
        <f>INDEX(Calcs!$BZ$2:$BZ$37,MATCH($AS36,Calcs!$A$2:$A$37,0))</f>
        <v>35</v>
      </c>
      <c r="AV36" s="149">
        <f t="shared" si="1"/>
        <v>1</v>
      </c>
      <c r="AW36" s="149" t="str">
        <f t="shared" si="2"/>
        <v>35.1</v>
      </c>
      <c r="AX36" s="149"/>
      <c r="AY36" s="74"/>
      <c r="AZ36" s="70" t="str">
        <f>TablaEquipos[[#This Row],[Team]]</f>
        <v>Union Saint-Gilloise</v>
      </c>
      <c r="BA36" s="178"/>
      <c r="BB36" s="74"/>
      <c r="BC36" s="74"/>
      <c r="BD36" s="74"/>
      <c r="BE36" s="74"/>
      <c r="BF36" s="247" t="str">
        <f t="shared" si="5"/>
        <v>Local</v>
      </c>
      <c r="BH36" s="257" t="s">
        <v>64</v>
      </c>
      <c r="BI36" s="258">
        <f>SUM(BI28:BI35)</f>
        <v>79</v>
      </c>
      <c r="BJ36" s="258">
        <f>SUM(BJ28:BJ35)</f>
        <v>85</v>
      </c>
      <c r="BK36" s="258">
        <f t="shared" ref="BK36:CR36" si="6">SUM(BK28:BK35)</f>
        <v>85</v>
      </c>
      <c r="BL36" s="258">
        <f t="shared" si="6"/>
        <v>116</v>
      </c>
      <c r="BM36" s="258">
        <f t="shared" si="6"/>
        <v>100</v>
      </c>
      <c r="BN36" s="258">
        <f t="shared" si="6"/>
        <v>95</v>
      </c>
      <c r="BO36" s="258">
        <f t="shared" si="6"/>
        <v>94</v>
      </c>
      <c r="BP36" s="258">
        <f t="shared" si="6"/>
        <v>106</v>
      </c>
      <c r="BQ36" s="258">
        <f t="shared" si="6"/>
        <v>100</v>
      </c>
      <c r="BR36" s="258">
        <f t="shared" si="6"/>
        <v>98</v>
      </c>
      <c r="BS36" s="258">
        <f t="shared" si="6"/>
        <v>90</v>
      </c>
      <c r="BT36" s="258">
        <f t="shared" si="6"/>
        <v>106</v>
      </c>
      <c r="BU36" s="258">
        <f t="shared" si="6"/>
        <v>85</v>
      </c>
      <c r="BV36" s="258">
        <f t="shared" si="6"/>
        <v>92</v>
      </c>
      <c r="BW36" s="258">
        <f t="shared" si="6"/>
        <v>102</v>
      </c>
      <c r="BX36" s="258">
        <f t="shared" si="6"/>
        <v>87</v>
      </c>
      <c r="BY36" s="258">
        <f t="shared" si="6"/>
        <v>92</v>
      </c>
      <c r="BZ36" s="258">
        <f t="shared" si="6"/>
        <v>87</v>
      </c>
      <c r="CA36" s="258">
        <f t="shared" si="6"/>
        <v>101</v>
      </c>
      <c r="CB36" s="258">
        <f t="shared" si="6"/>
        <v>106</v>
      </c>
      <c r="CC36" s="258">
        <f t="shared" si="6"/>
        <v>89</v>
      </c>
      <c r="CD36" s="258">
        <f t="shared" si="6"/>
        <v>99</v>
      </c>
      <c r="CE36" s="258">
        <f t="shared" si="6"/>
        <v>98</v>
      </c>
      <c r="CF36" s="258">
        <f t="shared" si="6"/>
        <v>96</v>
      </c>
      <c r="CG36" s="258">
        <f t="shared" si="6"/>
        <v>94</v>
      </c>
      <c r="CH36" s="258">
        <f t="shared" si="6"/>
        <v>98</v>
      </c>
      <c r="CI36" s="258">
        <f t="shared" si="6"/>
        <v>78</v>
      </c>
      <c r="CJ36" s="258">
        <f t="shared" si="6"/>
        <v>110</v>
      </c>
      <c r="CK36" s="258">
        <f t="shared" si="6"/>
        <v>98</v>
      </c>
      <c r="CL36" s="258">
        <f t="shared" si="6"/>
        <v>76</v>
      </c>
      <c r="CM36" s="258">
        <f t="shared" si="6"/>
        <v>79</v>
      </c>
      <c r="CN36" s="258">
        <f t="shared" si="6"/>
        <v>99</v>
      </c>
      <c r="CO36" s="258">
        <f t="shared" si="6"/>
        <v>96</v>
      </c>
      <c r="CP36" s="258">
        <f t="shared" si="6"/>
        <v>89</v>
      </c>
      <c r="CQ36" s="258">
        <f t="shared" si="6"/>
        <v>110</v>
      </c>
      <c r="CR36" s="258">
        <f t="shared" si="6"/>
        <v>93</v>
      </c>
      <c r="CS36" s="257"/>
      <c r="CT36" s="257"/>
      <c r="CU36" s="257"/>
      <c r="CV36" s="112"/>
    </row>
    <row r="37" spans="1:100" ht="17.100000000000001" customHeight="1" thickBot="1">
      <c r="A37" s="486">
        <v>2</v>
      </c>
      <c r="B37" s="479">
        <f>Horarios!C37</f>
        <v>45931.875</v>
      </c>
      <c r="C37" s="480">
        <f>Horarios!C37</f>
        <v>45931.875</v>
      </c>
      <c r="D37" s="193" t="s">
        <v>33</v>
      </c>
      <c r="E37" s="25" t="e" vm="14">
        <f>INDEX(TablaEquipos[Badge],MATCH(D37,TablaEquipos[Team],0))</f>
        <v>#VALUE!</v>
      </c>
      <c r="F37" s="105"/>
      <c r="G37" s="481">
        <v>2</v>
      </c>
      <c r="H37" s="487">
        <v>2</v>
      </c>
      <c r="I37" s="483"/>
      <c r="J37" s="26" t="e" vm="6">
        <f>INDEX(TablaEquipos[Badge],MATCH(K37,TablaEquipos[Team],0))</f>
        <v>#VALUE!</v>
      </c>
      <c r="K37" s="210" t="s">
        <v>26</v>
      </c>
      <c r="L37" s="97"/>
      <c r="M37" s="74"/>
      <c r="N37" s="95">
        <v>36</v>
      </c>
      <c r="O37" s="61" t="e" vm="36">
        <f>INDEX(TablaEquipos[],MATCH(P37,TablaEquipos[Team],0),MATCH($O$1,TablaEquipos[#Headers],0))</f>
        <v>#VALUE!</v>
      </c>
      <c r="P37" s="62" t="str">
        <f>IFERROR(INDEX(Calcs!A$2:A$37,MATCH($N37,Calcs!$CJ$2:$CJ$37,0)),"")</f>
        <v>Kairat Almaty </v>
      </c>
      <c r="Q37" s="63">
        <f>IFERROR(INDEX(Calcs!$B$2:$AB$37,MATCH($N37,Calcs!$CJ$2:$CJ$37,0),MATCH(Q$1,Calcs!$B$1:$AB$1,0)),"")</f>
        <v>1</v>
      </c>
      <c r="R37" s="64">
        <f>IFERROR(INDEX(Calcs!$B$2:$AB$37,MATCH($N37,Calcs!$CJ$2:$CJ$37,0),MATCH(R$1,Calcs!$B$1:$AB$1,0)),"")</f>
        <v>7</v>
      </c>
      <c r="S37" s="64">
        <f>IFERROR(INDEX(Calcs!$B$2:$AB$37,MATCH($N37,Calcs!$CJ$2:$CJ$37,0),MATCH(S$1,Calcs!$B$1:$AB$1,0)),"")</f>
        <v>0</v>
      </c>
      <c r="T37" s="64">
        <f>IFERROR(INDEX(Calcs!$B$2:$AB$37,MATCH($N37,Calcs!$CJ$2:$CJ$37,0),MATCH(T$1,Calcs!$B$1:$AB$1,0)),"")</f>
        <v>1</v>
      </c>
      <c r="U37" s="64">
        <f>IFERROR(INDEX(Calcs!$B$2:$AB$37,MATCH($N37,Calcs!$CJ$2:$CJ$37,0),MATCH(U$1,Calcs!$B$1:$AB$1,0)),"")</f>
        <v>6</v>
      </c>
      <c r="V37" s="64">
        <f>IFERROR(INDEX(Calcs!$B$2:$AB$37,MATCH($N37,Calcs!$CJ$2:$CJ$37,0),MATCH(V$1,Calcs!$B$1:$AB$1,0)),"")</f>
        <v>5</v>
      </c>
      <c r="W37" s="64">
        <f>IFERROR(INDEX(Calcs!$B$2:$AB$37,MATCH($N37,Calcs!$CJ$2:$CJ$37,0),MATCH(W$1,Calcs!$B$1:$AB$1,0)),"")</f>
        <v>19</v>
      </c>
      <c r="X37" s="65">
        <f>IFERROR(INDEX(Calcs!$B$2:$AB$37,MATCH($N37,Calcs!$CJ$2:$CJ$37,0),MATCH(X$1,Calcs!$B$1:$AB$1,0)),"")</f>
        <v>-14</v>
      </c>
      <c r="Y37" s="66">
        <f>IFERROR(INDEX(Calcs!$B$2:$AB$37,MATCH($N37,Calcs!$CJ$2:$CJ$37,0),MATCH(Y$1,Calcs!$B$1:$AB$1,0)),"")</f>
        <v>1</v>
      </c>
      <c r="Z37" s="64">
        <f>IFERROR(INDEX(Calcs!$B$2:$AB$37,MATCH($N37,Calcs!$CJ$2:$CJ$37,0),MATCH(Z$1,Calcs!$B$1:$AB$1,0)),"")</f>
        <v>4</v>
      </c>
      <c r="AA37" s="64">
        <f>IFERROR(INDEX(Calcs!$B$2:$AB$37,MATCH($N37,Calcs!$CJ$2:$CJ$37,0),MATCH(AA$1,Calcs!$B$1:$AB$1,0)),"")</f>
        <v>0</v>
      </c>
      <c r="AB37" s="64">
        <f>IFERROR(INDEX(Calcs!$B$2:$AB$37,MATCH($N37,Calcs!$CJ$2:$CJ$37,0),MATCH(AB$1,Calcs!$B$1:$AB$1,0)),"")</f>
        <v>1</v>
      </c>
      <c r="AC37" s="64">
        <f>IFERROR(INDEX(Calcs!$B$2:$AB$37,MATCH($N37,Calcs!$CJ$2:$CJ$37,0),MATCH(AC$1,Calcs!$B$1:$AB$1,0)),"")</f>
        <v>3</v>
      </c>
      <c r="AD37" s="64">
        <f>IFERROR(INDEX(Calcs!$B$2:$AB$37,MATCH($N37,Calcs!$CJ$2:$CJ$37,0),MATCH(AD$1,Calcs!$B$1:$AB$1,0)),"")</f>
        <v>1</v>
      </c>
      <c r="AE37" s="64">
        <f>IFERROR(INDEX(Calcs!$B$2:$AB$37,MATCH($N37,Calcs!$CJ$2:$CJ$37,0),MATCH(AE$1,Calcs!$B$1:$AB$1,0)),"")</f>
        <v>10</v>
      </c>
      <c r="AF37" s="65">
        <f>IFERROR(INDEX(Calcs!$B$2:$AB$37,MATCH($N37,Calcs!$CJ$2:$CJ$37,0),MATCH(AF$1,Calcs!$B$1:$AB$1,0)),"")</f>
        <v>-9</v>
      </c>
      <c r="AG37" s="66">
        <f>IFERROR(INDEX(Calcs!$B$2:$AB$37,MATCH($N37,Calcs!$CJ$2:$CJ$37,0),MATCH(AG$1,Calcs!$B$1:$AB$1,0)),"")</f>
        <v>0</v>
      </c>
      <c r="AH37" s="64">
        <f>IFERROR(INDEX(Calcs!$B$2:$AB$37,MATCH($N37,Calcs!$CJ$2:$CJ$37,0),MATCH(AH$1,Calcs!$B$1:$AB$1,0)),"")</f>
        <v>3</v>
      </c>
      <c r="AI37" s="64">
        <f>IFERROR(INDEX(Calcs!$B$2:$AB$37,MATCH($N37,Calcs!$CJ$2:$CJ$37,0),MATCH(AI$1,Calcs!$B$1:$AB$1,0)),"")</f>
        <v>0</v>
      </c>
      <c r="AJ37" s="64">
        <f>IFERROR(INDEX(Calcs!$B$2:$AB$37,MATCH($N37,Calcs!$CJ$2:$CJ$37,0),MATCH(AJ$1,Calcs!$B$1:$AB$1,0)),"")</f>
        <v>0</v>
      </c>
      <c r="AK37" s="64">
        <f>IFERROR(INDEX(Calcs!$B$2:$AB$37,MATCH($N37,Calcs!$CJ$2:$CJ$37,0),MATCH(AK$1,Calcs!$B$1:$AB$1,0)),"")</f>
        <v>3</v>
      </c>
      <c r="AL37" s="64">
        <f>IFERROR(INDEX(Calcs!$B$2:$AB$37,MATCH($N37,Calcs!$CJ$2:$CJ$37,0),MATCH(AL$1,Calcs!$B$1:$AB$1,0)),"")</f>
        <v>4</v>
      </c>
      <c r="AM37" s="64">
        <f>IFERROR(INDEX(Calcs!$B$2:$AB$37,MATCH($N37,Calcs!$CJ$2:$CJ$37,0),MATCH(AM$1,Calcs!$B$1:$AB$1,0)),"")</f>
        <v>9</v>
      </c>
      <c r="AN37" s="67">
        <f>IFERROR(INDEX(Calcs!$B$2:$AB$37,MATCH($N37,Calcs!$CJ$2:$CJ$37,0),MATCH(AN$1,Calcs!$B$1:$AB$1,0)),"")</f>
        <v>-5</v>
      </c>
      <c r="AO37" s="64">
        <f>IFERROR(INDEX(Calcs!$B$2:$AB$37,MATCH($N37,Calcs!$CJ$2:$CJ$37,0),MATCH(AO$1,Calcs!$B$1:$AB$1,0)),"")</f>
        <v>90</v>
      </c>
      <c r="AP37" s="64">
        <f>IFERROR(INDEX(Calcs!$B$2:$AB$37,MATCH($N37,Calcs!$CJ$2:$CJ$37,0),MATCH(AP$1,Calcs!$B$1:$AB$1,0)),"")</f>
        <v>18</v>
      </c>
      <c r="AQ37" s="67">
        <f>IFERROR(INDEX(Calcs!$B$2:$AB$37,MATCH($N37,Calcs!$CJ$2:$CJ$37,0),MATCH(AQ$1,Calcs!$B$1:$AB$1,0)),"")</f>
        <v>101</v>
      </c>
      <c r="AR37" s="74"/>
      <c r="AS37" s="9" t="str">
        <f>INDEX(Calcs!A$2:A$37,MATCH($N37,Calcs!$CF$2:$CF$37,0))</f>
        <v>Kairat Almaty </v>
      </c>
      <c r="AT37" s="177"/>
      <c r="AU37" s="149">
        <f>INDEX(Calcs!$BZ$2:$BZ$37,MATCH($AS37,Calcs!$A$2:$A$37,0))</f>
        <v>36</v>
      </c>
      <c r="AV37" s="149">
        <f t="shared" si="1"/>
        <v>1</v>
      </c>
      <c r="AW37" s="149" t="str">
        <f t="shared" si="2"/>
        <v>36.1</v>
      </c>
      <c r="AX37" s="149"/>
      <c r="AY37" s="74"/>
      <c r="AZ37" s="72" t="str">
        <f>TablaEquipos[[#This Row],[Team]]</f>
        <v>Villarreal</v>
      </c>
      <c r="BA37" s="180"/>
      <c r="BB37" s="74"/>
      <c r="BC37" s="74"/>
      <c r="BD37" s="74"/>
      <c r="BE37" s="74"/>
      <c r="BF37" s="247" t="str">
        <f t="shared" si="5"/>
        <v>Empate</v>
      </c>
      <c r="BM37" s="248"/>
    </row>
    <row r="38" spans="1:100" ht="17.100000000000001" customHeight="1" thickTop="1" thickBot="1">
      <c r="A38" s="473">
        <v>3</v>
      </c>
      <c r="B38" s="474">
        <f>Horarios!C38</f>
        <v>45951.78125</v>
      </c>
      <c r="C38" s="475">
        <f>Horarios!C38</f>
        <v>45951.78125</v>
      </c>
      <c r="D38" s="192" t="s">
        <v>56</v>
      </c>
      <c r="E38" s="80" t="e" vm="24">
        <f>INDEX(TablaEquipos[Badge],MATCH(D38,TablaEquipos[Team],0))</f>
        <v>#VALUE!</v>
      </c>
      <c r="F38" s="81"/>
      <c r="G38" s="476">
        <v>6</v>
      </c>
      <c r="H38" s="477">
        <v>1</v>
      </c>
      <c r="I38" s="478"/>
      <c r="J38" s="81" t="e" vm="16">
        <f>INDEX(TablaEquipos[Badge],MATCH(K38,TablaEquipos[Team],0))</f>
        <v>#VALUE!</v>
      </c>
      <c r="K38" s="209" t="s">
        <v>34</v>
      </c>
      <c r="L38" s="267" t="s">
        <v>61</v>
      </c>
      <c r="M38" s="264"/>
      <c r="N38" s="264"/>
      <c r="O38" s="264"/>
      <c r="P38" s="264"/>
      <c r="Q38" s="264"/>
      <c r="R38" s="264"/>
      <c r="S38" s="264"/>
      <c r="T38" s="264"/>
      <c r="U38" s="264"/>
      <c r="V38" s="264"/>
      <c r="W38" s="264"/>
      <c r="X38" s="264"/>
      <c r="Y38" s="264"/>
      <c r="Z38" s="264"/>
      <c r="AA38" s="264"/>
      <c r="AB38" s="264"/>
      <c r="AC38" s="264"/>
      <c r="AD38" s="264"/>
      <c r="AE38" s="264"/>
      <c r="AF38" s="264"/>
      <c r="AG38" s="264"/>
      <c r="AH38" s="264"/>
      <c r="AI38" s="264"/>
      <c r="AJ38" s="264"/>
      <c r="AK38" s="264"/>
      <c r="AL38" s="264"/>
      <c r="AM38" s="264"/>
      <c r="AN38" s="264"/>
      <c r="AO38" s="264"/>
      <c r="AP38" s="264"/>
      <c r="AQ38" s="264"/>
      <c r="AR38" s="74"/>
      <c r="AS38" s="74"/>
      <c r="AT38" s="74"/>
      <c r="AU38" s="74"/>
      <c r="AV38" s="74"/>
      <c r="AW38" s="74"/>
      <c r="AX38" s="74"/>
      <c r="AY38" s="74"/>
      <c r="AZ38" s="74"/>
      <c r="BA38" s="74"/>
      <c r="BB38" s="74"/>
      <c r="BC38" s="74"/>
      <c r="BD38" s="74"/>
      <c r="BE38" s="74"/>
      <c r="BF38" s="247" t="str">
        <f t="shared" si="5"/>
        <v>Local</v>
      </c>
      <c r="CT38" s="259"/>
      <c r="CU38" s="259"/>
      <c r="CV38" s="230"/>
    </row>
    <row r="39" spans="1:100" ht="17.100000000000001" customHeight="1">
      <c r="A39" s="222">
        <v>3</v>
      </c>
      <c r="B39" s="468">
        <f>Horarios!C39</f>
        <v>45951.78125</v>
      </c>
      <c r="C39" s="469">
        <f>Horarios!C39</f>
        <v>45951.78125</v>
      </c>
      <c r="D39" s="191" t="s">
        <v>59</v>
      </c>
      <c r="E39" s="79" t="e" vm="36">
        <f>INDEX(TablaEquipos[Badge],MATCH(D39,TablaEquipos[Team],0))</f>
        <v>#VALUE!</v>
      </c>
      <c r="F39" s="82"/>
      <c r="G39" s="470">
        <v>0</v>
      </c>
      <c r="H39" s="471">
        <v>0</v>
      </c>
      <c r="I39" s="472"/>
      <c r="J39" s="82" t="e" vm="17">
        <f>INDEX(TablaEquipos[Badge],MATCH(K39,TablaEquipos[Team],0))</f>
        <v>#VALUE!</v>
      </c>
      <c r="K39" s="403" t="s">
        <v>35</v>
      </c>
      <c r="L39" s="97"/>
      <c r="M39" s="74"/>
      <c r="N39" s="100"/>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74"/>
      <c r="AS39" s="74"/>
      <c r="AT39" s="74"/>
      <c r="AU39" s="74"/>
      <c r="AV39" s="74"/>
      <c r="AW39" s="74"/>
      <c r="AX39" s="74"/>
      <c r="AY39" s="74"/>
      <c r="AZ39" s="74"/>
      <c r="BA39" s="74"/>
      <c r="BB39" s="74"/>
      <c r="BC39" s="74"/>
      <c r="BD39" s="74"/>
      <c r="BE39" s="74"/>
      <c r="BF39" s="247" t="str">
        <f t="shared" si="5"/>
        <v>Empate</v>
      </c>
      <c r="CT39" s="256"/>
      <c r="CU39" s="256"/>
      <c r="CV39" s="227"/>
    </row>
    <row r="40" spans="1:100" ht="17.100000000000001" customHeight="1">
      <c r="A40" s="473">
        <v>3</v>
      </c>
      <c r="B40" s="474">
        <f>Horarios!C40</f>
        <v>45951.875</v>
      </c>
      <c r="C40" s="475">
        <f>Horarios!C40</f>
        <v>45951.875</v>
      </c>
      <c r="D40" s="192" t="s">
        <v>23</v>
      </c>
      <c r="E40" s="80" t="e" vm="2">
        <f>INDEX(TablaEquipos[Badge],MATCH(D40,TablaEquipos[Team],0))</f>
        <v>#VALUE!</v>
      </c>
      <c r="F40" s="81"/>
      <c r="G40" s="476">
        <v>4</v>
      </c>
      <c r="H40" s="477">
        <v>0</v>
      </c>
      <c r="I40" s="478"/>
      <c r="J40" s="81" t="e" vm="26">
        <f>INDEX(TablaEquipos[Badge],MATCH(K40,TablaEquipos[Team],0))</f>
        <v>#VALUE!</v>
      </c>
      <c r="K40" s="209" t="s">
        <v>44</v>
      </c>
      <c r="L40" s="97"/>
      <c r="M40" s="74"/>
      <c r="N40" s="100"/>
      <c r="O40" s="100"/>
      <c r="P40" s="20" t="s">
        <v>65</v>
      </c>
      <c r="Q40" s="100"/>
      <c r="R40" s="100"/>
      <c r="S40" s="100"/>
      <c r="T40" s="100"/>
      <c r="U40" s="100"/>
      <c r="V40" s="100"/>
      <c r="W40" s="100"/>
      <c r="X40" s="100"/>
      <c r="Y40" s="100"/>
      <c r="Z40" s="100"/>
      <c r="AA40" s="100"/>
      <c r="AB40" s="100"/>
      <c r="AC40" s="100"/>
      <c r="AD40" s="100"/>
      <c r="AE40" s="100"/>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247" t="str">
        <f t="shared" si="5"/>
        <v>Local</v>
      </c>
      <c r="CT40" s="256"/>
      <c r="CU40" s="256"/>
      <c r="CV40" s="227"/>
    </row>
    <row r="41" spans="1:100" ht="17.100000000000001" customHeight="1">
      <c r="A41" s="222">
        <v>3</v>
      </c>
      <c r="B41" s="468">
        <f>Horarios!C41</f>
        <v>45951.875</v>
      </c>
      <c r="C41" s="469">
        <f>Horarios!C41</f>
        <v>45951.875</v>
      </c>
      <c r="D41" s="191" t="s">
        <v>50</v>
      </c>
      <c r="E41" s="79" t="e" vm="32">
        <f>INDEX(TablaEquipos[Badge],MATCH(D41,TablaEquipos[Team],0))</f>
        <v>#VALUE!</v>
      </c>
      <c r="F41" s="82"/>
      <c r="G41" s="470">
        <v>2</v>
      </c>
      <c r="H41" s="471">
        <v>7</v>
      </c>
      <c r="I41" s="472"/>
      <c r="J41" s="82" t="e" vm="15">
        <f>INDEX(TablaEquipos[Badge],MATCH(K41,TablaEquipos[Team],0))</f>
        <v>#VALUE!</v>
      </c>
      <c r="K41" s="403" t="s">
        <v>45</v>
      </c>
      <c r="L41" s="97"/>
      <c r="M41" s="74"/>
      <c r="N41" s="100"/>
      <c r="O41" s="100"/>
      <c r="P41" s="114" t="s">
        <v>66</v>
      </c>
      <c r="Q41" s="100"/>
      <c r="R41" s="100"/>
      <c r="S41" s="100"/>
      <c r="T41" s="100"/>
      <c r="U41" s="100"/>
      <c r="V41" s="100"/>
      <c r="W41" s="100"/>
      <c r="X41" s="100"/>
      <c r="Y41" s="100"/>
      <c r="Z41" s="100"/>
      <c r="AA41" s="100"/>
      <c r="AB41" s="100"/>
      <c r="AC41" s="100"/>
      <c r="AD41" s="100"/>
      <c r="AE41" s="100"/>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247" t="str">
        <f t="shared" si="5"/>
        <v>Visitante</v>
      </c>
    </row>
    <row r="42" spans="1:100" ht="17.100000000000001" customHeight="1">
      <c r="A42" s="473">
        <v>3</v>
      </c>
      <c r="B42" s="474">
        <f>Horarios!C42</f>
        <v>45951.875</v>
      </c>
      <c r="C42" s="475">
        <f>Horarios!C42</f>
        <v>45951.875</v>
      </c>
      <c r="D42" s="192" t="s">
        <v>49</v>
      </c>
      <c r="E42" s="80" t="e" vm="31">
        <f>INDEX(TablaEquipos[Badge],MATCH(D42,TablaEquipos[Team],0))</f>
        <v>#VALUE!</v>
      </c>
      <c r="F42" s="81"/>
      <c r="G42" s="476">
        <v>2</v>
      </c>
      <c r="H42" s="477">
        <v>4</v>
      </c>
      <c r="I42" s="478"/>
      <c r="J42" s="81" t="e" vm="7">
        <f>INDEX(TablaEquipos[Badge],MATCH(K42,TablaEquipos[Team],0))</f>
        <v>#VALUE!</v>
      </c>
      <c r="K42" s="209" t="s">
        <v>27</v>
      </c>
      <c r="L42" s="97"/>
      <c r="M42" s="74"/>
      <c r="N42" s="100"/>
      <c r="O42" s="100"/>
      <c r="P42" s="114" t="s">
        <v>67</v>
      </c>
      <c r="Q42" s="100"/>
      <c r="R42" s="100"/>
      <c r="S42" s="100"/>
      <c r="T42" s="100"/>
      <c r="U42" s="100"/>
      <c r="V42" s="100"/>
      <c r="W42" s="100"/>
      <c r="X42" s="100"/>
      <c r="Y42" s="100"/>
      <c r="Z42" s="100"/>
      <c r="AA42" s="100"/>
      <c r="AB42" s="100"/>
      <c r="AC42" s="100"/>
      <c r="AD42" s="100"/>
      <c r="AE42" s="100"/>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247" t="str">
        <f t="shared" si="5"/>
        <v>Visitante</v>
      </c>
    </row>
    <row r="43" spans="1:100" ht="17.100000000000001" customHeight="1">
      <c r="A43" s="222">
        <v>3</v>
      </c>
      <c r="B43" s="468">
        <f>Horarios!C43</f>
        <v>45951.875</v>
      </c>
      <c r="C43" s="469">
        <f>Horarios!C43</f>
        <v>45951.875</v>
      </c>
      <c r="D43" s="191" t="s">
        <v>55</v>
      </c>
      <c r="E43" s="79" t="e" vm="18">
        <f>INDEX(TablaEquipos[Badge],MATCH(D43,TablaEquipos[Team],0))</f>
        <v>#VALUE!</v>
      </c>
      <c r="F43" s="82"/>
      <c r="G43" s="470">
        <v>3</v>
      </c>
      <c r="H43" s="471">
        <v>0</v>
      </c>
      <c r="I43" s="472"/>
      <c r="J43" s="82" t="e" vm="11">
        <f>INDEX(TablaEquipos[Badge],MATCH(K43,TablaEquipos[Team],0))</f>
        <v>#VALUE!</v>
      </c>
      <c r="K43" s="403" t="s">
        <v>30</v>
      </c>
      <c r="L43" s="97"/>
      <c r="M43" s="74"/>
      <c r="N43" s="100"/>
      <c r="O43" s="100"/>
      <c r="P43" s="114" t="s">
        <v>68</v>
      </c>
      <c r="Q43" s="100"/>
      <c r="R43" s="100"/>
      <c r="S43" s="100"/>
      <c r="T43" s="100"/>
      <c r="U43" s="100"/>
      <c r="V43" s="100"/>
      <c r="W43" s="100"/>
      <c r="X43" s="100"/>
      <c r="Y43" s="100"/>
      <c r="Z43" s="100"/>
      <c r="AA43" s="100"/>
      <c r="AB43" s="100"/>
      <c r="AC43" s="100"/>
      <c r="AD43" s="100"/>
      <c r="AE43" s="100"/>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247" t="str">
        <f t="shared" si="5"/>
        <v>Local</v>
      </c>
    </row>
    <row r="44" spans="1:100" ht="17.100000000000001" customHeight="1">
      <c r="A44" s="473">
        <v>3</v>
      </c>
      <c r="B44" s="474">
        <f>Horarios!C44</f>
        <v>45951.875</v>
      </c>
      <c r="C44" s="475">
        <f>Horarios!C44</f>
        <v>45951.875</v>
      </c>
      <c r="D44" s="192" t="s">
        <v>24</v>
      </c>
      <c r="E44" s="80" t="e" vm="3">
        <f>INDEX(TablaEquipos[Badge],MATCH(D44,TablaEquipos[Team],0))</f>
        <v>#VALUE!</v>
      </c>
      <c r="F44" s="81"/>
      <c r="G44" s="476">
        <v>6</v>
      </c>
      <c r="H44" s="477">
        <v>2</v>
      </c>
      <c r="I44" s="478"/>
      <c r="J44" s="81" t="e" vm="35">
        <f>INDEX(TablaEquipos[Badge],MATCH(K44,TablaEquipos[Team],0))</f>
        <v>#VALUE!</v>
      </c>
      <c r="K44" s="209" t="s">
        <v>54</v>
      </c>
      <c r="L44" s="97"/>
      <c r="M44" s="74"/>
      <c r="N44" s="100"/>
      <c r="O44" s="100"/>
      <c r="P44" s="114" t="s">
        <v>69</v>
      </c>
      <c r="Q44" s="100"/>
      <c r="R44" s="100"/>
      <c r="S44" s="100"/>
      <c r="T44" s="100"/>
      <c r="U44" s="100"/>
      <c r="V44" s="100"/>
      <c r="W44" s="100"/>
      <c r="X44" s="100"/>
      <c r="Y44" s="100"/>
      <c r="Z44" s="100"/>
      <c r="AA44" s="100"/>
      <c r="AB44" s="100"/>
      <c r="AC44" s="100"/>
      <c r="AD44" s="100"/>
      <c r="AE44" s="100"/>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247" t="str">
        <f t="shared" si="5"/>
        <v>Local</v>
      </c>
    </row>
    <row r="45" spans="1:100" ht="17.100000000000001" customHeight="1">
      <c r="A45" s="222">
        <v>3</v>
      </c>
      <c r="B45" s="468">
        <f>Horarios!C45</f>
        <v>45951.875</v>
      </c>
      <c r="C45" s="469">
        <f>Horarios!C45</f>
        <v>45951.875</v>
      </c>
      <c r="D45" s="191" t="s">
        <v>25</v>
      </c>
      <c r="E45" s="79" t="e" vm="4">
        <f>INDEX(TablaEquipos[Badge],MATCH(D45,TablaEquipos[Team],0))</f>
        <v>#VALUE!</v>
      </c>
      <c r="F45" s="82"/>
      <c r="G45" s="470">
        <v>0</v>
      </c>
      <c r="H45" s="471">
        <v>4</v>
      </c>
      <c r="I45" s="472"/>
      <c r="J45" s="82" t="e" vm="23">
        <f>INDEX(TablaEquipos[Badge],MATCH(K45,TablaEquipos[Team],0))</f>
        <v>#VALUE!</v>
      </c>
      <c r="K45" s="403" t="s">
        <v>39</v>
      </c>
      <c r="L45" s="97"/>
      <c r="M45" s="74"/>
      <c r="N45" s="100"/>
      <c r="O45" s="100"/>
      <c r="P45" s="114" t="s">
        <v>70</v>
      </c>
      <c r="Q45" s="100"/>
      <c r="R45" s="100"/>
      <c r="S45" s="100"/>
      <c r="T45" s="100"/>
      <c r="U45" s="100"/>
      <c r="V45" s="100"/>
      <c r="W45" s="100"/>
      <c r="X45" s="100"/>
      <c r="Y45" s="100"/>
      <c r="Z45" s="100"/>
      <c r="AA45" s="100"/>
      <c r="AB45" s="100"/>
      <c r="AC45" s="100"/>
      <c r="AD45" s="100"/>
      <c r="AE45" s="100"/>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247" t="str">
        <f t="shared" si="5"/>
        <v>Visitante</v>
      </c>
    </row>
    <row r="46" spans="1:100" ht="17.100000000000001" customHeight="1">
      <c r="A46" s="473">
        <v>3</v>
      </c>
      <c r="B46" s="474">
        <f>Horarios!C46</f>
        <v>45951.875</v>
      </c>
      <c r="C46" s="475">
        <f>Horarios!C46</f>
        <v>45951.875</v>
      </c>
      <c r="D46" s="192" t="s">
        <v>33</v>
      </c>
      <c r="E46" s="80" t="e" vm="14">
        <f>INDEX(TablaEquipos[Badge],MATCH(D46,TablaEquipos[Team],0))</f>
        <v>#VALUE!</v>
      </c>
      <c r="F46" s="81"/>
      <c r="G46" s="476">
        <v>0</v>
      </c>
      <c r="H46" s="477">
        <v>2</v>
      </c>
      <c r="I46" s="478"/>
      <c r="J46" s="81" t="e" vm="27">
        <f>INDEX(TablaEquipos[Badge],MATCH(K46,TablaEquipos[Team],0))</f>
        <v>#VALUE!</v>
      </c>
      <c r="K46" s="209" t="s">
        <v>53</v>
      </c>
      <c r="L46" s="97"/>
      <c r="M46" s="74"/>
      <c r="N46" s="100"/>
      <c r="O46" s="100"/>
      <c r="P46" s="114" t="s">
        <v>71</v>
      </c>
      <c r="Q46" s="100"/>
      <c r="R46" s="100"/>
      <c r="S46" s="100"/>
      <c r="T46" s="100"/>
      <c r="U46" s="100"/>
      <c r="V46" s="100"/>
      <c r="W46" s="100"/>
      <c r="X46" s="100"/>
      <c r="Y46" s="100"/>
      <c r="Z46" s="100"/>
      <c r="AA46" s="100"/>
      <c r="AB46" s="100"/>
      <c r="AC46" s="100"/>
      <c r="AD46" s="100"/>
      <c r="AE46" s="100"/>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247" t="str">
        <f t="shared" si="5"/>
        <v>Visitante</v>
      </c>
      <c r="BI46" s="247"/>
      <c r="BJ46" s="247"/>
      <c r="BM46" s="248"/>
    </row>
    <row r="47" spans="1:100" ht="17.100000000000001" customHeight="1">
      <c r="A47" s="222">
        <v>3</v>
      </c>
      <c r="B47" s="468">
        <f>Horarios!C47</f>
        <v>45952.78125</v>
      </c>
      <c r="C47" s="469">
        <f>Horarios!C47</f>
        <v>45952.78125</v>
      </c>
      <c r="D47" s="191" t="s">
        <v>22</v>
      </c>
      <c r="E47" s="79" t="e" vm="1">
        <f>INDEX(TablaEquipos[Badge],MATCH(D47,TablaEquipos[Team],0))</f>
        <v>#VALUE!</v>
      </c>
      <c r="F47" s="82"/>
      <c r="G47" s="470">
        <v>3</v>
      </c>
      <c r="H47" s="471">
        <v>1</v>
      </c>
      <c r="I47" s="472"/>
      <c r="J47" s="82" t="e" vm="12">
        <f>INDEX(TablaEquipos[Badge],MATCH(K47,TablaEquipos[Team],0))</f>
        <v>#VALUE!</v>
      </c>
      <c r="K47" s="403" t="s">
        <v>31</v>
      </c>
      <c r="L47" s="97"/>
      <c r="M47" s="74"/>
      <c r="N47" s="100"/>
      <c r="O47" s="100"/>
      <c r="P47" s="114" t="s">
        <v>72</v>
      </c>
      <c r="Q47" s="100"/>
      <c r="R47" s="100"/>
      <c r="S47" s="100"/>
      <c r="T47" s="100"/>
      <c r="U47" s="100"/>
      <c r="V47" s="100"/>
      <c r="W47" s="100"/>
      <c r="X47" s="100"/>
      <c r="Y47" s="100"/>
      <c r="Z47" s="100"/>
      <c r="AA47" s="100"/>
      <c r="AB47" s="100"/>
      <c r="AC47" s="100"/>
      <c r="AD47" s="100"/>
      <c r="AE47" s="100"/>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247" t="str">
        <f t="shared" si="5"/>
        <v>Local</v>
      </c>
      <c r="BI47" s="247"/>
      <c r="BJ47" s="247"/>
      <c r="BM47" s="248"/>
    </row>
    <row r="48" spans="1:100" ht="17.100000000000001" customHeight="1">
      <c r="A48" s="473">
        <v>3</v>
      </c>
      <c r="B48" s="474">
        <f>Horarios!C48</f>
        <v>45952.78125</v>
      </c>
      <c r="C48" s="475">
        <f>Horarios!C48</f>
        <v>45952.78125</v>
      </c>
      <c r="D48" s="192" t="s">
        <v>52</v>
      </c>
      <c r="E48" s="80" t="e" vm="34">
        <f>INDEX(TablaEquipos[Badge],MATCH(D48,TablaEquipos[Team],0))</f>
        <v>#VALUE!</v>
      </c>
      <c r="F48" s="81"/>
      <c r="G48" s="476">
        <v>3</v>
      </c>
      <c r="H48" s="477">
        <v>1</v>
      </c>
      <c r="I48" s="478"/>
      <c r="J48" s="81" t="e" vm="20">
        <f>INDEX(TablaEquipos[Badge],MATCH(K48,TablaEquipos[Team],0))</f>
        <v>#VALUE!</v>
      </c>
      <c r="K48" s="209" t="s">
        <v>37</v>
      </c>
      <c r="L48" s="97"/>
      <c r="M48" s="74"/>
      <c r="N48" s="100"/>
      <c r="O48" s="100"/>
      <c r="P48" s="114" t="s">
        <v>73</v>
      </c>
      <c r="Q48" s="100"/>
      <c r="R48" s="100"/>
      <c r="S48" s="100"/>
      <c r="T48" s="100"/>
      <c r="U48" s="100"/>
      <c r="V48" s="100"/>
      <c r="W48" s="100"/>
      <c r="X48" s="100"/>
      <c r="Y48" s="100"/>
      <c r="Z48" s="100"/>
      <c r="AA48" s="100"/>
      <c r="AB48" s="100"/>
      <c r="AC48" s="100"/>
      <c r="AD48" s="100"/>
      <c r="AE48" s="100"/>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247" t="str">
        <f t="shared" si="5"/>
        <v>Local</v>
      </c>
      <c r="BI48" s="247"/>
      <c r="BJ48" s="247"/>
      <c r="BM48" s="248"/>
    </row>
    <row r="49" spans="1:65" ht="17.100000000000001" customHeight="1">
      <c r="A49" s="222">
        <v>3</v>
      </c>
      <c r="B49" s="468">
        <f>Horarios!C49</f>
        <v>45952.875</v>
      </c>
      <c r="C49" s="469">
        <f>Horarios!C49</f>
        <v>45952.875</v>
      </c>
      <c r="D49" s="191" t="s">
        <v>48</v>
      </c>
      <c r="E49" s="79" t="e" vm="37">
        <f>INDEX(TablaEquipos[Badge],MATCH(D49,TablaEquipos[Team],0))</f>
        <v>#VALUE!</v>
      </c>
      <c r="F49" s="82"/>
      <c r="G49" s="470">
        <v>0</v>
      </c>
      <c r="H49" s="471">
        <v>0</v>
      </c>
      <c r="I49" s="472"/>
      <c r="J49" s="82" t="e" vm="13">
        <f>INDEX(TablaEquipos[Badge],MATCH(K49,TablaEquipos[Team],0))</f>
        <v>#VALUE!</v>
      </c>
      <c r="K49" s="403" t="s">
        <v>32</v>
      </c>
      <c r="L49" s="97"/>
      <c r="M49" s="74"/>
      <c r="N49" s="100"/>
      <c r="O49" s="100"/>
      <c r="P49" s="113" t="s">
        <v>74</v>
      </c>
      <c r="Q49" s="100"/>
      <c r="R49" s="100"/>
      <c r="S49" s="100"/>
      <c r="T49" s="100"/>
      <c r="U49" s="100"/>
      <c r="V49" s="100"/>
      <c r="W49" s="100"/>
      <c r="X49" s="100"/>
      <c r="Y49" s="100"/>
      <c r="Z49" s="100"/>
      <c r="AA49" s="100"/>
      <c r="AB49" s="100"/>
      <c r="AC49" s="100"/>
      <c r="AD49" s="100"/>
      <c r="AE49" s="100"/>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247" t="str">
        <f t="shared" si="5"/>
        <v>Empate</v>
      </c>
      <c r="BI49" s="247"/>
      <c r="BJ49" s="247"/>
      <c r="BM49" s="248"/>
    </row>
    <row r="50" spans="1:65" ht="17.100000000000001" customHeight="1">
      <c r="A50" s="473">
        <v>3</v>
      </c>
      <c r="B50" s="474">
        <f>Horarios!C50</f>
        <v>45952.875</v>
      </c>
      <c r="C50" s="475">
        <f>Horarios!C50</f>
        <v>45952.875</v>
      </c>
      <c r="D50" s="192" t="s">
        <v>46</v>
      </c>
      <c r="E50" s="80" t="e" vm="28">
        <f>INDEX(TablaEquipos[Badge],MATCH(D50,TablaEquipos[Team],0))</f>
        <v>#VALUE!</v>
      </c>
      <c r="F50" s="81"/>
      <c r="G50" s="476">
        <v>0</v>
      </c>
      <c r="H50" s="477">
        <v>0</v>
      </c>
      <c r="I50" s="478"/>
      <c r="J50" s="81" t="e" vm="19">
        <f>INDEX(TablaEquipos[Badge],MATCH(K50,TablaEquipos[Team],0))</f>
        <v>#VALUE!</v>
      </c>
      <c r="K50" s="209" t="s">
        <v>36</v>
      </c>
      <c r="L50" s="97"/>
      <c r="M50" s="74"/>
      <c r="N50" s="100"/>
      <c r="O50" s="100"/>
      <c r="P50" s="114" t="s">
        <v>75</v>
      </c>
      <c r="Q50" s="100"/>
      <c r="R50" s="100"/>
      <c r="S50" s="100"/>
      <c r="T50" s="100"/>
      <c r="U50" s="100"/>
      <c r="V50" s="100"/>
      <c r="W50" s="100"/>
      <c r="X50" s="100"/>
      <c r="Y50" s="100"/>
      <c r="Z50" s="100"/>
      <c r="AA50" s="100"/>
      <c r="AB50" s="100"/>
      <c r="AC50" s="100"/>
      <c r="AD50" s="100"/>
      <c r="AE50" s="100"/>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247" t="str">
        <f t="shared" si="5"/>
        <v>Empate</v>
      </c>
      <c r="BI50" s="247"/>
      <c r="BJ50" s="247"/>
      <c r="BM50" s="248"/>
    </row>
    <row r="51" spans="1:65" ht="17.100000000000001" customHeight="1">
      <c r="A51" s="222">
        <v>3</v>
      </c>
      <c r="B51" s="468">
        <f>Horarios!C51</f>
        <v>45952.875</v>
      </c>
      <c r="C51" s="469">
        <f>Horarios!C51</f>
        <v>45952.875</v>
      </c>
      <c r="D51" s="191" t="s">
        <v>42</v>
      </c>
      <c r="E51" s="79" t="e" vm="21">
        <f>INDEX(TablaEquipos[Badge],MATCH(D51,TablaEquipos[Team],0))</f>
        <v>#VALUE!</v>
      </c>
      <c r="F51" s="82"/>
      <c r="G51" s="470">
        <v>5</v>
      </c>
      <c r="H51" s="471">
        <v>1</v>
      </c>
      <c r="I51" s="472"/>
      <c r="J51" s="82" t="e" vm="22">
        <f>INDEX(TablaEquipos[Badge],MATCH(K51,TablaEquipos[Team],0))</f>
        <v>#VALUE!</v>
      </c>
      <c r="K51" s="403" t="s">
        <v>38</v>
      </c>
      <c r="L51" s="97"/>
      <c r="M51" s="74"/>
      <c r="N51" s="100"/>
      <c r="O51" s="100"/>
      <c r="P51" s="115" t="s">
        <v>76</v>
      </c>
      <c r="Q51" s="100"/>
      <c r="R51" s="100"/>
      <c r="S51" s="100"/>
      <c r="T51" s="100"/>
      <c r="U51" s="100"/>
      <c r="V51" s="100"/>
      <c r="W51" s="100"/>
      <c r="X51" s="100"/>
      <c r="Y51" s="100"/>
      <c r="Z51" s="100"/>
      <c r="AA51" s="100"/>
      <c r="AB51" s="100"/>
      <c r="AC51" s="100"/>
      <c r="AD51" s="100"/>
      <c r="AE51" s="100"/>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247" t="str">
        <f t="shared" si="5"/>
        <v>Local</v>
      </c>
      <c r="BI51" s="247"/>
      <c r="BJ51" s="247"/>
      <c r="BM51" s="248"/>
    </row>
    <row r="52" spans="1:65" ht="17.100000000000001" customHeight="1">
      <c r="A52" s="473">
        <v>3</v>
      </c>
      <c r="B52" s="474">
        <f>Horarios!C52</f>
        <v>45952.875</v>
      </c>
      <c r="C52" s="475">
        <f>Horarios!C52</f>
        <v>45952.875</v>
      </c>
      <c r="D52" s="192" t="s">
        <v>51</v>
      </c>
      <c r="E52" s="80" t="e" vm="33">
        <f>INDEX(TablaEquipos[Badge],MATCH(D52,TablaEquipos[Team],0))</f>
        <v>#VALUE!</v>
      </c>
      <c r="F52" s="81"/>
      <c r="G52" s="476">
        <v>1</v>
      </c>
      <c r="H52" s="477">
        <v>5</v>
      </c>
      <c r="I52" s="478"/>
      <c r="J52" s="81" t="e" vm="10">
        <f>INDEX(TablaEquipos[Badge],MATCH(K52,TablaEquipos[Team],0))</f>
        <v>#VALUE!</v>
      </c>
      <c r="K52" s="209" t="s">
        <v>43</v>
      </c>
      <c r="L52" s="97"/>
      <c r="M52" s="74"/>
      <c r="N52" s="100"/>
      <c r="O52" s="100"/>
      <c r="P52" s="100"/>
      <c r="Q52" s="100"/>
      <c r="R52" s="100"/>
      <c r="S52" s="100"/>
      <c r="T52" s="100"/>
      <c r="U52" s="100"/>
      <c r="V52" s="100"/>
      <c r="W52" s="100"/>
      <c r="X52" s="100"/>
      <c r="Y52" s="100"/>
      <c r="Z52" s="100"/>
      <c r="AA52" s="100"/>
      <c r="AB52" s="100"/>
      <c r="AC52" s="100"/>
      <c r="AD52" s="100"/>
      <c r="AE52" s="100"/>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247" t="str">
        <f t="shared" si="5"/>
        <v>Visitante</v>
      </c>
      <c r="BI52" s="247"/>
      <c r="BJ52" s="247"/>
      <c r="BM52" s="248"/>
    </row>
    <row r="53" spans="1:65" ht="17.100000000000001" customHeight="1">
      <c r="A53" s="222">
        <v>3</v>
      </c>
      <c r="B53" s="468">
        <f>Horarios!C53</f>
        <v>45952.875</v>
      </c>
      <c r="C53" s="469">
        <f>Horarios!C53</f>
        <v>45952.875</v>
      </c>
      <c r="D53" s="191" t="s">
        <v>41</v>
      </c>
      <c r="E53" s="79" t="e" vm="5">
        <f>INDEX(TablaEquipos[Badge],MATCH(D53,TablaEquipos[Team],0))</f>
        <v>#VALUE!</v>
      </c>
      <c r="F53" s="82"/>
      <c r="G53" s="470">
        <v>4</v>
      </c>
      <c r="H53" s="471">
        <v>0</v>
      </c>
      <c r="I53" s="472"/>
      <c r="J53" s="82" t="e" vm="29">
        <f>INDEX(TablaEquipos[Badge],MATCH(K53,TablaEquipos[Team],0))</f>
        <v>#VALUE!</v>
      </c>
      <c r="K53" s="403" t="s">
        <v>47</v>
      </c>
      <c r="L53" s="97"/>
      <c r="M53" s="74"/>
      <c r="N53" s="100"/>
      <c r="O53" s="100"/>
      <c r="P53" s="100"/>
      <c r="Q53" s="100"/>
      <c r="R53" s="100"/>
      <c r="S53" s="100"/>
      <c r="T53" s="100"/>
      <c r="U53" s="100"/>
      <c r="V53" s="100"/>
      <c r="W53" s="100"/>
      <c r="X53" s="100"/>
      <c r="Y53" s="100"/>
      <c r="Z53" s="100"/>
      <c r="AA53" s="100"/>
      <c r="AB53" s="100"/>
      <c r="AC53" s="100"/>
      <c r="AD53" s="100"/>
      <c r="AE53" s="100"/>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247" t="str">
        <f t="shared" si="5"/>
        <v>Local</v>
      </c>
      <c r="BI53" s="247"/>
      <c r="BJ53" s="247"/>
      <c r="BM53" s="248"/>
    </row>
    <row r="54" spans="1:65" ht="17.100000000000001" customHeight="1">
      <c r="A54" s="473">
        <v>3</v>
      </c>
      <c r="B54" s="474">
        <f>Horarios!C54</f>
        <v>45952.875</v>
      </c>
      <c r="C54" s="475">
        <f>Horarios!C54</f>
        <v>45952.875</v>
      </c>
      <c r="D54" s="192" t="s">
        <v>28</v>
      </c>
      <c r="E54" s="80" t="e" vm="8">
        <f>INDEX(TablaEquipos[Badge],MATCH(D54,TablaEquipos[Team],0))</f>
        <v>#VALUE!</v>
      </c>
      <c r="F54" s="81"/>
      <c r="G54" s="476">
        <v>1</v>
      </c>
      <c r="H54" s="477">
        <v>0</v>
      </c>
      <c r="I54" s="478"/>
      <c r="J54" s="81" t="e" vm="6">
        <f>INDEX(TablaEquipos[Badge],MATCH(K54,TablaEquipos[Team],0))</f>
        <v>#VALUE!</v>
      </c>
      <c r="K54" s="209" t="s">
        <v>26</v>
      </c>
      <c r="L54" s="97"/>
      <c r="M54" s="74"/>
      <c r="N54" s="100"/>
      <c r="O54" s="100"/>
      <c r="P54" s="100"/>
      <c r="Q54" s="100"/>
      <c r="R54" s="100"/>
      <c r="S54" s="100"/>
      <c r="T54" s="100"/>
      <c r="U54" s="100"/>
      <c r="V54" s="100"/>
      <c r="W54" s="100"/>
      <c r="X54" s="100"/>
      <c r="Y54" s="100"/>
      <c r="Z54" s="100"/>
      <c r="AA54" s="100"/>
      <c r="AB54" s="100"/>
      <c r="AC54" s="100"/>
      <c r="AD54" s="100"/>
      <c r="AE54" s="100"/>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247" t="str">
        <f t="shared" si="5"/>
        <v>Local</v>
      </c>
      <c r="BI54" s="247"/>
      <c r="BJ54" s="247"/>
      <c r="BM54" s="248"/>
    </row>
    <row r="55" spans="1:65" ht="17.100000000000001" customHeight="1" thickBot="1">
      <c r="A55" s="222">
        <v>3</v>
      </c>
      <c r="B55" s="468">
        <f>Horarios!C55</f>
        <v>45952.875</v>
      </c>
      <c r="C55" s="469">
        <f>Horarios!C55</f>
        <v>45952.875</v>
      </c>
      <c r="D55" s="191" t="s">
        <v>58</v>
      </c>
      <c r="E55" s="79" t="e" vm="25">
        <f>INDEX(TablaEquipos[Badge],MATCH(D55,TablaEquipos[Team],0))</f>
        <v>#VALUE!</v>
      </c>
      <c r="F55" s="82"/>
      <c r="G55" s="470">
        <v>2</v>
      </c>
      <c r="H55" s="471">
        <v>1</v>
      </c>
      <c r="I55" s="472"/>
      <c r="J55" s="82" t="e" vm="9">
        <f>INDEX(TablaEquipos[Badge],MATCH(K55,TablaEquipos[Team],0))</f>
        <v>#VALUE!</v>
      </c>
      <c r="K55" s="403" t="s">
        <v>29</v>
      </c>
      <c r="L55" s="97"/>
      <c r="M55" s="74"/>
      <c r="N55" s="100"/>
      <c r="O55" s="100"/>
      <c r="P55" s="100"/>
      <c r="Q55" s="100"/>
      <c r="R55" s="100"/>
      <c r="S55" s="100"/>
      <c r="T55" s="100"/>
      <c r="U55" s="100"/>
      <c r="V55" s="100"/>
      <c r="W55" s="100"/>
      <c r="X55" s="100"/>
      <c r="Y55" s="100"/>
      <c r="Z55" s="100"/>
      <c r="AA55" s="100"/>
      <c r="AB55" s="100"/>
      <c r="AC55" s="100"/>
      <c r="AD55" s="100"/>
      <c r="AE55" s="100"/>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247" t="str">
        <f t="shared" si="5"/>
        <v>Local</v>
      </c>
      <c r="BI55" s="247"/>
      <c r="BJ55" s="247"/>
      <c r="BM55" s="248"/>
    </row>
    <row r="56" spans="1:65" ht="17.100000000000001" customHeight="1" thickBot="1">
      <c r="A56" s="242">
        <v>4</v>
      </c>
      <c r="B56" s="479">
        <f>Horarios!C56</f>
        <v>45965.78125</v>
      </c>
      <c r="C56" s="480">
        <f>Horarios!C56</f>
        <v>45965.78125</v>
      </c>
      <c r="D56" s="193" t="s">
        <v>36</v>
      </c>
      <c r="E56" s="25" t="e" vm="19">
        <f>INDEX(TablaEquipos[Badge],MATCH(D56,TablaEquipos[Team],0))</f>
        <v>#VALUE!</v>
      </c>
      <c r="F56" s="106"/>
      <c r="G56" s="481">
        <v>0</v>
      </c>
      <c r="H56" s="485">
        <v>3</v>
      </c>
      <c r="I56" s="483"/>
      <c r="J56" s="26" t="e" vm="2">
        <f>INDEX(TablaEquipos[Badge],MATCH(K56,TablaEquipos[Team],0))</f>
        <v>#VALUE!</v>
      </c>
      <c r="K56" s="210" t="s">
        <v>23</v>
      </c>
      <c r="L56" s="267" t="s">
        <v>61</v>
      </c>
      <c r="M56" s="264"/>
      <c r="N56" s="100"/>
      <c r="O56" s="100"/>
      <c r="P56" s="100"/>
      <c r="Q56" s="100"/>
      <c r="R56" s="100"/>
      <c r="S56" s="100"/>
      <c r="T56" s="100"/>
      <c r="U56" s="100"/>
      <c r="V56" s="100"/>
      <c r="W56" s="100"/>
      <c r="X56" s="100"/>
      <c r="Y56" s="100"/>
      <c r="Z56" s="100"/>
      <c r="AA56" s="100"/>
      <c r="AB56" s="100"/>
      <c r="AC56" s="100"/>
      <c r="AD56" s="100"/>
      <c r="AE56" s="100"/>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247" t="str">
        <f t="shared" si="5"/>
        <v>Visitante</v>
      </c>
      <c r="BI56" s="247"/>
      <c r="BJ56" s="247"/>
      <c r="BM56" s="248"/>
    </row>
    <row r="57" spans="1:65" ht="17.100000000000001" customHeight="1">
      <c r="A57" s="484">
        <v>4</v>
      </c>
      <c r="B57" s="479">
        <f>Horarios!C57</f>
        <v>45965.78125</v>
      </c>
      <c r="C57" s="480">
        <f>Horarios!C57</f>
        <v>45965.78125</v>
      </c>
      <c r="D57" s="193" t="s">
        <v>54</v>
      </c>
      <c r="E57" s="25" t="e" vm="35">
        <f>INDEX(TablaEquipos[Badge],MATCH(D57,TablaEquipos[Team],0))</f>
        <v>#VALUE!</v>
      </c>
      <c r="F57" s="106"/>
      <c r="G57" s="481">
        <v>0</v>
      </c>
      <c r="H57" s="485">
        <v>0</v>
      </c>
      <c r="I57" s="483"/>
      <c r="J57" s="26" t="e" vm="33">
        <f>INDEX(TablaEquipos[Badge],MATCH(K57,TablaEquipos[Team],0))</f>
        <v>#VALUE!</v>
      </c>
      <c r="K57" s="210" t="s">
        <v>51</v>
      </c>
      <c r="L57" s="97"/>
      <c r="M57" s="74"/>
      <c r="N57" s="100"/>
      <c r="O57" s="100"/>
      <c r="P57" s="100"/>
      <c r="Q57" s="100"/>
      <c r="R57" s="100"/>
      <c r="S57" s="100"/>
      <c r="T57" s="100"/>
      <c r="U57" s="100"/>
      <c r="V57" s="100"/>
      <c r="W57" s="100"/>
      <c r="X57" s="100"/>
      <c r="Y57" s="100"/>
      <c r="Z57" s="100"/>
      <c r="AA57" s="100"/>
      <c r="AB57" s="100"/>
      <c r="AC57" s="100"/>
      <c r="AD57" s="100"/>
      <c r="AE57" s="100"/>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247" t="str">
        <f t="shared" si="5"/>
        <v>Empate</v>
      </c>
      <c r="BI57" s="247"/>
      <c r="BJ57" s="247"/>
      <c r="BM57" s="248"/>
    </row>
    <row r="58" spans="1:65" ht="17.100000000000001" customHeight="1">
      <c r="A58" s="484">
        <v>4</v>
      </c>
      <c r="B58" s="479">
        <f>Horarios!C58</f>
        <v>45965.875</v>
      </c>
      <c r="C58" s="480">
        <f>Horarios!C58</f>
        <v>45965.875</v>
      </c>
      <c r="D58" s="193" t="s">
        <v>44</v>
      </c>
      <c r="E58" s="25" t="e" vm="26">
        <f>INDEX(TablaEquipos[Badge],MATCH(D58,TablaEquipos[Team],0))</f>
        <v>#VALUE!</v>
      </c>
      <c r="F58" s="106"/>
      <c r="G58" s="481">
        <v>3</v>
      </c>
      <c r="H58" s="485">
        <v>1</v>
      </c>
      <c r="I58" s="483"/>
      <c r="J58" s="26" t="e" vm="4">
        <f>INDEX(TablaEquipos[Badge],MATCH(K58,TablaEquipos[Team],0))</f>
        <v>#VALUE!</v>
      </c>
      <c r="K58" s="210" t="s">
        <v>25</v>
      </c>
      <c r="L58" s="97"/>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247" t="str">
        <f t="shared" si="5"/>
        <v>Local</v>
      </c>
      <c r="BI58" s="247"/>
      <c r="BJ58" s="247"/>
      <c r="BM58" s="248"/>
    </row>
    <row r="59" spans="1:65" ht="17.100000000000001" customHeight="1">
      <c r="A59" s="484">
        <v>4</v>
      </c>
      <c r="B59" s="479">
        <f>Horarios!C59</f>
        <v>45965.875</v>
      </c>
      <c r="C59" s="480">
        <f>Horarios!C59</f>
        <v>45965.875</v>
      </c>
      <c r="D59" s="193" t="s">
        <v>37</v>
      </c>
      <c r="E59" s="25" t="e" vm="20">
        <f>INDEX(TablaEquipos[Badge],MATCH(D59,TablaEquipos[Team],0))</f>
        <v>#VALUE!</v>
      </c>
      <c r="F59" s="106"/>
      <c r="G59" s="481">
        <v>0</v>
      </c>
      <c r="H59" s="485">
        <v>1</v>
      </c>
      <c r="I59" s="483"/>
      <c r="J59" s="26" t="e" vm="37">
        <f>INDEX(TablaEquipos[Badge],MATCH(K59,TablaEquipos[Team],0))</f>
        <v>#VALUE!</v>
      </c>
      <c r="K59" s="210" t="s">
        <v>48</v>
      </c>
      <c r="L59" s="97"/>
      <c r="M59" s="74"/>
      <c r="N59" s="74"/>
      <c r="O59" s="74"/>
      <c r="P59" s="26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247" t="str">
        <f t="shared" si="5"/>
        <v>Visitante</v>
      </c>
      <c r="BI59" s="247"/>
      <c r="BJ59" s="247"/>
      <c r="BM59" s="248"/>
    </row>
    <row r="60" spans="1:65" ht="17.100000000000001" customHeight="1">
      <c r="A60" s="484">
        <v>4</v>
      </c>
      <c r="B60" s="479">
        <f>Horarios!C60</f>
        <v>45965.875</v>
      </c>
      <c r="C60" s="480">
        <f>Horarios!C60</f>
        <v>45965.875</v>
      </c>
      <c r="D60" s="193" t="s">
        <v>26</v>
      </c>
      <c r="E60" s="25" t="e" vm="6">
        <f>INDEX(TablaEquipos[Badge],MATCH(D60,TablaEquipos[Team],0))</f>
        <v>#VALUE!</v>
      </c>
      <c r="F60" s="106"/>
      <c r="G60" s="481">
        <v>1</v>
      </c>
      <c r="H60" s="485">
        <v>1</v>
      </c>
      <c r="I60" s="483"/>
      <c r="J60" s="26" t="e" vm="25">
        <f>INDEX(TablaEquipos[Badge],MATCH(K60,TablaEquipos[Team],0))</f>
        <v>#VALUE!</v>
      </c>
      <c r="K60" s="210" t="s">
        <v>58</v>
      </c>
      <c r="L60" s="97"/>
      <c r="M60" s="74"/>
      <c r="N60" s="74"/>
      <c r="O60" s="74"/>
      <c r="P60" s="26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247" t="str">
        <f t="shared" si="5"/>
        <v>Empate</v>
      </c>
      <c r="BI60" s="247"/>
      <c r="BJ60" s="247"/>
      <c r="BM60" s="248"/>
    </row>
    <row r="61" spans="1:65" ht="17.100000000000001" customHeight="1">
      <c r="A61" s="484">
        <v>4</v>
      </c>
      <c r="B61" s="479">
        <f>Horarios!C61</f>
        <v>45965.875</v>
      </c>
      <c r="C61" s="480">
        <f>Horarios!C61</f>
        <v>45965.875</v>
      </c>
      <c r="D61" s="193" t="s">
        <v>43</v>
      </c>
      <c r="E61" s="25" t="e" vm="10">
        <f>INDEX(TablaEquipos[Badge],MATCH(D61,TablaEquipos[Team],0))</f>
        <v>#VALUE!</v>
      </c>
      <c r="F61" s="106"/>
      <c r="G61" s="481">
        <v>1</v>
      </c>
      <c r="H61" s="485">
        <v>0</v>
      </c>
      <c r="I61" s="483"/>
      <c r="J61" s="26" t="e" vm="8">
        <f>INDEX(TablaEquipos[Badge],MATCH(K61,TablaEquipos[Team],0))</f>
        <v>#VALUE!</v>
      </c>
      <c r="K61" s="210" t="s">
        <v>28</v>
      </c>
      <c r="L61" s="97"/>
      <c r="M61" s="74"/>
      <c r="N61" s="74"/>
      <c r="O61" s="74"/>
      <c r="P61" s="26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247" t="str">
        <f t="shared" si="5"/>
        <v>Local</v>
      </c>
      <c r="BI61" s="247"/>
      <c r="BJ61" s="247"/>
      <c r="BM61" s="248"/>
    </row>
    <row r="62" spans="1:65" ht="17.100000000000001" customHeight="1">
      <c r="A62" s="484">
        <v>4</v>
      </c>
      <c r="B62" s="479">
        <f>Horarios!C62</f>
        <v>45965.875</v>
      </c>
      <c r="C62" s="480">
        <f>Horarios!C62</f>
        <v>45965.875</v>
      </c>
      <c r="D62" s="193" t="s">
        <v>34</v>
      </c>
      <c r="E62" s="25" t="e" vm="16">
        <f>INDEX(TablaEquipos[Badge],MATCH(D62,TablaEquipos[Team],0))</f>
        <v>#VALUE!</v>
      </c>
      <c r="F62" s="106"/>
      <c r="G62" s="481">
        <v>1</v>
      </c>
      <c r="H62" s="485">
        <v>1</v>
      </c>
      <c r="I62" s="483"/>
      <c r="J62" s="26" t="e" vm="3">
        <f>INDEX(TablaEquipos[Badge],MATCH(K62,TablaEquipos[Team],0))</f>
        <v>#VALUE!</v>
      </c>
      <c r="K62" s="210" t="s">
        <v>24</v>
      </c>
      <c r="L62" s="97"/>
      <c r="M62" s="74"/>
      <c r="N62" s="74"/>
      <c r="O62" s="74"/>
      <c r="P62" s="26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247" t="str">
        <f t="shared" si="5"/>
        <v>Empate</v>
      </c>
      <c r="BI62" s="247"/>
      <c r="BJ62" s="247"/>
      <c r="BM62" s="248"/>
    </row>
    <row r="63" spans="1:65" ht="17.100000000000001" customHeight="1">
      <c r="A63" s="484">
        <v>4</v>
      </c>
      <c r="B63" s="479">
        <f>Horarios!C63</f>
        <v>45965.875</v>
      </c>
      <c r="C63" s="480">
        <f>Horarios!C63</f>
        <v>45965.875</v>
      </c>
      <c r="D63" s="193" t="s">
        <v>45</v>
      </c>
      <c r="E63" s="25" t="e" vm="15">
        <f>INDEX(TablaEquipos[Badge],MATCH(D63,TablaEquipos[Team],0))</f>
        <v>#VALUE!</v>
      </c>
      <c r="F63" s="106"/>
      <c r="G63" s="481">
        <v>1</v>
      </c>
      <c r="H63" s="485">
        <v>2</v>
      </c>
      <c r="I63" s="483"/>
      <c r="J63" s="26" t="e" vm="5">
        <f>INDEX(TablaEquipos[Badge],MATCH(K63,TablaEquipos[Team],0))</f>
        <v>#VALUE!</v>
      </c>
      <c r="K63" s="210" t="s">
        <v>41</v>
      </c>
      <c r="L63" s="97"/>
      <c r="M63" s="74"/>
      <c r="N63" s="74"/>
      <c r="O63" s="74"/>
      <c r="P63" s="26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247" t="str">
        <f t="shared" si="5"/>
        <v>Visitante</v>
      </c>
      <c r="BI63" s="247"/>
      <c r="BJ63" s="247"/>
      <c r="BM63" s="248"/>
    </row>
    <row r="64" spans="1:65" ht="17.100000000000001" customHeight="1">
      <c r="A64" s="484">
        <v>4</v>
      </c>
      <c r="B64" s="479">
        <f>Horarios!C64</f>
        <v>45965.875</v>
      </c>
      <c r="C64" s="480">
        <f>Horarios!C64</f>
        <v>45965.875</v>
      </c>
      <c r="D64" s="193" t="s">
        <v>32</v>
      </c>
      <c r="E64" s="25" t="e" vm="13">
        <f>INDEX(TablaEquipos[Badge],MATCH(D64,TablaEquipos[Team],0))</f>
        <v>#VALUE!</v>
      </c>
      <c r="F64" s="106"/>
      <c r="G64" s="481">
        <v>4</v>
      </c>
      <c r="H64" s="485">
        <v>0</v>
      </c>
      <c r="I64" s="483"/>
      <c r="J64" s="26" t="e" vm="31">
        <f>INDEX(TablaEquipos[Badge],MATCH(K64,TablaEquipos[Team],0))</f>
        <v>#VALUE!</v>
      </c>
      <c r="K64" s="210" t="s">
        <v>49</v>
      </c>
      <c r="L64" s="97"/>
      <c r="M64" s="74"/>
      <c r="N64" s="74"/>
      <c r="O64" s="74"/>
      <c r="P64" s="26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247" t="str">
        <f t="shared" si="5"/>
        <v>Local</v>
      </c>
      <c r="BI64" s="247"/>
      <c r="BJ64" s="247"/>
      <c r="BM64" s="248"/>
    </row>
    <row r="65" spans="1:65" ht="17.100000000000001" customHeight="1">
      <c r="A65" s="484">
        <v>4</v>
      </c>
      <c r="B65" s="479">
        <f>Horarios!C65</f>
        <v>45966.78125</v>
      </c>
      <c r="C65" s="480">
        <f>Horarios!C65</f>
        <v>45966.78125</v>
      </c>
      <c r="D65" s="193" t="s">
        <v>35</v>
      </c>
      <c r="E65" s="25" t="e" vm="17">
        <f>INDEX(TablaEquipos[Badge],MATCH(D65,TablaEquipos[Team],0))</f>
        <v>#VALUE!</v>
      </c>
      <c r="F65" s="106"/>
      <c r="G65" s="481">
        <v>1</v>
      </c>
      <c r="H65" s="485">
        <v>0</v>
      </c>
      <c r="I65" s="483"/>
      <c r="J65" s="26" t="e" vm="14">
        <f>INDEX(TablaEquipos[Badge],MATCH(K65,TablaEquipos[Team],0))</f>
        <v>#VALUE!</v>
      </c>
      <c r="K65" s="210" t="s">
        <v>33</v>
      </c>
      <c r="L65" s="97"/>
      <c r="M65" s="74"/>
      <c r="N65" s="74"/>
      <c r="O65" s="74"/>
      <c r="P65" s="26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247" t="str">
        <f t="shared" si="5"/>
        <v>Local</v>
      </c>
      <c r="BI65" s="247"/>
      <c r="BJ65" s="247"/>
      <c r="BM65" s="248"/>
    </row>
    <row r="66" spans="1:65" ht="17.100000000000001" customHeight="1">
      <c r="A66" s="484">
        <v>4</v>
      </c>
      <c r="B66" s="479">
        <f>Horarios!C66</f>
        <v>45966.78125</v>
      </c>
      <c r="C66" s="480">
        <f>Horarios!C66</f>
        <v>45966.78125</v>
      </c>
      <c r="D66" s="193" t="s">
        <v>31</v>
      </c>
      <c r="E66" s="25" t="e" vm="12">
        <f>INDEX(TablaEquipos[Badge],MATCH(D66,TablaEquipos[Team],0))</f>
        <v>#VALUE!</v>
      </c>
      <c r="F66" s="106"/>
      <c r="G66" s="481">
        <v>2</v>
      </c>
      <c r="H66" s="485">
        <v>2</v>
      </c>
      <c r="I66" s="483"/>
      <c r="J66" s="26" t="e" vm="21">
        <f>INDEX(TablaEquipos[Badge],MATCH(K66,TablaEquipos[Team],0))</f>
        <v>#VALUE!</v>
      </c>
      <c r="K66" s="210" t="s">
        <v>42</v>
      </c>
      <c r="L66" s="97"/>
      <c r="M66" s="74"/>
      <c r="N66" s="74"/>
      <c r="O66" s="74"/>
      <c r="P66" s="26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247" t="str">
        <f t="shared" ref="BF66:BF129" si="7">IF(OR(G66="",H66=""),"Pendiente",IF(G66&gt;H66,"Local",IF(G66&lt;H66,"Visitante","Empate")))</f>
        <v>Empate</v>
      </c>
      <c r="BI66" s="247"/>
      <c r="BJ66" s="247"/>
      <c r="BM66" s="248"/>
    </row>
    <row r="67" spans="1:65" ht="17.100000000000001" customHeight="1">
      <c r="A67" s="484">
        <v>4</v>
      </c>
      <c r="B67" s="479">
        <f>Horarios!C67</f>
        <v>45966.875</v>
      </c>
      <c r="C67" s="480">
        <f>Horarios!C67</f>
        <v>45966.875</v>
      </c>
      <c r="D67" s="193" t="s">
        <v>38</v>
      </c>
      <c r="E67" s="25" t="e" vm="22">
        <f>INDEX(TablaEquipos[Badge],MATCH(D67,TablaEquipos[Team],0))</f>
        <v>#VALUE!</v>
      </c>
      <c r="F67" s="106"/>
      <c r="G67" s="481">
        <v>0</v>
      </c>
      <c r="H67" s="485">
        <v>3</v>
      </c>
      <c r="I67" s="483"/>
      <c r="J67" s="26" t="e" vm="34">
        <f>INDEX(TablaEquipos[Badge],MATCH(K67,TablaEquipos[Team],0))</f>
        <v>#VALUE!</v>
      </c>
      <c r="K67" s="210" t="s">
        <v>52</v>
      </c>
      <c r="L67" s="97"/>
      <c r="M67" s="74"/>
      <c r="N67" s="74"/>
      <c r="O67" s="74"/>
      <c r="P67" s="26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247" t="str">
        <f t="shared" si="7"/>
        <v>Visitante</v>
      </c>
      <c r="BI67" s="247"/>
      <c r="BJ67" s="247"/>
      <c r="BM67" s="248"/>
    </row>
    <row r="68" spans="1:65" ht="17.100000000000001" customHeight="1">
      <c r="A68" s="484">
        <v>4</v>
      </c>
      <c r="B68" s="479">
        <f>Horarios!C68</f>
        <v>45966.875</v>
      </c>
      <c r="C68" s="480">
        <f>Horarios!C68</f>
        <v>45966.875</v>
      </c>
      <c r="D68" s="193" t="s">
        <v>47</v>
      </c>
      <c r="E68" s="25" t="e" vm="29">
        <f>INDEX(TablaEquipos[Badge],MATCH(D68,TablaEquipos[Team],0))</f>
        <v>#VALUE!</v>
      </c>
      <c r="F68" s="106"/>
      <c r="G68" s="481">
        <v>3</v>
      </c>
      <c r="H68" s="485">
        <v>3</v>
      </c>
      <c r="I68" s="483"/>
      <c r="J68" s="26" t="e" vm="24">
        <f>INDEX(TablaEquipos[Badge],MATCH(K68,TablaEquipos[Team],0))</f>
        <v>#VALUE!</v>
      </c>
      <c r="K68" s="210" t="s">
        <v>56</v>
      </c>
      <c r="L68" s="97"/>
      <c r="M68" s="74"/>
      <c r="N68" s="74"/>
      <c r="O68" s="74"/>
      <c r="P68" s="26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247" t="str">
        <f t="shared" si="7"/>
        <v>Empate</v>
      </c>
      <c r="BI68" s="247"/>
      <c r="BJ68" s="247"/>
      <c r="BM68" s="248"/>
    </row>
    <row r="69" spans="1:65" ht="17.100000000000001" customHeight="1">
      <c r="A69" s="484">
        <v>4</v>
      </c>
      <c r="B69" s="479">
        <f>Horarios!C69</f>
        <v>45966.875</v>
      </c>
      <c r="C69" s="480">
        <f>Horarios!C69</f>
        <v>45966.875</v>
      </c>
      <c r="D69" s="193" t="s">
        <v>39</v>
      </c>
      <c r="E69" s="25" t="e" vm="23">
        <f>INDEX(TablaEquipos[Badge],MATCH(D69,TablaEquipos[Team],0))</f>
        <v>#VALUE!</v>
      </c>
      <c r="F69" s="106"/>
      <c r="G69" s="481">
        <v>2</v>
      </c>
      <c r="H69" s="485">
        <v>1</v>
      </c>
      <c r="I69" s="483"/>
      <c r="J69" s="26" t="e" vm="36">
        <f>INDEX(TablaEquipos[Badge],MATCH(K69,TablaEquipos[Team],0))</f>
        <v>#VALUE!</v>
      </c>
      <c r="K69" s="210" t="s">
        <v>59</v>
      </c>
      <c r="L69" s="97"/>
      <c r="M69" s="74"/>
      <c r="N69" s="74"/>
      <c r="O69" s="74"/>
      <c r="P69" s="26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247" t="str">
        <f t="shared" si="7"/>
        <v>Local</v>
      </c>
      <c r="BI69" s="247"/>
      <c r="BJ69" s="247"/>
      <c r="BM69" s="248"/>
    </row>
    <row r="70" spans="1:65" ht="17.100000000000001" customHeight="1">
      <c r="A70" s="484">
        <v>4</v>
      </c>
      <c r="B70" s="479">
        <f>Horarios!C70</f>
        <v>45966.875</v>
      </c>
      <c r="C70" s="480">
        <f>Horarios!C70</f>
        <v>45966.875</v>
      </c>
      <c r="D70" s="193" t="s">
        <v>53</v>
      </c>
      <c r="E70" s="25" t="e" vm="27">
        <f>INDEX(TablaEquipos[Badge],MATCH(D70,TablaEquipos[Team],0))</f>
        <v>#VALUE!</v>
      </c>
      <c r="F70" s="106"/>
      <c r="G70" s="481">
        <v>4</v>
      </c>
      <c r="H70" s="485">
        <v>1</v>
      </c>
      <c r="I70" s="483"/>
      <c r="J70" s="26" t="e" vm="7">
        <f>INDEX(TablaEquipos[Badge],MATCH(K70,TablaEquipos[Team],0))</f>
        <v>#VALUE!</v>
      </c>
      <c r="K70" s="210" t="s">
        <v>27</v>
      </c>
      <c r="L70" s="97"/>
      <c r="M70" s="74"/>
      <c r="N70" s="74"/>
      <c r="O70" s="74"/>
      <c r="P70" s="26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247" t="str">
        <f t="shared" si="7"/>
        <v>Local</v>
      </c>
      <c r="BI70" s="247"/>
      <c r="BJ70" s="247"/>
      <c r="BM70" s="248"/>
    </row>
    <row r="71" spans="1:65" ht="17.100000000000001" customHeight="1">
      <c r="A71" s="484">
        <v>4</v>
      </c>
      <c r="B71" s="479">
        <f>Horarios!C71</f>
        <v>45966.875</v>
      </c>
      <c r="C71" s="480">
        <f>Horarios!C71</f>
        <v>45966.875</v>
      </c>
      <c r="D71" s="193" t="s">
        <v>55</v>
      </c>
      <c r="E71" s="25" t="e" vm="18">
        <f>INDEX(TablaEquipos[Badge],MATCH(D71,TablaEquipos[Team],0))</f>
        <v>#VALUE!</v>
      </c>
      <c r="F71" s="106"/>
      <c r="G71" s="481">
        <v>2</v>
      </c>
      <c r="H71" s="485">
        <v>0</v>
      </c>
      <c r="I71" s="483"/>
      <c r="J71" s="26" t="e" vm="1">
        <f>INDEX(TablaEquipos[Badge],MATCH(K71,TablaEquipos[Team],0))</f>
        <v>#VALUE!</v>
      </c>
      <c r="K71" s="210" t="s">
        <v>22</v>
      </c>
      <c r="L71" s="97"/>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247" t="str">
        <f t="shared" si="7"/>
        <v>Local</v>
      </c>
      <c r="BI71" s="247"/>
      <c r="BJ71" s="247"/>
      <c r="BM71" s="248"/>
    </row>
    <row r="72" spans="1:65" ht="17.100000000000001" customHeight="1">
      <c r="A72" s="484">
        <v>4</v>
      </c>
      <c r="B72" s="479">
        <f>Horarios!C72</f>
        <v>45966.875</v>
      </c>
      <c r="C72" s="480">
        <f>Horarios!C72</f>
        <v>45966.875</v>
      </c>
      <c r="D72" s="193" t="s">
        <v>29</v>
      </c>
      <c r="E72" s="25" t="e" vm="9">
        <f>INDEX(TablaEquipos[Badge],MATCH(D72,TablaEquipos[Team],0))</f>
        <v>#VALUE!</v>
      </c>
      <c r="F72" s="106"/>
      <c r="G72" s="481">
        <v>0</v>
      </c>
      <c r="H72" s="485">
        <v>1</v>
      </c>
      <c r="I72" s="483"/>
      <c r="J72" s="26" t="e" vm="28">
        <f>INDEX(TablaEquipos[Badge],MATCH(K72,TablaEquipos[Team],0))</f>
        <v>#VALUE!</v>
      </c>
      <c r="K72" s="210" t="s">
        <v>46</v>
      </c>
      <c r="L72" s="97"/>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247" t="str">
        <f t="shared" si="7"/>
        <v>Visitante</v>
      </c>
      <c r="BI72" s="247"/>
      <c r="BJ72" s="247"/>
      <c r="BM72" s="248"/>
    </row>
    <row r="73" spans="1:65" ht="17.100000000000001" customHeight="1" thickBot="1">
      <c r="A73" s="486">
        <v>4</v>
      </c>
      <c r="B73" s="479">
        <f>Horarios!C73</f>
        <v>45966.875</v>
      </c>
      <c r="C73" s="480">
        <f>Horarios!C73</f>
        <v>45966.875</v>
      </c>
      <c r="D73" s="193" t="s">
        <v>30</v>
      </c>
      <c r="E73" s="25" t="e" vm="11">
        <f>INDEX(TablaEquipos[Badge],MATCH(D73,TablaEquipos[Team],0))</f>
        <v>#VALUE!</v>
      </c>
      <c r="F73" s="106"/>
      <c r="G73" s="481">
        <v>0</v>
      </c>
      <c r="H73" s="485">
        <v>1</v>
      </c>
      <c r="I73" s="483"/>
      <c r="J73" s="26" t="e" vm="32">
        <f>INDEX(TablaEquipos[Badge],MATCH(K73,TablaEquipos[Team],0))</f>
        <v>#VALUE!</v>
      </c>
      <c r="K73" s="210" t="s">
        <v>50</v>
      </c>
      <c r="L73" s="97"/>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247" t="str">
        <f t="shared" si="7"/>
        <v>Visitante</v>
      </c>
      <c r="BI73" s="247"/>
      <c r="BJ73" s="247"/>
      <c r="BM73" s="248"/>
    </row>
    <row r="74" spans="1:65" ht="17.100000000000001" customHeight="1" thickBot="1">
      <c r="A74" s="473">
        <v>5</v>
      </c>
      <c r="B74" s="474">
        <f>Horarios!C74</f>
        <v>45986.78125</v>
      </c>
      <c r="C74" s="475">
        <f>Horarios!C74</f>
        <v>45986.78125</v>
      </c>
      <c r="D74" s="192" t="s">
        <v>38</v>
      </c>
      <c r="E74" s="80" t="e" vm="22">
        <f>INDEX(TablaEquipos[Badge],MATCH(D74,TablaEquipos[Team],0))</f>
        <v>#VALUE!</v>
      </c>
      <c r="F74" s="81"/>
      <c r="G74" s="476">
        <v>0</v>
      </c>
      <c r="H74" s="477">
        <v>2</v>
      </c>
      <c r="I74" s="478"/>
      <c r="J74" s="81" t="e" vm="11">
        <f>INDEX(TablaEquipos[Badge],MATCH(K74,TablaEquipos[Team],0))</f>
        <v>#VALUE!</v>
      </c>
      <c r="K74" s="209" t="s">
        <v>30</v>
      </c>
      <c r="L74" s="267" t="s">
        <v>61</v>
      </c>
      <c r="M74" s="26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247" t="str">
        <f t="shared" si="7"/>
        <v>Visitante</v>
      </c>
      <c r="BI74" s="247"/>
      <c r="BJ74" s="247"/>
      <c r="BM74" s="248"/>
    </row>
    <row r="75" spans="1:65" ht="17.100000000000001" customHeight="1">
      <c r="A75" s="222">
        <v>5</v>
      </c>
      <c r="B75" s="468">
        <f>Horarios!C75</f>
        <v>45986.78125</v>
      </c>
      <c r="C75" s="469">
        <f>Horarios!C75</f>
        <v>45986.78125</v>
      </c>
      <c r="D75" s="191" t="s">
        <v>52</v>
      </c>
      <c r="E75" s="79" t="e" vm="34">
        <f>INDEX(TablaEquipos[Badge],MATCH(D75,TablaEquipos[Team],0))</f>
        <v>#VALUE!</v>
      </c>
      <c r="F75" s="82"/>
      <c r="G75" s="470">
        <v>0</v>
      </c>
      <c r="H75" s="471">
        <v>1</v>
      </c>
      <c r="I75" s="472"/>
      <c r="J75" s="82" t="e" vm="4">
        <f>INDEX(TablaEquipos[Badge],MATCH(K75,TablaEquipos[Team],0))</f>
        <v>#VALUE!</v>
      </c>
      <c r="K75" s="403" t="s">
        <v>25</v>
      </c>
      <c r="L75" s="97"/>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247" t="str">
        <f t="shared" si="7"/>
        <v>Visitante</v>
      </c>
      <c r="BI75" s="247"/>
      <c r="BJ75" s="247"/>
      <c r="BM75" s="248"/>
    </row>
    <row r="76" spans="1:65" ht="17.100000000000001" customHeight="1">
      <c r="A76" s="473">
        <v>5</v>
      </c>
      <c r="B76" s="474">
        <f>Horarios!C76</f>
        <v>45986.875</v>
      </c>
      <c r="C76" s="475">
        <f>Horarios!C76</f>
        <v>45986.875</v>
      </c>
      <c r="D76" s="192" t="s">
        <v>27</v>
      </c>
      <c r="E76" s="80" t="e" vm="7">
        <f>INDEX(TablaEquipos[Badge],MATCH(D76,TablaEquipos[Team],0))</f>
        <v>#VALUE!</v>
      </c>
      <c r="F76" s="81"/>
      <c r="G76" s="476">
        <v>4</v>
      </c>
      <c r="H76" s="477">
        <v>0</v>
      </c>
      <c r="I76" s="478"/>
      <c r="J76" s="81" t="e" vm="14">
        <f>INDEX(TablaEquipos[Badge],MATCH(K76,TablaEquipos[Team],0))</f>
        <v>#VALUE!</v>
      </c>
      <c r="K76" s="209" t="s">
        <v>33</v>
      </c>
      <c r="L76" s="97"/>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247" t="str">
        <f t="shared" si="7"/>
        <v>Local</v>
      </c>
      <c r="BI76" s="247"/>
      <c r="BJ76" s="247"/>
      <c r="BM76" s="248"/>
    </row>
    <row r="77" spans="1:65" ht="17.100000000000001" customHeight="1">
      <c r="A77" s="222">
        <v>5</v>
      </c>
      <c r="B77" s="468">
        <f>Horarios!C77</f>
        <v>45986.875</v>
      </c>
      <c r="C77" s="469">
        <f>Horarios!C77</f>
        <v>45986.875</v>
      </c>
      <c r="D77" s="191" t="s">
        <v>42</v>
      </c>
      <c r="E77" s="79" t="e" vm="21">
        <f>INDEX(TablaEquipos[Badge],MATCH(D77,TablaEquipos[Team],0))</f>
        <v>#VALUE!</v>
      </c>
      <c r="F77" s="82"/>
      <c r="G77" s="470">
        <v>3</v>
      </c>
      <c r="H77" s="471">
        <v>0</v>
      </c>
      <c r="I77" s="472"/>
      <c r="J77" s="82" t="e" vm="24">
        <f>INDEX(TablaEquipos[Badge],MATCH(K77,TablaEquipos[Team],0))</f>
        <v>#VALUE!</v>
      </c>
      <c r="K77" s="403" t="s">
        <v>56</v>
      </c>
      <c r="L77" s="97"/>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247" t="str">
        <f t="shared" si="7"/>
        <v>Local</v>
      </c>
      <c r="BI77" s="247"/>
      <c r="BJ77" s="247"/>
      <c r="BM77" s="248"/>
    </row>
    <row r="78" spans="1:65" ht="17.100000000000001" customHeight="1">
      <c r="A78" s="473">
        <v>5</v>
      </c>
      <c r="B78" s="474">
        <f>Horarios!C78</f>
        <v>45986.875</v>
      </c>
      <c r="C78" s="475">
        <f>Horarios!C78</f>
        <v>45986.875</v>
      </c>
      <c r="D78" s="192" t="s">
        <v>37</v>
      </c>
      <c r="E78" s="80" t="e" vm="20">
        <f>INDEX(TablaEquipos[Badge],MATCH(D78,TablaEquipos[Team],0))</f>
        <v>#VALUE!</v>
      </c>
      <c r="F78" s="81"/>
      <c r="G78" s="476">
        <v>2</v>
      </c>
      <c r="H78" s="477">
        <v>3</v>
      </c>
      <c r="I78" s="478"/>
      <c r="J78" s="81" t="e" vm="6">
        <f>INDEX(TablaEquipos[Badge],MATCH(K78,TablaEquipos[Team],0))</f>
        <v>#VALUE!</v>
      </c>
      <c r="K78" s="209" t="s">
        <v>26</v>
      </c>
      <c r="L78" s="97"/>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247" t="str">
        <f t="shared" si="7"/>
        <v>Visitante</v>
      </c>
      <c r="BI78" s="247"/>
      <c r="BJ78" s="247"/>
      <c r="BM78" s="248"/>
    </row>
    <row r="79" spans="1:65" ht="17.100000000000001" customHeight="1">
      <c r="A79" s="222">
        <v>5</v>
      </c>
      <c r="B79" s="468">
        <f>Horarios!C79</f>
        <v>45986.875</v>
      </c>
      <c r="C79" s="469">
        <f>Horarios!C79</f>
        <v>45986.875</v>
      </c>
      <c r="D79" s="191" t="s">
        <v>53</v>
      </c>
      <c r="E79" s="79" t="e" vm="27">
        <f>INDEX(TablaEquipos[Badge],MATCH(D79,TablaEquipos[Team],0))</f>
        <v>#VALUE!</v>
      </c>
      <c r="F79" s="82"/>
      <c r="G79" s="470">
        <v>0</v>
      </c>
      <c r="H79" s="471">
        <v>2</v>
      </c>
      <c r="I79" s="472"/>
      <c r="J79" s="82" t="e" vm="32">
        <f>INDEX(TablaEquipos[Badge],MATCH(K79,TablaEquipos[Team],0))</f>
        <v>#VALUE!</v>
      </c>
      <c r="K79" s="403" t="s">
        <v>50</v>
      </c>
      <c r="L79" s="97"/>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247" t="str">
        <f t="shared" si="7"/>
        <v>Visitante</v>
      </c>
      <c r="BI79" s="247"/>
      <c r="BJ79" s="247"/>
      <c r="BM79" s="248"/>
    </row>
    <row r="80" spans="1:65" ht="17.100000000000001" customHeight="1">
      <c r="A80" s="473">
        <v>5</v>
      </c>
      <c r="B80" s="474">
        <f>Horarios!C80</f>
        <v>45986.875</v>
      </c>
      <c r="C80" s="475">
        <f>Horarios!C80</f>
        <v>45986.875</v>
      </c>
      <c r="D80" s="192" t="s">
        <v>29</v>
      </c>
      <c r="E80" s="80" t="e" vm="9">
        <f>INDEX(TablaEquipos[Badge],MATCH(D80,TablaEquipos[Team],0))</f>
        <v>#VALUE!</v>
      </c>
      <c r="F80" s="81"/>
      <c r="G80" s="476">
        <v>2</v>
      </c>
      <c r="H80" s="477">
        <v>1</v>
      </c>
      <c r="I80" s="478"/>
      <c r="J80" s="81" t="e" vm="18">
        <f>INDEX(TablaEquipos[Badge],MATCH(K80,TablaEquipos[Team],0))</f>
        <v>#VALUE!</v>
      </c>
      <c r="K80" s="209" t="s">
        <v>55</v>
      </c>
      <c r="L80" s="97"/>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247" t="str">
        <f t="shared" si="7"/>
        <v>Local</v>
      </c>
      <c r="BI80" s="247"/>
      <c r="BJ80" s="247"/>
      <c r="BM80" s="248"/>
    </row>
    <row r="81" spans="1:65" ht="17.100000000000001" customHeight="1">
      <c r="A81" s="222">
        <v>5</v>
      </c>
      <c r="B81" s="468">
        <f>Horarios!C81</f>
        <v>45986.875</v>
      </c>
      <c r="C81" s="469">
        <f>Horarios!C81</f>
        <v>45986.875</v>
      </c>
      <c r="D81" s="191" t="s">
        <v>36</v>
      </c>
      <c r="E81" s="79" t="e" vm="19">
        <f>INDEX(TablaEquipos[Badge],MATCH(D81,TablaEquipos[Team],0))</f>
        <v>#VALUE!</v>
      </c>
      <c r="F81" s="82"/>
      <c r="G81" s="470">
        <v>0</v>
      </c>
      <c r="H81" s="471">
        <v>0</v>
      </c>
      <c r="I81" s="472"/>
      <c r="J81" s="82" t="e" vm="1">
        <f>INDEX(TablaEquipos[Badge],MATCH(K81,TablaEquipos[Team],0))</f>
        <v>#VALUE!</v>
      </c>
      <c r="K81" s="403" t="s">
        <v>22</v>
      </c>
      <c r="L81" s="97"/>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247" t="str">
        <f t="shared" si="7"/>
        <v>Empate</v>
      </c>
      <c r="BI81" s="247"/>
      <c r="BJ81" s="247"/>
      <c r="BM81" s="248"/>
    </row>
    <row r="82" spans="1:65" ht="17.100000000000001" customHeight="1">
      <c r="A82" s="473">
        <v>5</v>
      </c>
      <c r="B82" s="474">
        <f>Horarios!C82</f>
        <v>45986.875</v>
      </c>
      <c r="C82" s="475">
        <f>Horarios!C82</f>
        <v>45986.875</v>
      </c>
      <c r="D82" s="192" t="s">
        <v>54</v>
      </c>
      <c r="E82" s="80" t="e" vm="35">
        <f>INDEX(TablaEquipos[Badge],MATCH(D82,TablaEquipos[Team],0))</f>
        <v>#VALUE!</v>
      </c>
      <c r="F82" s="81"/>
      <c r="G82" s="476">
        <v>2</v>
      </c>
      <c r="H82" s="477">
        <v>0</v>
      </c>
      <c r="I82" s="478"/>
      <c r="J82" s="81" t="e" vm="12">
        <f>INDEX(TablaEquipos[Badge],MATCH(K82,TablaEquipos[Team],0))</f>
        <v>#VALUE!</v>
      </c>
      <c r="K82" s="209" t="s">
        <v>31</v>
      </c>
      <c r="L82" s="97"/>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247" t="str">
        <f t="shared" si="7"/>
        <v>Local</v>
      </c>
      <c r="BI82" s="247"/>
      <c r="BJ82" s="247"/>
      <c r="BM82" s="248"/>
    </row>
    <row r="83" spans="1:65" ht="17.100000000000001" customHeight="1">
      <c r="A83" s="222">
        <v>5</v>
      </c>
      <c r="B83" s="468">
        <f>Horarios!C83</f>
        <v>45987.78125</v>
      </c>
      <c r="C83" s="469">
        <f>Horarios!C83</f>
        <v>45987.78125</v>
      </c>
      <c r="D83" s="191" t="s">
        <v>49</v>
      </c>
      <c r="E83" s="79" t="e" vm="31">
        <f>INDEX(TablaEquipos[Badge],MATCH(D83,TablaEquipos[Team],0))</f>
        <v>#VALUE!</v>
      </c>
      <c r="F83" s="82"/>
      <c r="G83" s="470">
        <v>3</v>
      </c>
      <c r="H83" s="471">
        <v>2</v>
      </c>
      <c r="I83" s="472"/>
      <c r="J83" s="82" t="e" vm="36">
        <f>INDEX(TablaEquipos[Badge],MATCH(K83,TablaEquipos[Team],0))</f>
        <v>#VALUE!</v>
      </c>
      <c r="K83" s="403" t="s">
        <v>59</v>
      </c>
      <c r="L83" s="97"/>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247" t="str">
        <f t="shared" si="7"/>
        <v>Local</v>
      </c>
      <c r="BI83" s="247"/>
      <c r="BJ83" s="247"/>
      <c r="BM83" s="248"/>
    </row>
    <row r="84" spans="1:65" ht="17.100000000000001" customHeight="1">
      <c r="A84" s="473">
        <v>5</v>
      </c>
      <c r="B84" s="474">
        <f>Horarios!C84</f>
        <v>45987.78125</v>
      </c>
      <c r="C84" s="475">
        <f>Horarios!C84</f>
        <v>45987.78125</v>
      </c>
      <c r="D84" s="192" t="s">
        <v>35</v>
      </c>
      <c r="E84" s="80" t="e" vm="17">
        <f>INDEX(TablaEquipos[Badge],MATCH(D84,TablaEquipos[Team],0))</f>
        <v>#VALUE!</v>
      </c>
      <c r="F84" s="81"/>
      <c r="G84" s="476">
        <v>2</v>
      </c>
      <c r="H84" s="477">
        <v>2</v>
      </c>
      <c r="I84" s="478"/>
      <c r="J84" s="81" t="e" vm="37">
        <f>INDEX(TablaEquipos[Badge],MATCH(K84,TablaEquipos[Team],0))</f>
        <v>#VALUE!</v>
      </c>
      <c r="K84" s="209" t="s">
        <v>48</v>
      </c>
      <c r="L84" s="97"/>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247" t="str">
        <f t="shared" si="7"/>
        <v>Empate</v>
      </c>
      <c r="BI84" s="247"/>
      <c r="BJ84" s="247"/>
      <c r="BM84" s="248"/>
    </row>
    <row r="85" spans="1:65" ht="17.100000000000001" customHeight="1">
      <c r="A85" s="222">
        <v>5</v>
      </c>
      <c r="B85" s="468">
        <f>Horarios!C85</f>
        <v>45987.875</v>
      </c>
      <c r="C85" s="469">
        <f>Horarios!C85</f>
        <v>45987.875</v>
      </c>
      <c r="D85" s="191" t="s">
        <v>23</v>
      </c>
      <c r="E85" s="79" t="e" vm="2">
        <f>INDEX(TablaEquipos[Badge],MATCH(D85,TablaEquipos[Team],0))</f>
        <v>#VALUE!</v>
      </c>
      <c r="F85" s="82"/>
      <c r="G85" s="470">
        <v>3</v>
      </c>
      <c r="H85" s="471">
        <v>1</v>
      </c>
      <c r="I85" s="472"/>
      <c r="J85" s="82" t="e" vm="5">
        <f>INDEX(TablaEquipos[Badge],MATCH(K85,TablaEquipos[Team],0))</f>
        <v>#VALUE!</v>
      </c>
      <c r="K85" s="403" t="s">
        <v>41</v>
      </c>
      <c r="L85" s="97"/>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247" t="str">
        <f t="shared" si="7"/>
        <v>Local</v>
      </c>
      <c r="BI85" s="247"/>
      <c r="BJ85" s="247"/>
      <c r="BM85" s="248"/>
    </row>
    <row r="86" spans="1:65" ht="17.100000000000001" customHeight="1">
      <c r="A86" s="473">
        <v>5</v>
      </c>
      <c r="B86" s="474">
        <f>Horarios!C86</f>
        <v>45987.875</v>
      </c>
      <c r="C86" s="475">
        <f>Horarios!C86</f>
        <v>45987.875</v>
      </c>
      <c r="D86" s="192" t="s">
        <v>44</v>
      </c>
      <c r="E86" s="80" t="e" vm="26">
        <f>INDEX(TablaEquipos[Badge],MATCH(D86,TablaEquipos[Team],0))</f>
        <v>#VALUE!</v>
      </c>
      <c r="F86" s="81"/>
      <c r="G86" s="476">
        <v>2</v>
      </c>
      <c r="H86" s="477">
        <v>1</v>
      </c>
      <c r="I86" s="478"/>
      <c r="J86" s="81" t="e" vm="23">
        <f>INDEX(TablaEquipos[Badge],MATCH(K86,TablaEquipos[Team],0))</f>
        <v>#VALUE!</v>
      </c>
      <c r="K86" s="209" t="s">
        <v>39</v>
      </c>
      <c r="L86" s="97"/>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247" t="str">
        <f t="shared" si="7"/>
        <v>Local</v>
      </c>
      <c r="BI86" s="247"/>
      <c r="BJ86" s="247"/>
      <c r="BM86" s="248"/>
    </row>
    <row r="87" spans="1:65" ht="17.100000000000001" customHeight="1">
      <c r="A87" s="222">
        <v>5</v>
      </c>
      <c r="B87" s="468">
        <f>Horarios!C87</f>
        <v>45987.875</v>
      </c>
      <c r="C87" s="469">
        <f>Horarios!C87</f>
        <v>45987.875</v>
      </c>
      <c r="D87" s="191" t="s">
        <v>51</v>
      </c>
      <c r="E87" s="79" t="e" vm="33">
        <f>INDEX(TablaEquipos[Badge],MATCH(D87,TablaEquipos[Team],0))</f>
        <v>#VALUE!</v>
      </c>
      <c r="F87" s="82"/>
      <c r="G87" s="470">
        <v>0</v>
      </c>
      <c r="H87" s="471">
        <v>3</v>
      </c>
      <c r="I87" s="472"/>
      <c r="J87" s="82" t="e" vm="28">
        <f>INDEX(TablaEquipos[Badge],MATCH(K87,TablaEquipos[Team],0))</f>
        <v>#VALUE!</v>
      </c>
      <c r="K87" s="403" t="s">
        <v>46</v>
      </c>
      <c r="L87" s="97"/>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247" t="str">
        <f t="shared" si="7"/>
        <v>Visitante</v>
      </c>
      <c r="BI87" s="247"/>
      <c r="BJ87" s="247"/>
      <c r="BM87" s="248"/>
    </row>
    <row r="88" spans="1:65" ht="17.100000000000001" customHeight="1">
      <c r="A88" s="473">
        <v>5</v>
      </c>
      <c r="B88" s="474">
        <f>Horarios!C88</f>
        <v>45987.875</v>
      </c>
      <c r="C88" s="475">
        <f>Horarios!C88</f>
        <v>45987.875</v>
      </c>
      <c r="D88" s="192" t="s">
        <v>43</v>
      </c>
      <c r="E88" s="80" t="e" vm="10">
        <f>INDEX(TablaEquipos[Badge],MATCH(D88,TablaEquipos[Team],0))</f>
        <v>#VALUE!</v>
      </c>
      <c r="F88" s="81"/>
      <c r="G88" s="476">
        <v>1</v>
      </c>
      <c r="H88" s="477">
        <v>4</v>
      </c>
      <c r="I88" s="478"/>
      <c r="J88" s="81" t="e" vm="3">
        <f>INDEX(TablaEquipos[Badge],MATCH(K88,TablaEquipos[Team],0))</f>
        <v>#VALUE!</v>
      </c>
      <c r="K88" s="209" t="s">
        <v>24</v>
      </c>
      <c r="L88" s="97"/>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247" t="str">
        <f t="shared" si="7"/>
        <v>Visitante</v>
      </c>
      <c r="BI88" s="247"/>
      <c r="BJ88" s="247"/>
      <c r="BM88" s="248"/>
    </row>
    <row r="89" spans="1:65" ht="17.100000000000001" customHeight="1">
      <c r="A89" s="222">
        <v>5</v>
      </c>
      <c r="B89" s="468">
        <f>Horarios!C89</f>
        <v>45987.875</v>
      </c>
      <c r="C89" s="469">
        <f>Horarios!C89</f>
        <v>45987.875</v>
      </c>
      <c r="D89" s="191" t="s">
        <v>34</v>
      </c>
      <c r="E89" s="79" t="e" vm="16">
        <f>INDEX(TablaEquipos[Badge],MATCH(D89,TablaEquipos[Team],0))</f>
        <v>#VALUE!</v>
      </c>
      <c r="F89" s="82"/>
      <c r="G89" s="470">
        <v>3</v>
      </c>
      <c r="H89" s="471">
        <v>4</v>
      </c>
      <c r="I89" s="472"/>
      <c r="J89" s="82" t="e" vm="8">
        <f>INDEX(TablaEquipos[Badge],MATCH(K89,TablaEquipos[Team],0))</f>
        <v>#VALUE!</v>
      </c>
      <c r="K89" s="403" t="s">
        <v>28</v>
      </c>
      <c r="L89" s="97"/>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247" t="str">
        <f t="shared" si="7"/>
        <v>Visitante</v>
      </c>
      <c r="BI89" s="247"/>
      <c r="BJ89" s="247"/>
      <c r="BM89" s="248"/>
    </row>
    <row r="90" spans="1:65" ht="17.100000000000001" customHeight="1">
      <c r="A90" s="473">
        <v>5</v>
      </c>
      <c r="B90" s="474">
        <f>Horarios!C90</f>
        <v>45987.875</v>
      </c>
      <c r="C90" s="475">
        <f>Horarios!C90</f>
        <v>45987.875</v>
      </c>
      <c r="D90" s="192" t="s">
        <v>45</v>
      </c>
      <c r="E90" s="80" t="e" vm="15">
        <f>INDEX(TablaEquipos[Badge],MATCH(D90,TablaEquipos[Team],0))</f>
        <v>#VALUE!</v>
      </c>
      <c r="F90" s="81"/>
      <c r="G90" s="476">
        <v>5</v>
      </c>
      <c r="H90" s="477">
        <v>3</v>
      </c>
      <c r="I90" s="478"/>
      <c r="J90" s="81" t="e" vm="13">
        <f>INDEX(TablaEquipos[Badge],MATCH(K90,TablaEquipos[Team],0))</f>
        <v>#VALUE!</v>
      </c>
      <c r="K90" s="209" t="s">
        <v>32</v>
      </c>
      <c r="L90" s="97"/>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247" t="str">
        <f t="shared" si="7"/>
        <v>Local</v>
      </c>
      <c r="BI90" s="247"/>
      <c r="BJ90" s="247"/>
      <c r="BM90" s="248"/>
    </row>
    <row r="91" spans="1:65" ht="17.100000000000001" customHeight="1" thickBot="1">
      <c r="A91" s="222">
        <v>5</v>
      </c>
      <c r="B91" s="468">
        <f>Horarios!C91</f>
        <v>45987.875</v>
      </c>
      <c r="C91" s="469">
        <f>Horarios!C91</f>
        <v>45987.875</v>
      </c>
      <c r="D91" s="191" t="s">
        <v>58</v>
      </c>
      <c r="E91" s="79" t="e" vm="25">
        <f>INDEX(TablaEquipos[Badge],MATCH(D91,TablaEquipos[Team],0))</f>
        <v>#VALUE!</v>
      </c>
      <c r="F91" s="82"/>
      <c r="G91" s="470">
        <v>3</v>
      </c>
      <c r="H91" s="471">
        <v>0</v>
      </c>
      <c r="I91" s="472"/>
      <c r="J91" s="82" t="e" vm="29">
        <f>INDEX(TablaEquipos[Badge],MATCH(K91,TablaEquipos[Team],0))</f>
        <v>#VALUE!</v>
      </c>
      <c r="K91" s="403" t="s">
        <v>47</v>
      </c>
      <c r="L91" s="97"/>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247" t="str">
        <f t="shared" si="7"/>
        <v>Local</v>
      </c>
      <c r="BI91" s="247"/>
      <c r="BJ91" s="247"/>
      <c r="BM91" s="248"/>
    </row>
    <row r="92" spans="1:65" ht="17.100000000000001" customHeight="1" thickBot="1">
      <c r="A92" s="242">
        <v>6</v>
      </c>
      <c r="B92" s="479">
        <f>Horarios!C92</f>
        <v>46000.6875</v>
      </c>
      <c r="C92" s="480">
        <f>Horarios!C92</f>
        <v>46000.6875</v>
      </c>
      <c r="D92" s="193" t="s">
        <v>59</v>
      </c>
      <c r="E92" s="24" t="e" vm="36">
        <f>INDEX(TablaEquipos[Badge],MATCH(D92,TablaEquipos[Team],0))</f>
        <v>#VALUE!</v>
      </c>
      <c r="F92" s="107"/>
      <c r="G92" s="488">
        <v>0</v>
      </c>
      <c r="H92" s="489">
        <v>1</v>
      </c>
      <c r="I92" s="490"/>
      <c r="J92" s="26" t="e" vm="16">
        <f>INDEX(TablaEquipos[Badge],MATCH(K92,TablaEquipos[Team],0))</f>
        <v>#VALUE!</v>
      </c>
      <c r="K92" s="210" t="s">
        <v>34</v>
      </c>
      <c r="L92" s="267" t="s">
        <v>61</v>
      </c>
      <c r="M92" s="26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247" t="str">
        <f t="shared" si="7"/>
        <v>Visitante</v>
      </c>
      <c r="BI92" s="247"/>
      <c r="BJ92" s="247"/>
      <c r="BM92" s="248"/>
    </row>
    <row r="93" spans="1:65" ht="17.100000000000001" customHeight="1">
      <c r="A93" s="484">
        <v>6</v>
      </c>
      <c r="B93" s="479">
        <f>Horarios!C93</f>
        <v>46000.78125</v>
      </c>
      <c r="C93" s="480">
        <f>Horarios!C93</f>
        <v>46000.78125</v>
      </c>
      <c r="D93" s="193" t="s">
        <v>41</v>
      </c>
      <c r="E93" s="25" t="e" vm="5">
        <f>INDEX(TablaEquipos[Badge],MATCH(D93,TablaEquipos[Team],0))</f>
        <v>#VALUE!</v>
      </c>
      <c r="F93" s="106"/>
      <c r="G93" s="481">
        <v>3</v>
      </c>
      <c r="H93" s="485">
        <v>1</v>
      </c>
      <c r="I93" s="483"/>
      <c r="J93" s="26" t="e" vm="25">
        <f>INDEX(TablaEquipos[Badge],MATCH(K93,TablaEquipos[Team],0))</f>
        <v>#VALUE!</v>
      </c>
      <c r="K93" s="210" t="s">
        <v>58</v>
      </c>
      <c r="L93" s="97"/>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247" t="str">
        <f t="shared" si="7"/>
        <v>Local</v>
      </c>
      <c r="BI93" s="247"/>
      <c r="BJ93" s="247"/>
      <c r="BM93" s="248"/>
    </row>
    <row r="94" spans="1:65" ht="17.100000000000001" customHeight="1">
      <c r="A94" s="484">
        <v>6</v>
      </c>
      <c r="B94" s="479">
        <f>Horarios!C94</f>
        <v>46000.875</v>
      </c>
      <c r="C94" s="480">
        <f>Horarios!C94</f>
        <v>46000.875</v>
      </c>
      <c r="D94" s="193" t="s">
        <v>48</v>
      </c>
      <c r="E94" s="25" t="e" vm="37">
        <f>INDEX(TablaEquipos[Badge],MATCH(D94,TablaEquipos[Team],0))</f>
        <v>#VALUE!</v>
      </c>
      <c r="F94" s="106"/>
      <c r="G94" s="481">
        <v>1</v>
      </c>
      <c r="H94" s="485">
        <v>0</v>
      </c>
      <c r="I94" s="483"/>
      <c r="J94" s="26" t="e" vm="34">
        <f>INDEX(TablaEquipos[Badge],MATCH(K94,TablaEquipos[Team],0))</f>
        <v>#VALUE!</v>
      </c>
      <c r="K94" s="210" t="s">
        <v>52</v>
      </c>
      <c r="L94" s="97"/>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247" t="str">
        <f t="shared" si="7"/>
        <v>Local</v>
      </c>
      <c r="BI94" s="247"/>
      <c r="BJ94" s="247"/>
      <c r="BM94" s="248"/>
    </row>
    <row r="95" spans="1:65" ht="17.100000000000001" customHeight="1">
      <c r="A95" s="484">
        <v>6</v>
      </c>
      <c r="B95" s="479">
        <f>Horarios!C95</f>
        <v>46000.875</v>
      </c>
      <c r="C95" s="480">
        <f>Horarios!C95</f>
        <v>46000.875</v>
      </c>
      <c r="D95" s="193" t="s">
        <v>46</v>
      </c>
      <c r="E95" s="25" t="e" vm="28">
        <f>INDEX(TablaEquipos[Badge],MATCH(D95,TablaEquipos[Team],0))</f>
        <v>#VALUE!</v>
      </c>
      <c r="F95" s="106"/>
      <c r="G95" s="481">
        <v>2</v>
      </c>
      <c r="H95" s="485">
        <v>1</v>
      </c>
      <c r="I95" s="483"/>
      <c r="J95" s="26" t="e" vm="21">
        <f>INDEX(TablaEquipos[Badge],MATCH(K95,TablaEquipos[Team],0))</f>
        <v>#VALUE!</v>
      </c>
      <c r="K95" s="210" t="s">
        <v>42</v>
      </c>
      <c r="L95" s="97"/>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247" t="str">
        <f t="shared" si="7"/>
        <v>Local</v>
      </c>
      <c r="BI95" s="247"/>
      <c r="BJ95" s="247"/>
      <c r="BM95" s="248"/>
    </row>
    <row r="96" spans="1:65" ht="17.100000000000001" customHeight="1">
      <c r="A96" s="484">
        <v>6</v>
      </c>
      <c r="B96" s="479">
        <f>Horarios!C96</f>
        <v>46000.875</v>
      </c>
      <c r="C96" s="480">
        <f>Horarios!C96</f>
        <v>46000.875</v>
      </c>
      <c r="D96" s="193" t="s">
        <v>56</v>
      </c>
      <c r="E96" s="25" t="e" vm="24">
        <f>INDEX(TablaEquipos[Badge],MATCH(D96,TablaEquipos[Team],0))</f>
        <v>#VALUE!</v>
      </c>
      <c r="F96" s="106"/>
      <c r="G96" s="481">
        <v>2</v>
      </c>
      <c r="H96" s="485">
        <v>1</v>
      </c>
      <c r="I96" s="483"/>
      <c r="J96" s="26" t="e" vm="33">
        <f>INDEX(TablaEquipos[Badge],MATCH(K96,TablaEquipos[Team],0))</f>
        <v>#VALUE!</v>
      </c>
      <c r="K96" s="210" t="s">
        <v>51</v>
      </c>
      <c r="L96" s="97"/>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247" t="str">
        <f t="shared" si="7"/>
        <v>Local</v>
      </c>
      <c r="BI96" s="247"/>
      <c r="BJ96" s="247"/>
      <c r="BM96" s="248"/>
    </row>
    <row r="97" spans="1:65" ht="17.100000000000001" customHeight="1">
      <c r="A97" s="484">
        <v>6</v>
      </c>
      <c r="B97" s="479">
        <f>Horarios!C97</f>
        <v>46000.875</v>
      </c>
      <c r="C97" s="480">
        <f>Horarios!C97</f>
        <v>46000.875</v>
      </c>
      <c r="D97" s="193" t="s">
        <v>39</v>
      </c>
      <c r="E97" s="25" t="e" vm="23">
        <f>INDEX(TablaEquipos[Badge],MATCH(D97,TablaEquipos[Team],0))</f>
        <v>#VALUE!</v>
      </c>
      <c r="F97" s="106"/>
      <c r="G97" s="481">
        <v>0</v>
      </c>
      <c r="H97" s="485">
        <v>1</v>
      </c>
      <c r="I97" s="483"/>
      <c r="J97" s="26" t="e" vm="10">
        <f>INDEX(TablaEquipos[Badge],MATCH(K97,TablaEquipos[Team],0))</f>
        <v>#VALUE!</v>
      </c>
      <c r="K97" s="210" t="s">
        <v>43</v>
      </c>
      <c r="L97" s="97"/>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247" t="str">
        <f t="shared" si="7"/>
        <v>Visitante</v>
      </c>
      <c r="BI97" s="247"/>
      <c r="BJ97" s="247"/>
      <c r="BM97" s="248"/>
    </row>
    <row r="98" spans="1:65" ht="17.100000000000001" customHeight="1">
      <c r="A98" s="484">
        <v>6</v>
      </c>
      <c r="B98" s="479">
        <f>Horarios!C98</f>
        <v>46000.875</v>
      </c>
      <c r="C98" s="480">
        <f>Horarios!C98</f>
        <v>46000.875</v>
      </c>
      <c r="D98" s="193" t="s">
        <v>24</v>
      </c>
      <c r="E98" s="25" t="e" vm="3">
        <f>INDEX(TablaEquipos[Badge],MATCH(D98,TablaEquipos[Team],0))</f>
        <v>#VALUE!</v>
      </c>
      <c r="F98" s="106"/>
      <c r="G98" s="481">
        <v>2</v>
      </c>
      <c r="H98" s="485">
        <v>3</v>
      </c>
      <c r="I98" s="483"/>
      <c r="J98" s="26" t="e" vm="26">
        <f>INDEX(TablaEquipos[Badge],MATCH(K98,TablaEquipos[Team],0))</f>
        <v>#VALUE!</v>
      </c>
      <c r="K98" s="210" t="s">
        <v>44</v>
      </c>
      <c r="L98" s="97"/>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247" t="str">
        <f t="shared" si="7"/>
        <v>Visitante</v>
      </c>
      <c r="BI98" s="247"/>
      <c r="BJ98" s="247"/>
      <c r="BM98" s="248"/>
    </row>
    <row r="99" spans="1:65" ht="17.100000000000001" customHeight="1">
      <c r="A99" s="484">
        <v>6</v>
      </c>
      <c r="B99" s="479">
        <f>Horarios!C99</f>
        <v>46000.875</v>
      </c>
      <c r="C99" s="480">
        <f>Horarios!C99</f>
        <v>46000.875</v>
      </c>
      <c r="D99" s="193" t="s">
        <v>25</v>
      </c>
      <c r="E99" s="25" t="e" vm="4">
        <f>INDEX(TablaEquipos[Badge],MATCH(D99,TablaEquipos[Team],0))</f>
        <v>#VALUE!</v>
      </c>
      <c r="F99" s="106"/>
      <c r="G99" s="481">
        <v>2</v>
      </c>
      <c r="H99" s="485">
        <v>3</v>
      </c>
      <c r="I99" s="483"/>
      <c r="J99" s="26" t="e" vm="9">
        <f>INDEX(TablaEquipos[Badge],MATCH(K99,TablaEquipos[Team],0))</f>
        <v>#VALUE!</v>
      </c>
      <c r="K99" s="210" t="s">
        <v>29</v>
      </c>
      <c r="L99" s="97"/>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247" t="str">
        <f t="shared" si="7"/>
        <v>Visitante</v>
      </c>
      <c r="BI99" s="247"/>
      <c r="BJ99" s="247"/>
      <c r="BM99" s="248"/>
    </row>
    <row r="100" spans="1:65" ht="17.100000000000001" customHeight="1">
      <c r="A100" s="484">
        <v>6</v>
      </c>
      <c r="B100" s="479">
        <f>Horarios!C100</f>
        <v>46000.875</v>
      </c>
      <c r="C100" s="480">
        <f>Horarios!C100</f>
        <v>46000.875</v>
      </c>
      <c r="D100" s="193" t="s">
        <v>32</v>
      </c>
      <c r="E100" s="25" t="e" vm="13">
        <f>INDEX(TablaEquipos[Badge],MATCH(D100,TablaEquipos[Team],0))</f>
        <v>#VALUE!</v>
      </c>
      <c r="F100" s="106"/>
      <c r="G100" s="481">
        <v>3</v>
      </c>
      <c r="H100" s="485">
        <v>0</v>
      </c>
      <c r="I100" s="483"/>
      <c r="J100" s="26" t="e" vm="19">
        <f>INDEX(TablaEquipos[Badge],MATCH(K100,TablaEquipos[Team],0))</f>
        <v>#VALUE!</v>
      </c>
      <c r="K100" s="210" t="s">
        <v>36</v>
      </c>
      <c r="L100" s="97"/>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247" t="str">
        <f t="shared" si="7"/>
        <v>Local</v>
      </c>
      <c r="BI100" s="247"/>
      <c r="BJ100" s="247"/>
      <c r="BM100" s="248"/>
    </row>
    <row r="101" spans="1:65" ht="17.100000000000001" customHeight="1">
      <c r="A101" s="484">
        <v>6</v>
      </c>
      <c r="B101" s="479">
        <f>Horarios!C101</f>
        <v>46001.78125</v>
      </c>
      <c r="C101" s="480">
        <f>Horarios!C101</f>
        <v>46001.78125</v>
      </c>
      <c r="D101" s="193" t="s">
        <v>31</v>
      </c>
      <c r="E101" s="25" t="e" vm="12">
        <f>INDEX(TablaEquipos[Badge],MATCH(D101,TablaEquipos[Team],0))</f>
        <v>#VALUE!</v>
      </c>
      <c r="F101" s="106"/>
      <c r="G101" s="481">
        <v>2</v>
      </c>
      <c r="H101" s="485">
        <v>4</v>
      </c>
      <c r="I101" s="483"/>
      <c r="J101" s="26" t="e" vm="22">
        <f>INDEX(TablaEquipos[Badge],MATCH(K101,TablaEquipos[Team],0))</f>
        <v>#VALUE!</v>
      </c>
      <c r="K101" s="210" t="s">
        <v>38</v>
      </c>
      <c r="L101" s="97"/>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247" t="str">
        <f t="shared" si="7"/>
        <v>Visitante</v>
      </c>
      <c r="BI101" s="247"/>
      <c r="BJ101" s="247"/>
      <c r="BM101" s="248"/>
    </row>
    <row r="102" spans="1:65" ht="17.100000000000001" customHeight="1">
      <c r="A102" s="484">
        <v>6</v>
      </c>
      <c r="B102" s="479">
        <f>Horarios!C102</f>
        <v>46001.78125</v>
      </c>
      <c r="C102" s="480">
        <f>Horarios!C102</f>
        <v>46001.78125</v>
      </c>
      <c r="D102" s="193" t="s">
        <v>33</v>
      </c>
      <c r="E102" s="25" t="e" vm="14">
        <f>INDEX(TablaEquipos[Badge],MATCH(D102,TablaEquipos[Team],0))</f>
        <v>#VALUE!</v>
      </c>
      <c r="F102" s="106"/>
      <c r="G102" s="481">
        <v>2</v>
      </c>
      <c r="H102" s="485">
        <v>3</v>
      </c>
      <c r="I102" s="483"/>
      <c r="J102" s="26" t="e" vm="31">
        <f>INDEX(TablaEquipos[Badge],MATCH(K102,TablaEquipos[Team],0))</f>
        <v>#VALUE!</v>
      </c>
      <c r="K102" s="210" t="s">
        <v>49</v>
      </c>
      <c r="L102" s="97"/>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247" t="str">
        <f t="shared" si="7"/>
        <v>Visitante</v>
      </c>
      <c r="BI102" s="247"/>
      <c r="BJ102" s="247"/>
      <c r="BM102" s="248"/>
    </row>
    <row r="103" spans="1:65" ht="17.100000000000001" customHeight="1">
      <c r="A103" s="484">
        <v>6</v>
      </c>
      <c r="B103" s="479">
        <f>Horarios!C103</f>
        <v>46001.875</v>
      </c>
      <c r="C103" s="480">
        <f>Horarios!C103</f>
        <v>46001.875</v>
      </c>
      <c r="D103" s="193" t="s">
        <v>22</v>
      </c>
      <c r="E103" s="25" t="e" vm="1">
        <f>INDEX(TablaEquipos[Badge],MATCH(D103,TablaEquipos[Team],0))</f>
        <v>#VALUE!</v>
      </c>
      <c r="F103" s="106"/>
      <c r="G103" s="481">
        <v>0</v>
      </c>
      <c r="H103" s="485">
        <v>0</v>
      </c>
      <c r="I103" s="483"/>
      <c r="J103" s="26" t="e" vm="15">
        <f>INDEX(TablaEquipos[Badge],MATCH(K103,TablaEquipos[Team],0))</f>
        <v>#VALUE!</v>
      </c>
      <c r="K103" s="210" t="s">
        <v>45</v>
      </c>
      <c r="L103" s="97"/>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247" t="str">
        <f t="shared" si="7"/>
        <v>Empate</v>
      </c>
      <c r="BI103" s="247"/>
      <c r="BJ103" s="247"/>
      <c r="BM103" s="248"/>
    </row>
    <row r="104" spans="1:65" ht="17.100000000000001" customHeight="1">
      <c r="A104" s="484">
        <v>6</v>
      </c>
      <c r="B104" s="479">
        <f>Horarios!C104</f>
        <v>46001.875</v>
      </c>
      <c r="C104" s="480">
        <f>Horarios!C104</f>
        <v>46001.875</v>
      </c>
      <c r="D104" s="193" t="s">
        <v>50</v>
      </c>
      <c r="E104" s="25" t="e" vm="32">
        <f>INDEX(TablaEquipos[Badge],MATCH(D104,TablaEquipos[Team],0))</f>
        <v>#VALUE!</v>
      </c>
      <c r="F104" s="106"/>
      <c r="G104" s="481">
        <v>2</v>
      </c>
      <c r="H104" s="485">
        <v>2</v>
      </c>
      <c r="I104" s="483"/>
      <c r="J104" s="26" t="e" vm="18">
        <f>INDEX(TablaEquipos[Badge],MATCH(K104,TablaEquipos[Team],0))</f>
        <v>#VALUE!</v>
      </c>
      <c r="K104" s="210" t="s">
        <v>55</v>
      </c>
      <c r="L104" s="97"/>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247" t="str">
        <f t="shared" si="7"/>
        <v>Empate</v>
      </c>
      <c r="BI104" s="247"/>
      <c r="BJ104" s="247"/>
      <c r="BM104" s="248"/>
    </row>
    <row r="105" spans="1:65" ht="17.100000000000001" customHeight="1">
      <c r="A105" s="484">
        <v>6</v>
      </c>
      <c r="B105" s="479">
        <f>Horarios!C105</f>
        <v>46001.875</v>
      </c>
      <c r="C105" s="480">
        <f>Horarios!C105</f>
        <v>46001.875</v>
      </c>
      <c r="D105" s="193" t="s">
        <v>27</v>
      </c>
      <c r="E105" s="25" t="e" vm="7">
        <f>INDEX(TablaEquipos[Badge],MATCH(D105,TablaEquipos[Team],0))</f>
        <v>#VALUE!</v>
      </c>
      <c r="F105" s="106"/>
      <c r="G105" s="481">
        <v>2</v>
      </c>
      <c r="H105" s="485">
        <v>2</v>
      </c>
      <c r="I105" s="483"/>
      <c r="J105" s="26" t="e" vm="20">
        <f>INDEX(TablaEquipos[Badge],MATCH(K105,TablaEquipos[Team],0))</f>
        <v>#VALUE!</v>
      </c>
      <c r="K105" s="210" t="s">
        <v>37</v>
      </c>
      <c r="L105" s="97"/>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247" t="str">
        <f t="shared" si="7"/>
        <v>Empate</v>
      </c>
      <c r="BI105" s="247"/>
      <c r="BJ105" s="247"/>
      <c r="BM105" s="248"/>
    </row>
    <row r="106" spans="1:65" ht="17.100000000000001" customHeight="1">
      <c r="A106" s="484">
        <v>6</v>
      </c>
      <c r="B106" s="479">
        <f>Horarios!C106</f>
        <v>46001.875</v>
      </c>
      <c r="C106" s="480">
        <f>Horarios!C106</f>
        <v>46001.875</v>
      </c>
      <c r="D106" s="193" t="s">
        <v>47</v>
      </c>
      <c r="E106" s="25" t="e" vm="29">
        <f>INDEX(TablaEquipos[Badge],MATCH(D106,TablaEquipos[Team],0))</f>
        <v>#VALUE!</v>
      </c>
      <c r="F106" s="106"/>
      <c r="G106" s="481">
        <v>0</v>
      </c>
      <c r="H106" s="485">
        <v>3</v>
      </c>
      <c r="I106" s="483"/>
      <c r="J106" s="26" t="e" vm="2">
        <f>INDEX(TablaEquipos[Badge],MATCH(K106,TablaEquipos[Team],0))</f>
        <v>#VALUE!</v>
      </c>
      <c r="K106" s="210" t="s">
        <v>23</v>
      </c>
      <c r="L106" s="97"/>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247" t="str">
        <f t="shared" si="7"/>
        <v>Visitante</v>
      </c>
      <c r="BI106" s="247"/>
      <c r="BJ106" s="247"/>
      <c r="BM106" s="248"/>
    </row>
    <row r="107" spans="1:65" ht="17.100000000000001" customHeight="1">
      <c r="A107" s="484">
        <v>6</v>
      </c>
      <c r="B107" s="479">
        <f>Horarios!C107</f>
        <v>46001.875</v>
      </c>
      <c r="C107" s="480">
        <f>Horarios!C107</f>
        <v>46001.875</v>
      </c>
      <c r="D107" s="193" t="s">
        <v>26</v>
      </c>
      <c r="E107" s="25" t="e" vm="6">
        <f>INDEX(TablaEquipos[Badge],MATCH(D107,TablaEquipos[Team],0))</f>
        <v>#VALUE!</v>
      </c>
      <c r="F107" s="106"/>
      <c r="G107" s="481">
        <v>2</v>
      </c>
      <c r="H107" s="485">
        <v>0</v>
      </c>
      <c r="I107" s="483"/>
      <c r="J107" s="26" t="e" vm="17">
        <f>INDEX(TablaEquipos[Badge],MATCH(K107,TablaEquipos[Team],0))</f>
        <v>#VALUE!</v>
      </c>
      <c r="K107" s="210" t="s">
        <v>35</v>
      </c>
      <c r="L107" s="97"/>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247" t="str">
        <f t="shared" si="7"/>
        <v>Local</v>
      </c>
      <c r="BI107" s="247"/>
      <c r="BJ107" s="247"/>
      <c r="BM107" s="248"/>
    </row>
    <row r="108" spans="1:65" ht="17.100000000000001" customHeight="1">
      <c r="A108" s="484">
        <v>6</v>
      </c>
      <c r="B108" s="479">
        <f>Horarios!C108</f>
        <v>46001.875</v>
      </c>
      <c r="C108" s="480">
        <f>Horarios!C108</f>
        <v>46001.875</v>
      </c>
      <c r="D108" s="193" t="s">
        <v>28</v>
      </c>
      <c r="E108" s="25" t="e" vm="8">
        <f>INDEX(TablaEquipos[Badge],MATCH(D108,TablaEquipos[Team],0))</f>
        <v>#VALUE!</v>
      </c>
      <c r="F108" s="106"/>
      <c r="G108" s="481">
        <v>1</v>
      </c>
      <c r="H108" s="485">
        <v>2</v>
      </c>
      <c r="I108" s="483"/>
      <c r="J108" s="26" t="e" vm="27">
        <f>INDEX(TablaEquipos[Badge],MATCH(K108,TablaEquipos[Team],0))</f>
        <v>#VALUE!</v>
      </c>
      <c r="K108" s="210" t="s">
        <v>53</v>
      </c>
      <c r="L108" s="97"/>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247" t="str">
        <f t="shared" si="7"/>
        <v>Visitante</v>
      </c>
      <c r="BI108" s="247"/>
      <c r="BJ108" s="247"/>
      <c r="BM108" s="248"/>
    </row>
    <row r="109" spans="1:65" ht="17.100000000000001" customHeight="1" thickBot="1">
      <c r="A109" s="491">
        <v>6</v>
      </c>
      <c r="B109" s="492">
        <f>Horarios!C109</f>
        <v>46001.875</v>
      </c>
      <c r="C109" s="493">
        <f>Horarios!C109</f>
        <v>46001.875</v>
      </c>
      <c r="D109" s="194" t="s">
        <v>30</v>
      </c>
      <c r="E109" s="78" t="e" vm="11">
        <f>INDEX(TablaEquipos[Badge],MATCH(D109,TablaEquipos[Team],0))</f>
        <v>#VALUE!</v>
      </c>
      <c r="F109" s="111"/>
      <c r="G109" s="494">
        <v>2</v>
      </c>
      <c r="H109" s="495">
        <v>0</v>
      </c>
      <c r="I109" s="496"/>
      <c r="J109" s="85" t="e" vm="35">
        <f>INDEX(TablaEquipos[Badge],MATCH(K109,TablaEquipos[Team],0))</f>
        <v>#VALUE!</v>
      </c>
      <c r="K109" s="404" t="s">
        <v>54</v>
      </c>
      <c r="L109" s="97"/>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247" t="str">
        <f t="shared" si="7"/>
        <v>Local</v>
      </c>
      <c r="BI109" s="247"/>
      <c r="BJ109" s="247"/>
      <c r="BM109" s="248"/>
    </row>
    <row r="110" spans="1:65" ht="17.100000000000001" customHeight="1" thickBot="1">
      <c r="A110" s="222">
        <v>7</v>
      </c>
      <c r="B110" s="497">
        <f>Horarios!C110</f>
        <v>46042.6875</v>
      </c>
      <c r="C110" s="469">
        <f>Horarios!C110</f>
        <v>46042.6875</v>
      </c>
      <c r="D110" s="191" t="s">
        <v>59</v>
      </c>
      <c r="E110" s="79" t="e" vm="36">
        <f>INDEX(TablaEquipos[Badge],MATCH(D110,TablaEquipos[Team],0))</f>
        <v>#VALUE!</v>
      </c>
      <c r="F110" s="82"/>
      <c r="G110" s="470">
        <v>1</v>
      </c>
      <c r="H110" s="471">
        <v>4</v>
      </c>
      <c r="I110" s="472"/>
      <c r="J110" s="82" t="e" vm="29">
        <f>INDEX(TablaEquipos[Badge],MATCH(K110,TablaEquipos[Team],0))</f>
        <v>#VALUE!</v>
      </c>
      <c r="K110" s="403" t="s">
        <v>47</v>
      </c>
      <c r="L110" s="267" t="s">
        <v>61</v>
      </c>
      <c r="M110" s="26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247" t="str">
        <f t="shared" si="7"/>
        <v>Visitante</v>
      </c>
      <c r="BI110" s="247"/>
      <c r="BJ110" s="247"/>
      <c r="BM110" s="248"/>
    </row>
    <row r="111" spans="1:65" ht="17.100000000000001" customHeight="1">
      <c r="A111" s="222">
        <v>7</v>
      </c>
      <c r="B111" s="497">
        <f>Horarios!C111</f>
        <v>46042.78125</v>
      </c>
      <c r="C111" s="469">
        <f>Horarios!C111</f>
        <v>46042.78125</v>
      </c>
      <c r="D111" s="191" t="s">
        <v>37</v>
      </c>
      <c r="E111" s="79" t="e" vm="20">
        <f>INDEX(TablaEquipos[Badge],MATCH(D111,TablaEquipos[Team],0))</f>
        <v>#VALUE!</v>
      </c>
      <c r="F111" s="82"/>
      <c r="G111" s="470">
        <v>3</v>
      </c>
      <c r="H111" s="471">
        <v>1</v>
      </c>
      <c r="I111" s="472"/>
      <c r="J111" s="82" t="e" vm="27">
        <f>INDEX(TablaEquipos[Badge],MATCH(K111,TablaEquipos[Team],0))</f>
        <v>#VALUE!</v>
      </c>
      <c r="K111" s="403" t="s">
        <v>53</v>
      </c>
      <c r="L111" s="97"/>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c r="BA111" s="74"/>
      <c r="BB111" s="74"/>
      <c r="BC111" s="74"/>
      <c r="BD111" s="74"/>
      <c r="BE111" s="74"/>
      <c r="BF111" s="247" t="str">
        <f t="shared" si="7"/>
        <v>Local</v>
      </c>
      <c r="BI111" s="247"/>
      <c r="BJ111" s="247"/>
      <c r="BM111" s="248"/>
    </row>
    <row r="112" spans="1:65" ht="17.100000000000001" customHeight="1">
      <c r="A112" s="473">
        <v>7</v>
      </c>
      <c r="B112" s="498">
        <f>Horarios!C112</f>
        <v>46042.875</v>
      </c>
      <c r="C112" s="475">
        <f>Horarios!C112</f>
        <v>46042.875</v>
      </c>
      <c r="D112" s="192" t="s">
        <v>49</v>
      </c>
      <c r="E112" s="80" t="e" vm="31">
        <f>INDEX(TablaEquipos[Badge],MATCH(D112,TablaEquipos[Team],0))</f>
        <v>#VALUE!</v>
      </c>
      <c r="F112" s="81"/>
      <c r="G112" s="476">
        <v>1</v>
      </c>
      <c r="H112" s="477">
        <v>1</v>
      </c>
      <c r="I112" s="478"/>
      <c r="J112" s="81" t="e" vm="35">
        <f>INDEX(TablaEquipos[Badge],MATCH(K112,TablaEquipos[Team],0))</f>
        <v>#VALUE!</v>
      </c>
      <c r="K112" s="209" t="s">
        <v>54</v>
      </c>
      <c r="L112" s="97"/>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247" t="str">
        <f t="shared" si="7"/>
        <v>Empate</v>
      </c>
      <c r="BI112" s="247"/>
      <c r="BJ112" s="247"/>
      <c r="BM112" s="248"/>
    </row>
    <row r="113" spans="1:65" ht="17.100000000000001" customHeight="1">
      <c r="A113" s="222">
        <v>7</v>
      </c>
      <c r="B113" s="497">
        <f>Horarios!C113</f>
        <v>46042.875</v>
      </c>
      <c r="C113" s="469">
        <f>Horarios!C113</f>
        <v>46042.875</v>
      </c>
      <c r="D113" s="191" t="s">
        <v>39</v>
      </c>
      <c r="E113" s="79" t="e" vm="23">
        <f>INDEX(TablaEquipos[Badge],MATCH(D113,TablaEquipos[Team],0))</f>
        <v>#VALUE!</v>
      </c>
      <c r="F113" s="82"/>
      <c r="G113" s="470">
        <v>1</v>
      </c>
      <c r="H113" s="471">
        <v>3</v>
      </c>
      <c r="I113" s="472"/>
      <c r="J113" s="82" t="e" vm="2">
        <f>INDEX(TablaEquipos[Badge],MATCH(K113,TablaEquipos[Team],0))</f>
        <v>#VALUE!</v>
      </c>
      <c r="K113" s="403" t="s">
        <v>23</v>
      </c>
      <c r="L113" s="97"/>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247" t="str">
        <f t="shared" si="7"/>
        <v>Visitante</v>
      </c>
      <c r="BI113" s="247"/>
      <c r="BJ113" s="247"/>
      <c r="BM113" s="248"/>
    </row>
    <row r="114" spans="1:65" ht="17.100000000000001" customHeight="1">
      <c r="A114" s="473">
        <v>7</v>
      </c>
      <c r="B114" s="498">
        <f>Horarios!C114</f>
        <v>46042.875</v>
      </c>
      <c r="C114" s="475">
        <f>Horarios!C114</f>
        <v>46042.875</v>
      </c>
      <c r="D114" s="192" t="s">
        <v>34</v>
      </c>
      <c r="E114" s="80" t="e" vm="16">
        <f>INDEX(TablaEquipos[Badge],MATCH(D114,TablaEquipos[Team],0))</f>
        <v>#VALUE!</v>
      </c>
      <c r="F114" s="81"/>
      <c r="G114" s="476">
        <v>2</v>
      </c>
      <c r="H114" s="477">
        <v>0</v>
      </c>
      <c r="I114" s="478"/>
      <c r="J114" s="81" t="e" vm="32">
        <f>INDEX(TablaEquipos[Badge],MATCH(K114,TablaEquipos[Team],0))</f>
        <v>#VALUE!</v>
      </c>
      <c r="K114" s="209" t="s">
        <v>50</v>
      </c>
      <c r="L114" s="97"/>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247" t="str">
        <f t="shared" si="7"/>
        <v>Local</v>
      </c>
      <c r="BI114" s="247"/>
      <c r="BJ114" s="247"/>
      <c r="BM114" s="248"/>
    </row>
    <row r="115" spans="1:65" ht="17.100000000000001" customHeight="1">
      <c r="A115" s="222">
        <v>7</v>
      </c>
      <c r="B115" s="497">
        <f>Horarios!C115</f>
        <v>46042.875</v>
      </c>
      <c r="C115" s="469">
        <f>Horarios!C115</f>
        <v>46042.875</v>
      </c>
      <c r="D115" s="191" t="s">
        <v>28</v>
      </c>
      <c r="E115" s="79" t="e" vm="8">
        <f>INDEX(TablaEquipos[Badge],MATCH(D115,TablaEquipos[Team],0))</f>
        <v>#VALUE!</v>
      </c>
      <c r="F115" s="82"/>
      <c r="G115" s="470">
        <v>6</v>
      </c>
      <c r="H115" s="471">
        <v>1</v>
      </c>
      <c r="I115" s="472"/>
      <c r="J115" s="82" t="e" vm="37">
        <f>INDEX(TablaEquipos[Badge],MATCH(K115,TablaEquipos[Team],0))</f>
        <v>#VALUE!</v>
      </c>
      <c r="K115" s="403" t="s">
        <v>48</v>
      </c>
      <c r="L115" s="97"/>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247" t="str">
        <f t="shared" si="7"/>
        <v>Local</v>
      </c>
      <c r="BI115" s="247"/>
      <c r="BJ115" s="247"/>
      <c r="BM115" s="248"/>
    </row>
    <row r="116" spans="1:65" ht="17.100000000000001" customHeight="1">
      <c r="A116" s="473">
        <v>7</v>
      </c>
      <c r="B116" s="498">
        <f>Horarios!C116</f>
        <v>46042.875</v>
      </c>
      <c r="C116" s="475">
        <f>Horarios!C116</f>
        <v>46042.875</v>
      </c>
      <c r="D116" s="192" t="s">
        <v>58</v>
      </c>
      <c r="E116" s="80" t="e" vm="25">
        <f>INDEX(TablaEquipos[Badge],MATCH(D116,TablaEquipos[Team],0))</f>
        <v>#VALUE!</v>
      </c>
      <c r="F116" s="81"/>
      <c r="G116" s="476">
        <v>2</v>
      </c>
      <c r="H116" s="477">
        <v>1</v>
      </c>
      <c r="I116" s="478"/>
      <c r="J116" s="81" t="e" vm="15">
        <f>INDEX(TablaEquipos[Badge],MATCH(K116,TablaEquipos[Team],0))</f>
        <v>#VALUE!</v>
      </c>
      <c r="K116" s="209" t="s">
        <v>45</v>
      </c>
      <c r="L116" s="97"/>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247" t="str">
        <f t="shared" si="7"/>
        <v>Local</v>
      </c>
      <c r="BI116" s="247"/>
      <c r="BJ116" s="247"/>
      <c r="BM116" s="248"/>
    </row>
    <row r="117" spans="1:65" ht="17.100000000000001" customHeight="1">
      <c r="A117" s="222">
        <v>7</v>
      </c>
      <c r="B117" s="497">
        <f>Horarios!C117</f>
        <v>46042.875</v>
      </c>
      <c r="C117" s="469">
        <f>Horarios!C117</f>
        <v>46042.875</v>
      </c>
      <c r="D117" s="191" t="s">
        <v>32</v>
      </c>
      <c r="E117" s="79" t="e" vm="13">
        <f>INDEX(TablaEquipos[Badge],MATCH(D117,TablaEquipos[Team],0))</f>
        <v>#VALUE!</v>
      </c>
      <c r="F117" s="82"/>
      <c r="G117" s="470">
        <v>2</v>
      </c>
      <c r="H117" s="471">
        <v>0</v>
      </c>
      <c r="I117" s="472"/>
      <c r="J117" s="82" t="e" vm="7">
        <f>INDEX(TablaEquipos[Badge],MATCH(K117,TablaEquipos[Team],0))</f>
        <v>#VALUE!</v>
      </c>
      <c r="K117" s="403" t="s">
        <v>27</v>
      </c>
      <c r="L117" s="97"/>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c r="BA117" s="74"/>
      <c r="BB117" s="74"/>
      <c r="BC117" s="74"/>
      <c r="BD117" s="74"/>
      <c r="BE117" s="74"/>
      <c r="BF117" s="247" t="str">
        <f t="shared" si="7"/>
        <v>Local</v>
      </c>
      <c r="BI117" s="247"/>
      <c r="BJ117" s="247"/>
      <c r="BM117" s="248"/>
    </row>
    <row r="118" spans="1:65" ht="17.100000000000001" customHeight="1">
      <c r="A118" s="473">
        <v>7</v>
      </c>
      <c r="B118" s="498">
        <f>Horarios!C118</f>
        <v>46042.875</v>
      </c>
      <c r="C118" s="475">
        <f>Horarios!C118</f>
        <v>46042.875</v>
      </c>
      <c r="D118" s="192" t="s">
        <v>33</v>
      </c>
      <c r="E118" s="80" t="e" vm="14">
        <f>INDEX(TablaEquipos[Badge],MATCH(D118,TablaEquipos[Team],0))</f>
        <v>#VALUE!</v>
      </c>
      <c r="F118" s="81"/>
      <c r="G118" s="476">
        <v>1</v>
      </c>
      <c r="H118" s="477">
        <v>2</v>
      </c>
      <c r="I118" s="478"/>
      <c r="J118" s="81" t="e" vm="22">
        <f>INDEX(TablaEquipos[Badge],MATCH(K118,TablaEquipos[Team],0))</f>
        <v>#VALUE!</v>
      </c>
      <c r="K118" s="209" t="s">
        <v>38</v>
      </c>
      <c r="L118" s="97"/>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247" t="str">
        <f t="shared" si="7"/>
        <v>Visitante</v>
      </c>
      <c r="BI118" s="247"/>
      <c r="BJ118" s="247"/>
      <c r="BM118" s="248"/>
    </row>
    <row r="119" spans="1:65" ht="17.100000000000001" customHeight="1">
      <c r="A119" s="222">
        <v>7</v>
      </c>
      <c r="B119" s="497">
        <f>Horarios!C119</f>
        <v>46043.78125</v>
      </c>
      <c r="C119" s="469">
        <f>Horarios!C119</f>
        <v>46043.78125</v>
      </c>
      <c r="D119" s="191" t="s">
        <v>52</v>
      </c>
      <c r="E119" s="79" t="e" vm="34">
        <f>INDEX(TablaEquipos[Badge],MATCH(D119,TablaEquipos[Team],0))</f>
        <v>#VALUE!</v>
      </c>
      <c r="F119" s="82"/>
      <c r="G119" s="470">
        <v>1</v>
      </c>
      <c r="H119" s="471">
        <v>1</v>
      </c>
      <c r="I119" s="472"/>
      <c r="J119" s="82" t="e" vm="26">
        <f>INDEX(TablaEquipos[Badge],MATCH(K119,TablaEquipos[Team],0))</f>
        <v>#VALUE!</v>
      </c>
      <c r="K119" s="403" t="s">
        <v>44</v>
      </c>
      <c r="L119" s="97"/>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74"/>
      <c r="BE119" s="74"/>
      <c r="BF119" s="247" t="str">
        <f t="shared" si="7"/>
        <v>Empate</v>
      </c>
      <c r="BI119" s="247"/>
      <c r="BJ119" s="247"/>
      <c r="BM119" s="248"/>
    </row>
    <row r="120" spans="1:65" ht="17.100000000000001" customHeight="1">
      <c r="A120" s="473">
        <v>7</v>
      </c>
      <c r="B120" s="498">
        <f>Horarios!C120</f>
        <v>46043.78125</v>
      </c>
      <c r="C120" s="475">
        <f>Horarios!C120</f>
        <v>46043.78125</v>
      </c>
      <c r="D120" s="192" t="s">
        <v>31</v>
      </c>
      <c r="E120" s="80" t="e" vm="12">
        <f>INDEX(TablaEquipos[Badge],MATCH(D120,TablaEquipos[Team],0))</f>
        <v>#VALUE!</v>
      </c>
      <c r="F120" s="81"/>
      <c r="G120" s="476">
        <v>3</v>
      </c>
      <c r="H120" s="477">
        <v>2</v>
      </c>
      <c r="I120" s="478"/>
      <c r="J120" s="81" t="e" vm="33">
        <f>INDEX(TablaEquipos[Badge],MATCH(K120,TablaEquipos[Team],0))</f>
        <v>#VALUE!</v>
      </c>
      <c r="K120" s="209" t="s">
        <v>51</v>
      </c>
      <c r="L120" s="97"/>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74"/>
      <c r="BE120" s="74"/>
      <c r="BF120" s="247" t="str">
        <f t="shared" si="7"/>
        <v>Local</v>
      </c>
      <c r="BI120" s="247"/>
      <c r="BJ120" s="247"/>
      <c r="BM120" s="248"/>
    </row>
    <row r="121" spans="1:65" ht="17.100000000000001" customHeight="1">
      <c r="A121" s="222">
        <v>7</v>
      </c>
      <c r="B121" s="497">
        <f>Horarios!C121</f>
        <v>46043.875</v>
      </c>
      <c r="C121" s="469">
        <f>Horarios!C121</f>
        <v>46043.875</v>
      </c>
      <c r="D121" s="191" t="s">
        <v>46</v>
      </c>
      <c r="E121" s="79" t="e" vm="28">
        <f>INDEX(TablaEquipos[Badge],MATCH(D121,TablaEquipos[Team],0))</f>
        <v>#VALUE!</v>
      </c>
      <c r="F121" s="82"/>
      <c r="G121" s="470">
        <v>2</v>
      </c>
      <c r="H121" s="471">
        <v>3</v>
      </c>
      <c r="I121" s="472"/>
      <c r="J121" s="82" t="e" vm="1">
        <f>INDEX(TablaEquipos[Badge],MATCH(K121,TablaEquipos[Team],0))</f>
        <v>#VALUE!</v>
      </c>
      <c r="K121" s="403" t="s">
        <v>22</v>
      </c>
      <c r="L121" s="97"/>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247" t="str">
        <f t="shared" si="7"/>
        <v>Visitante</v>
      </c>
      <c r="BI121" s="247"/>
      <c r="BJ121" s="247"/>
      <c r="BM121" s="248"/>
    </row>
    <row r="122" spans="1:65" ht="17.100000000000001" customHeight="1">
      <c r="A122" s="473">
        <v>7</v>
      </c>
      <c r="B122" s="498">
        <f>Horarios!C122</f>
        <v>46043.875</v>
      </c>
      <c r="C122" s="475">
        <f>Horarios!C122</f>
        <v>46043.875</v>
      </c>
      <c r="D122" s="192" t="s">
        <v>42</v>
      </c>
      <c r="E122" s="80" t="e" vm="21">
        <f>INDEX(TablaEquipos[Badge],MATCH(D122,TablaEquipos[Team],0))</f>
        <v>#VALUE!</v>
      </c>
      <c r="F122" s="81"/>
      <c r="G122" s="476">
        <v>1</v>
      </c>
      <c r="H122" s="477">
        <v>0</v>
      </c>
      <c r="I122" s="478"/>
      <c r="J122" s="81" t="e" vm="17">
        <f>INDEX(TablaEquipos[Badge],MATCH(K122,TablaEquipos[Team],0))</f>
        <v>#VALUE!</v>
      </c>
      <c r="K122" s="209" t="s">
        <v>35</v>
      </c>
      <c r="L122" s="97"/>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247" t="str">
        <f t="shared" si="7"/>
        <v>Local</v>
      </c>
      <c r="BI122" s="247"/>
      <c r="BJ122" s="247"/>
      <c r="BM122" s="248"/>
    </row>
    <row r="123" spans="1:65" ht="17.100000000000001" customHeight="1">
      <c r="A123" s="222">
        <v>7</v>
      </c>
      <c r="B123" s="497">
        <f>Horarios!C123</f>
        <v>46043.875</v>
      </c>
      <c r="C123" s="469">
        <f>Horarios!C123</f>
        <v>46043.875</v>
      </c>
      <c r="D123" s="191" t="s">
        <v>41</v>
      </c>
      <c r="E123" s="79" t="e" vm="5">
        <f>INDEX(TablaEquipos[Badge],MATCH(D123,TablaEquipos[Team],0))</f>
        <v>#VALUE!</v>
      </c>
      <c r="F123" s="82"/>
      <c r="G123" s="470">
        <v>2</v>
      </c>
      <c r="H123" s="471">
        <v>0</v>
      </c>
      <c r="I123" s="472"/>
      <c r="J123" s="82" t="e" vm="4">
        <f>INDEX(TablaEquipos[Badge],MATCH(K123,TablaEquipos[Team],0))</f>
        <v>#VALUE!</v>
      </c>
      <c r="K123" s="403" t="s">
        <v>25</v>
      </c>
      <c r="L123" s="97"/>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74"/>
      <c r="BC123" s="74"/>
      <c r="BD123" s="74"/>
      <c r="BE123" s="74"/>
      <c r="BF123" s="247" t="str">
        <f t="shared" si="7"/>
        <v>Local</v>
      </c>
      <c r="BI123" s="247"/>
      <c r="BJ123" s="247"/>
      <c r="BM123" s="248"/>
    </row>
    <row r="124" spans="1:65" ht="17.100000000000001" customHeight="1">
      <c r="A124" s="473">
        <v>7</v>
      </c>
      <c r="B124" s="498">
        <f>Horarios!C124</f>
        <v>46043.875</v>
      </c>
      <c r="C124" s="475">
        <f>Horarios!C124</f>
        <v>46043.875</v>
      </c>
      <c r="D124" s="192" t="s">
        <v>26</v>
      </c>
      <c r="E124" s="80" t="e" vm="6">
        <f>INDEX(TablaEquipos[Badge],MATCH(D124,TablaEquipos[Team],0))</f>
        <v>#VALUE!</v>
      </c>
      <c r="F124" s="81"/>
      <c r="G124" s="476">
        <v>2</v>
      </c>
      <c r="H124" s="477">
        <v>0</v>
      </c>
      <c r="I124" s="478"/>
      <c r="J124" s="81" t="e" vm="11">
        <f>INDEX(TablaEquipos[Badge],MATCH(K124,TablaEquipos[Team],0))</f>
        <v>#VALUE!</v>
      </c>
      <c r="K124" s="209" t="s">
        <v>30</v>
      </c>
      <c r="L124" s="97"/>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247" t="str">
        <f t="shared" si="7"/>
        <v>Local</v>
      </c>
      <c r="BI124" s="247"/>
      <c r="BJ124" s="247"/>
      <c r="BM124" s="248"/>
    </row>
    <row r="125" spans="1:65" ht="17.100000000000001" customHeight="1">
      <c r="A125" s="222">
        <v>7</v>
      </c>
      <c r="B125" s="497">
        <f>Horarios!C125</f>
        <v>46043.875</v>
      </c>
      <c r="C125" s="469">
        <f>Horarios!C125</f>
        <v>46043.875</v>
      </c>
      <c r="D125" s="191" t="s">
        <v>55</v>
      </c>
      <c r="E125" s="79" t="e" vm="18">
        <f>INDEX(TablaEquipos[Badge],MATCH(D125,TablaEquipos[Team],0))</f>
        <v>#VALUE!</v>
      </c>
      <c r="F125" s="82"/>
      <c r="G125" s="470">
        <v>3</v>
      </c>
      <c r="H125" s="471">
        <v>0</v>
      </c>
      <c r="I125" s="472"/>
      <c r="J125" s="82" t="e" vm="3">
        <f>INDEX(TablaEquipos[Badge],MATCH(K125,TablaEquipos[Team],0))</f>
        <v>#VALUE!</v>
      </c>
      <c r="K125" s="403" t="s">
        <v>24</v>
      </c>
      <c r="L125" s="97"/>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c r="BA125" s="74"/>
      <c r="BB125" s="74"/>
      <c r="BC125" s="74"/>
      <c r="BD125" s="74"/>
      <c r="BE125" s="74"/>
      <c r="BF125" s="247" t="str">
        <f t="shared" si="7"/>
        <v>Local</v>
      </c>
      <c r="BI125" s="247"/>
      <c r="BJ125" s="247"/>
      <c r="BM125" s="248"/>
    </row>
    <row r="126" spans="1:65" ht="17.100000000000001" customHeight="1">
      <c r="A126" s="473">
        <v>7</v>
      </c>
      <c r="B126" s="498">
        <f>Horarios!C126</f>
        <v>46043.875</v>
      </c>
      <c r="C126" s="475">
        <f>Horarios!C126</f>
        <v>46043.875</v>
      </c>
      <c r="D126" s="192" t="s">
        <v>29</v>
      </c>
      <c r="E126" s="80" t="e" vm="9">
        <f>INDEX(TablaEquipos[Badge],MATCH(D126,TablaEquipos[Team],0))</f>
        <v>#VALUE!</v>
      </c>
      <c r="F126" s="81"/>
      <c r="G126" s="476">
        <v>0</v>
      </c>
      <c r="H126" s="477">
        <v>3</v>
      </c>
      <c r="I126" s="478"/>
      <c r="J126" s="81" t="e" vm="10">
        <f>INDEX(TablaEquipos[Badge],MATCH(K126,TablaEquipos[Team],0))</f>
        <v>#VALUE!</v>
      </c>
      <c r="K126" s="209" t="s">
        <v>43</v>
      </c>
      <c r="L126" s="97"/>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247" t="str">
        <f t="shared" si="7"/>
        <v>Visitante</v>
      </c>
      <c r="BI126" s="247"/>
      <c r="BJ126" s="247"/>
      <c r="BM126" s="248"/>
    </row>
    <row r="127" spans="1:65" ht="17.100000000000001" customHeight="1" thickBot="1">
      <c r="A127" s="222">
        <v>7</v>
      </c>
      <c r="B127" s="497">
        <f>Horarios!C127</f>
        <v>46043.875</v>
      </c>
      <c r="C127" s="469">
        <f>Horarios!C127</f>
        <v>46043.875</v>
      </c>
      <c r="D127" s="191" t="s">
        <v>36</v>
      </c>
      <c r="E127" s="79" t="e" vm="19">
        <f>INDEX(TablaEquipos[Badge],MATCH(D127,TablaEquipos[Team],0))</f>
        <v>#VALUE!</v>
      </c>
      <c r="F127" s="82"/>
      <c r="G127" s="470">
        <v>2</v>
      </c>
      <c r="H127" s="471">
        <v>4</v>
      </c>
      <c r="I127" s="472"/>
      <c r="J127" s="82" t="e" vm="24">
        <f>INDEX(TablaEquipos[Badge],MATCH(K127,TablaEquipos[Team],0))</f>
        <v>#VALUE!</v>
      </c>
      <c r="K127" s="403" t="s">
        <v>56</v>
      </c>
      <c r="L127" s="97"/>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247" t="str">
        <f t="shared" si="7"/>
        <v>Visitante</v>
      </c>
      <c r="BI127" s="247"/>
      <c r="BJ127" s="247"/>
      <c r="BM127" s="248"/>
    </row>
    <row r="128" spans="1:65" ht="17.100000000000001" customHeight="1" thickBot="1">
      <c r="A128" s="242">
        <v>8</v>
      </c>
      <c r="B128" s="499">
        <f>Horarios!C128</f>
        <v>46050.875</v>
      </c>
      <c r="C128" s="480">
        <f>Horarios!C128</f>
        <v>46050.875</v>
      </c>
      <c r="D128" s="193" t="s">
        <v>38</v>
      </c>
      <c r="E128" s="24" t="e" vm="22">
        <f>INDEX(TablaEquipos[Badge],MATCH(D128,TablaEquipos[Team],0))</f>
        <v>#VALUE!</v>
      </c>
      <c r="F128" s="107"/>
      <c r="G128" s="488"/>
      <c r="H128" s="489"/>
      <c r="I128" s="490"/>
      <c r="J128" s="26" t="e" vm="16">
        <f>INDEX(TablaEquipos[Badge],MATCH(K128,TablaEquipos[Team],0))</f>
        <v>#VALUE!</v>
      </c>
      <c r="K128" s="210" t="s">
        <v>34</v>
      </c>
      <c r="L128" s="267" t="s">
        <v>61</v>
      </c>
      <c r="M128" s="26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c r="BA128" s="74"/>
      <c r="BB128" s="74"/>
      <c r="BC128" s="74"/>
      <c r="BD128" s="74"/>
      <c r="BE128" s="74"/>
      <c r="BF128" s="247" t="str">
        <f t="shared" si="7"/>
        <v>Pendiente</v>
      </c>
      <c r="BI128" s="247"/>
      <c r="BJ128" s="247"/>
      <c r="BM128" s="248"/>
    </row>
    <row r="129" spans="1:65" ht="17.100000000000001" customHeight="1">
      <c r="A129" s="484">
        <v>8</v>
      </c>
      <c r="B129" s="500">
        <f>Horarios!C129</f>
        <v>46050.875</v>
      </c>
      <c r="C129" s="480">
        <f>Horarios!C129</f>
        <v>46050.875</v>
      </c>
      <c r="D129" s="193" t="s">
        <v>23</v>
      </c>
      <c r="E129" s="25" t="e" vm="2">
        <f>INDEX(TablaEquipos[Badge],MATCH(D129,TablaEquipos[Team],0))</f>
        <v>#VALUE!</v>
      </c>
      <c r="F129" s="106"/>
      <c r="G129" s="481"/>
      <c r="H129" s="485"/>
      <c r="I129" s="483"/>
      <c r="J129" s="26" t="e" vm="36">
        <f>INDEX(TablaEquipos[Badge],MATCH(K129,TablaEquipos[Team],0))</f>
        <v>#VALUE!</v>
      </c>
      <c r="K129" s="210" t="s">
        <v>59</v>
      </c>
      <c r="L129" s="97"/>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c r="BA129" s="74"/>
      <c r="BB129" s="74"/>
      <c r="BC129" s="74"/>
      <c r="BD129" s="74"/>
      <c r="BE129" s="74"/>
      <c r="BF129" s="247" t="str">
        <f t="shared" si="7"/>
        <v>Pendiente</v>
      </c>
      <c r="BI129" s="247"/>
      <c r="BJ129" s="247"/>
      <c r="BM129" s="248"/>
    </row>
    <row r="130" spans="1:65" ht="17.100000000000001" customHeight="1">
      <c r="A130" s="484">
        <v>8</v>
      </c>
      <c r="B130" s="500">
        <f>Horarios!C130</f>
        <v>46050.875</v>
      </c>
      <c r="C130" s="480">
        <f>Horarios!C130</f>
        <v>46050.875</v>
      </c>
      <c r="D130" s="193" t="s">
        <v>48</v>
      </c>
      <c r="E130" s="25" t="e" vm="37">
        <f>INDEX(TablaEquipos[Badge],MATCH(D130,TablaEquipos[Team],0))</f>
        <v>#VALUE!</v>
      </c>
      <c r="F130" s="106"/>
      <c r="G130" s="481"/>
      <c r="H130" s="485"/>
      <c r="I130" s="483"/>
      <c r="J130" s="26" t="e" vm="6">
        <f>INDEX(TablaEquipos[Badge],MATCH(K130,TablaEquipos[Team],0))</f>
        <v>#VALUE!</v>
      </c>
      <c r="K130" s="210" t="s">
        <v>26</v>
      </c>
      <c r="L130" s="97"/>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74"/>
      <c r="BC130" s="74"/>
      <c r="BD130" s="74"/>
      <c r="BE130" s="74"/>
      <c r="BF130" s="247" t="str">
        <f t="shared" ref="BF130:BF145" si="8">IF(OR(G130="",H130=""),"Pendiente",IF(G130&gt;H130,"Local",IF(G130&lt;H130,"Visitante","Empate")))</f>
        <v>Pendiente</v>
      </c>
      <c r="BI130" s="247"/>
      <c r="BJ130" s="247"/>
      <c r="BM130" s="248"/>
    </row>
    <row r="131" spans="1:65" ht="17.100000000000001" customHeight="1">
      <c r="A131" s="484">
        <v>8</v>
      </c>
      <c r="B131" s="500">
        <f>Horarios!C131</f>
        <v>46050.875</v>
      </c>
      <c r="C131" s="480">
        <f>Horarios!C131</f>
        <v>46050.875</v>
      </c>
      <c r="D131" s="193" t="s">
        <v>22</v>
      </c>
      <c r="E131" s="25" t="e" vm="1">
        <f>INDEX(TablaEquipos[Badge],MATCH(D131,TablaEquipos[Team],0))</f>
        <v>#VALUE!</v>
      </c>
      <c r="F131" s="106"/>
      <c r="G131" s="481"/>
      <c r="H131" s="485"/>
      <c r="I131" s="483"/>
      <c r="J131" s="26" t="e" vm="25">
        <f>INDEX(TablaEquipos[Badge],MATCH(K131,TablaEquipos[Team],0))</f>
        <v>#VALUE!</v>
      </c>
      <c r="K131" s="210" t="s">
        <v>58</v>
      </c>
      <c r="L131" s="97"/>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247" t="str">
        <f t="shared" si="8"/>
        <v>Pendiente</v>
      </c>
      <c r="BI131" s="247"/>
      <c r="BJ131" s="247"/>
      <c r="BM131" s="248"/>
    </row>
    <row r="132" spans="1:65" ht="17.100000000000001" customHeight="1">
      <c r="A132" s="484">
        <v>8</v>
      </c>
      <c r="B132" s="500">
        <f>Horarios!C132</f>
        <v>46050.875</v>
      </c>
      <c r="C132" s="480">
        <f>Horarios!C132</f>
        <v>46050.875</v>
      </c>
      <c r="D132" s="193" t="s">
        <v>44</v>
      </c>
      <c r="E132" s="25" t="e" vm="26">
        <f>INDEX(TablaEquipos[Badge],MATCH(D132,TablaEquipos[Team],0))</f>
        <v>#VALUE!</v>
      </c>
      <c r="F132" s="106"/>
      <c r="G132" s="481"/>
      <c r="H132" s="485"/>
      <c r="I132" s="483"/>
      <c r="J132" s="26" t="e" vm="20">
        <f>INDEX(TablaEquipos[Badge],MATCH(K132,TablaEquipos[Team],0))</f>
        <v>#VALUE!</v>
      </c>
      <c r="K132" s="210" t="s">
        <v>37</v>
      </c>
      <c r="L132" s="97"/>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c r="BA132" s="74"/>
      <c r="BB132" s="74"/>
      <c r="BC132" s="74"/>
      <c r="BD132" s="74"/>
      <c r="BE132" s="74"/>
      <c r="BF132" s="247" t="str">
        <f t="shared" si="8"/>
        <v>Pendiente</v>
      </c>
      <c r="BI132" s="247"/>
      <c r="BJ132" s="247"/>
      <c r="BM132" s="248"/>
    </row>
    <row r="133" spans="1:65" ht="17.100000000000001" customHeight="1">
      <c r="A133" s="484">
        <v>8</v>
      </c>
      <c r="B133" s="500">
        <f>Horarios!C133</f>
        <v>46050.875</v>
      </c>
      <c r="C133" s="480">
        <f>Horarios!C133</f>
        <v>46050.875</v>
      </c>
      <c r="D133" s="193" t="s">
        <v>50</v>
      </c>
      <c r="E133" s="25" t="e" vm="32">
        <f>INDEX(TablaEquipos[Badge],MATCH(D133,TablaEquipos[Team],0))</f>
        <v>#VALUE!</v>
      </c>
      <c r="F133" s="106"/>
      <c r="G133" s="481"/>
      <c r="H133" s="485"/>
      <c r="I133" s="483"/>
      <c r="J133" s="26" t="e" vm="14">
        <f>INDEX(TablaEquipos[Badge],MATCH(K133,TablaEquipos[Team],0))</f>
        <v>#VALUE!</v>
      </c>
      <c r="K133" s="210" t="s">
        <v>33</v>
      </c>
      <c r="L133" s="97"/>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247" t="str">
        <f t="shared" si="8"/>
        <v>Pendiente</v>
      </c>
      <c r="BI133" s="247"/>
      <c r="BJ133" s="247"/>
      <c r="BM133" s="248"/>
    </row>
    <row r="134" spans="1:65" ht="17.100000000000001" customHeight="1">
      <c r="A134" s="484">
        <v>8</v>
      </c>
      <c r="B134" s="500">
        <f>Horarios!C134</f>
        <v>46050.875</v>
      </c>
      <c r="C134" s="480">
        <f>Horarios!C134</f>
        <v>46050.875</v>
      </c>
      <c r="D134" s="193" t="s">
        <v>27</v>
      </c>
      <c r="E134" s="25" t="e" vm="7">
        <f>INDEX(TablaEquipos[Badge],MATCH(D134,TablaEquipos[Team],0))</f>
        <v>#VALUE!</v>
      </c>
      <c r="F134" s="106"/>
      <c r="G134" s="481"/>
      <c r="H134" s="485"/>
      <c r="I134" s="483"/>
      <c r="J134" s="26" t="e" vm="23">
        <f>INDEX(TablaEquipos[Badge],MATCH(K134,TablaEquipos[Team],0))</f>
        <v>#VALUE!</v>
      </c>
      <c r="K134" s="210" t="s">
        <v>39</v>
      </c>
      <c r="L134" s="97"/>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247" t="str">
        <f t="shared" si="8"/>
        <v>Pendiente</v>
      </c>
      <c r="BI134" s="247"/>
      <c r="BJ134" s="247"/>
      <c r="BM134" s="248"/>
    </row>
    <row r="135" spans="1:65" ht="17.100000000000001" customHeight="1">
      <c r="A135" s="484">
        <v>8</v>
      </c>
      <c r="B135" s="500">
        <f>Horarios!C135</f>
        <v>46050.875</v>
      </c>
      <c r="C135" s="480">
        <f>Horarios!C135</f>
        <v>46050.875</v>
      </c>
      <c r="D135" s="193" t="s">
        <v>47</v>
      </c>
      <c r="E135" s="25" t="e" vm="29">
        <f>INDEX(TablaEquipos[Badge],MATCH(D135,TablaEquipos[Team],0))</f>
        <v>#VALUE!</v>
      </c>
      <c r="F135" s="106"/>
      <c r="G135" s="481"/>
      <c r="H135" s="485"/>
      <c r="I135" s="483"/>
      <c r="J135" s="26" t="e" vm="9">
        <f>INDEX(TablaEquipos[Badge],MATCH(K135,TablaEquipos[Team],0))</f>
        <v>#VALUE!</v>
      </c>
      <c r="K135" s="210" t="s">
        <v>29</v>
      </c>
      <c r="L135" s="97"/>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247" t="str">
        <f t="shared" si="8"/>
        <v>Pendiente</v>
      </c>
      <c r="BI135" s="247"/>
      <c r="BJ135" s="247"/>
      <c r="BM135" s="248"/>
    </row>
    <row r="136" spans="1:65" ht="17.100000000000001" customHeight="1">
      <c r="A136" s="484">
        <v>8</v>
      </c>
      <c r="B136" s="500">
        <f>Horarios!C136</f>
        <v>46050.875</v>
      </c>
      <c r="C136" s="480">
        <f>Horarios!C136</f>
        <v>46050.875</v>
      </c>
      <c r="D136" s="193" t="s">
        <v>51</v>
      </c>
      <c r="E136" s="25" t="e" vm="33">
        <f>INDEX(TablaEquipos[Badge],MATCH(D136,TablaEquipos[Team],0))</f>
        <v>#VALUE!</v>
      </c>
      <c r="F136" s="106"/>
      <c r="G136" s="481"/>
      <c r="H136" s="485"/>
      <c r="I136" s="483"/>
      <c r="J136" s="26" t="e" vm="13">
        <f>INDEX(TablaEquipos[Badge],MATCH(K136,TablaEquipos[Team],0))</f>
        <v>#VALUE!</v>
      </c>
      <c r="K136" s="210" t="s">
        <v>32</v>
      </c>
      <c r="L136" s="97"/>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247" t="str">
        <f t="shared" si="8"/>
        <v>Pendiente</v>
      </c>
      <c r="BI136" s="247"/>
      <c r="BJ136" s="247"/>
      <c r="BM136" s="248"/>
    </row>
    <row r="137" spans="1:65" ht="17.100000000000001" customHeight="1">
      <c r="A137" s="484">
        <v>8</v>
      </c>
      <c r="B137" s="500">
        <f>Horarios!C137</f>
        <v>46050.875</v>
      </c>
      <c r="C137" s="480">
        <f>Horarios!C137</f>
        <v>46050.875</v>
      </c>
      <c r="D137" s="193" t="s">
        <v>56</v>
      </c>
      <c r="E137" s="25" t="e" vm="24">
        <f>INDEX(TablaEquipos[Badge],MATCH(D137,TablaEquipos[Team],0))</f>
        <v>#VALUE!</v>
      </c>
      <c r="F137" s="106"/>
      <c r="G137" s="481"/>
      <c r="H137" s="485"/>
      <c r="I137" s="483"/>
      <c r="J137" s="26" t="e" vm="31">
        <f>INDEX(TablaEquipos[Badge],MATCH(K137,TablaEquipos[Team],0))</f>
        <v>#VALUE!</v>
      </c>
      <c r="K137" s="210" t="s">
        <v>49</v>
      </c>
      <c r="L137" s="97"/>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247" t="str">
        <f t="shared" si="8"/>
        <v>Pendiente</v>
      </c>
      <c r="BI137" s="247"/>
      <c r="BJ137" s="247"/>
      <c r="BM137" s="248"/>
    </row>
    <row r="138" spans="1:65" ht="17.100000000000001" customHeight="1">
      <c r="A138" s="484">
        <v>8</v>
      </c>
      <c r="B138" s="500">
        <f>Horarios!C138</f>
        <v>46050.875</v>
      </c>
      <c r="C138" s="480">
        <f>Horarios!C138</f>
        <v>46050.875</v>
      </c>
      <c r="D138" s="193" t="s">
        <v>43</v>
      </c>
      <c r="E138" s="25" t="e" vm="10">
        <f>INDEX(TablaEquipos[Badge],MATCH(D138,TablaEquipos[Team],0))</f>
        <v>#VALUE!</v>
      </c>
      <c r="F138" s="106"/>
      <c r="G138" s="481"/>
      <c r="H138" s="485"/>
      <c r="I138" s="483"/>
      <c r="J138" s="26" t="e" vm="12">
        <f>INDEX(TablaEquipos[Badge],MATCH(K138,TablaEquipos[Team],0))</f>
        <v>#VALUE!</v>
      </c>
      <c r="K138" s="210" t="s">
        <v>31</v>
      </c>
      <c r="L138" s="97"/>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247" t="str">
        <f t="shared" si="8"/>
        <v>Pendiente</v>
      </c>
      <c r="BI138" s="247"/>
      <c r="BJ138" s="247"/>
      <c r="BM138" s="248"/>
    </row>
    <row r="139" spans="1:65" ht="17.100000000000001" customHeight="1">
      <c r="A139" s="484">
        <v>8</v>
      </c>
      <c r="B139" s="500">
        <f>Horarios!C139</f>
        <v>46050.875</v>
      </c>
      <c r="C139" s="480">
        <f>Horarios!C139</f>
        <v>46050.875</v>
      </c>
      <c r="D139" s="193" t="s">
        <v>53</v>
      </c>
      <c r="E139" s="25" t="e" vm="27">
        <f>INDEX(TablaEquipos[Badge],MATCH(D139,TablaEquipos[Team],0))</f>
        <v>#VALUE!</v>
      </c>
      <c r="F139" s="106"/>
      <c r="G139" s="481"/>
      <c r="H139" s="485"/>
      <c r="I139" s="483"/>
      <c r="J139" s="26" t="e" vm="34">
        <f>INDEX(TablaEquipos[Badge],MATCH(K139,TablaEquipos[Team],0))</f>
        <v>#VALUE!</v>
      </c>
      <c r="K139" s="210" t="s">
        <v>52</v>
      </c>
      <c r="L139" s="97"/>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c r="BA139" s="74"/>
      <c r="BB139" s="74"/>
      <c r="BC139" s="74"/>
      <c r="BD139" s="74"/>
      <c r="BE139" s="74"/>
      <c r="BF139" s="247" t="str">
        <f t="shared" si="8"/>
        <v>Pendiente</v>
      </c>
      <c r="BI139" s="247"/>
      <c r="BJ139" s="247"/>
      <c r="BM139" s="248"/>
    </row>
    <row r="140" spans="1:65" ht="17.100000000000001" customHeight="1">
      <c r="A140" s="484">
        <v>8</v>
      </c>
      <c r="B140" s="500">
        <f>Horarios!C140</f>
        <v>46050.875</v>
      </c>
      <c r="C140" s="480">
        <f>Horarios!C140</f>
        <v>46050.875</v>
      </c>
      <c r="D140" s="193" t="s">
        <v>35</v>
      </c>
      <c r="E140" s="25" t="e" vm="17">
        <f>INDEX(TablaEquipos[Badge],MATCH(D140,TablaEquipos[Team],0))</f>
        <v>#VALUE!</v>
      </c>
      <c r="F140" s="106"/>
      <c r="G140" s="481"/>
      <c r="H140" s="485"/>
      <c r="I140" s="483"/>
      <c r="J140" s="26" t="e" vm="19">
        <f>INDEX(TablaEquipos[Badge],MATCH(K140,TablaEquipos[Team],0))</f>
        <v>#VALUE!</v>
      </c>
      <c r="K140" s="210" t="s">
        <v>36</v>
      </c>
      <c r="L140" s="97"/>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c r="BA140" s="74"/>
      <c r="BB140" s="74"/>
      <c r="BC140" s="74"/>
      <c r="BD140" s="74"/>
      <c r="BE140" s="74"/>
      <c r="BF140" s="247" t="str">
        <f t="shared" si="8"/>
        <v>Pendiente</v>
      </c>
      <c r="BI140" s="247"/>
      <c r="BJ140" s="247"/>
      <c r="BM140" s="248"/>
    </row>
    <row r="141" spans="1:65" ht="17.100000000000001" customHeight="1">
      <c r="A141" s="484">
        <v>8</v>
      </c>
      <c r="B141" s="500">
        <f>Horarios!C141</f>
        <v>46050.875</v>
      </c>
      <c r="C141" s="480">
        <f>Horarios!C141</f>
        <v>46050.875</v>
      </c>
      <c r="D141" s="193" t="s">
        <v>45</v>
      </c>
      <c r="E141" s="25" t="e" vm="15">
        <f>INDEX(TablaEquipos[Badge],MATCH(D141,TablaEquipos[Team],0))</f>
        <v>#VALUE!</v>
      </c>
      <c r="F141" s="106"/>
      <c r="G141" s="481"/>
      <c r="H141" s="485"/>
      <c r="I141" s="483"/>
      <c r="J141" s="26" t="e" vm="18">
        <f>INDEX(TablaEquipos[Badge],MATCH(K141,TablaEquipos[Team],0))</f>
        <v>#VALUE!</v>
      </c>
      <c r="K141" s="210" t="s">
        <v>55</v>
      </c>
      <c r="L141" s="97"/>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74"/>
      <c r="BC141" s="74"/>
      <c r="BD141" s="74"/>
      <c r="BE141" s="74"/>
      <c r="BF141" s="247" t="str">
        <f t="shared" si="8"/>
        <v>Pendiente</v>
      </c>
      <c r="BI141" s="247"/>
      <c r="BJ141" s="247"/>
      <c r="BM141" s="248"/>
    </row>
    <row r="142" spans="1:65" ht="17.100000000000001" customHeight="1">
      <c r="A142" s="484">
        <v>8</v>
      </c>
      <c r="B142" s="500">
        <f>Horarios!C142</f>
        <v>46050.875</v>
      </c>
      <c r="C142" s="480">
        <f>Horarios!C142</f>
        <v>46050.875</v>
      </c>
      <c r="D142" s="193" t="s">
        <v>24</v>
      </c>
      <c r="E142" s="25" t="e" vm="3">
        <f>INDEX(TablaEquipos[Badge],MATCH(D142,TablaEquipos[Team],0))</f>
        <v>#VALUE!</v>
      </c>
      <c r="F142" s="106"/>
      <c r="G142" s="481"/>
      <c r="H142" s="485"/>
      <c r="I142" s="483"/>
      <c r="J142" s="26" t="e" vm="5">
        <f>INDEX(TablaEquipos[Badge],MATCH(K142,TablaEquipos[Team],0))</f>
        <v>#VALUE!</v>
      </c>
      <c r="K142" s="210" t="s">
        <v>41</v>
      </c>
      <c r="L142" s="97"/>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74"/>
      <c r="BC142" s="74"/>
      <c r="BD142" s="74"/>
      <c r="BE142" s="74"/>
      <c r="BF142" s="247" t="str">
        <f t="shared" si="8"/>
        <v>Pendiente</v>
      </c>
      <c r="BI142" s="247"/>
      <c r="BJ142" s="247"/>
      <c r="BM142" s="248"/>
    </row>
    <row r="143" spans="1:65" ht="17.100000000000001" customHeight="1">
      <c r="A143" s="484">
        <v>8</v>
      </c>
      <c r="B143" s="500">
        <f>Horarios!C143</f>
        <v>46050.875</v>
      </c>
      <c r="C143" s="480">
        <f>Horarios!C143</f>
        <v>46050.875</v>
      </c>
      <c r="D143" s="193" t="s">
        <v>25</v>
      </c>
      <c r="E143" s="25" t="e" vm="4">
        <f>INDEX(TablaEquipos[Badge],MATCH(D143,TablaEquipos[Team],0))</f>
        <v>#VALUE!</v>
      </c>
      <c r="F143" s="106"/>
      <c r="G143" s="481"/>
      <c r="H143" s="485"/>
      <c r="I143" s="483"/>
      <c r="J143" s="26" t="e" vm="28">
        <f>INDEX(TablaEquipos[Badge],MATCH(K143,TablaEquipos[Team],0))</f>
        <v>#VALUE!</v>
      </c>
      <c r="K143" s="210" t="s">
        <v>46</v>
      </c>
      <c r="L143" s="97"/>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247" t="str">
        <f t="shared" si="8"/>
        <v>Pendiente</v>
      </c>
      <c r="BI143" s="247"/>
      <c r="BJ143" s="247"/>
      <c r="BM143" s="248"/>
    </row>
    <row r="144" spans="1:65" ht="17.100000000000001" customHeight="1">
      <c r="A144" s="484">
        <v>8</v>
      </c>
      <c r="B144" s="500">
        <f>Horarios!C144</f>
        <v>46050.875</v>
      </c>
      <c r="C144" s="480">
        <f>Horarios!C144</f>
        <v>46050.875</v>
      </c>
      <c r="D144" s="193" t="s">
        <v>30</v>
      </c>
      <c r="E144" s="25" t="e" vm="11">
        <f>INDEX(TablaEquipos[Badge],MATCH(D144,TablaEquipos[Team],0))</f>
        <v>#VALUE!</v>
      </c>
      <c r="F144" s="106"/>
      <c r="G144" s="481"/>
      <c r="H144" s="485"/>
      <c r="I144" s="483"/>
      <c r="J144" s="26" t="e" vm="8">
        <f>INDEX(TablaEquipos[Badge],MATCH(K144,TablaEquipos[Team],0))</f>
        <v>#VALUE!</v>
      </c>
      <c r="K144" s="210" t="s">
        <v>28</v>
      </c>
      <c r="L144" s="97"/>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264"/>
      <c r="AN144" s="74"/>
      <c r="AO144" s="74"/>
      <c r="AP144" s="74"/>
      <c r="AQ144" s="74"/>
      <c r="AR144" s="74"/>
      <c r="AS144" s="74"/>
      <c r="AT144" s="74"/>
      <c r="AU144" s="74"/>
      <c r="AV144" s="74"/>
      <c r="AW144" s="74"/>
      <c r="AX144" s="74"/>
      <c r="AY144" s="74"/>
      <c r="AZ144" s="74"/>
      <c r="BA144" s="74"/>
      <c r="BB144" s="74"/>
      <c r="BC144" s="74"/>
      <c r="BD144" s="74"/>
      <c r="BE144" s="74"/>
      <c r="BF144" s="247" t="str">
        <f t="shared" si="8"/>
        <v>Pendiente</v>
      </c>
      <c r="BI144" s="247"/>
      <c r="BJ144" s="247"/>
      <c r="BM144" s="248"/>
    </row>
    <row r="145" spans="1:65" ht="17.100000000000001" customHeight="1" thickBot="1">
      <c r="A145" s="501">
        <v>8</v>
      </c>
      <c r="B145" s="502">
        <f>Horarios!C145</f>
        <v>46050.875</v>
      </c>
      <c r="C145" s="503">
        <f>Horarios!C145</f>
        <v>46050.875</v>
      </c>
      <c r="D145" s="195" t="s">
        <v>54</v>
      </c>
      <c r="E145" s="76" t="e" vm="35">
        <f>INDEX(TablaEquipos[Badge],MATCH(D145,TablaEquipos[Team],0))</f>
        <v>#VALUE!</v>
      </c>
      <c r="F145" s="108"/>
      <c r="G145" s="504"/>
      <c r="H145" s="505"/>
      <c r="I145" s="506"/>
      <c r="J145" s="108" t="e" vm="21">
        <f>INDEX(TablaEquipos[Badge],MATCH(K145,TablaEquipos[Team],0))</f>
        <v>#VALUE!</v>
      </c>
      <c r="K145" s="405" t="s">
        <v>42</v>
      </c>
      <c r="L145" s="97"/>
      <c r="M145" s="74"/>
      <c r="N145" s="74"/>
      <c r="O145" s="74"/>
      <c r="P145" s="74"/>
      <c r="Q145" s="74"/>
      <c r="R145" s="74"/>
      <c r="S145" s="74"/>
      <c r="T145" s="74"/>
      <c r="U145" s="264"/>
      <c r="V145" s="264"/>
      <c r="W145" s="264"/>
      <c r="X145" s="264"/>
      <c r="Y145" s="264"/>
      <c r="Z145" s="264"/>
      <c r="AA145" s="264"/>
      <c r="AB145" s="264"/>
      <c r="AC145" s="264"/>
      <c r="AD145" s="264"/>
      <c r="AE145" s="264"/>
      <c r="AF145" s="264"/>
      <c r="AG145" s="264"/>
      <c r="AH145" s="264"/>
      <c r="AI145" s="264"/>
      <c r="AJ145" s="264"/>
      <c r="AK145" s="74"/>
      <c r="AL145" s="74"/>
      <c r="AM145" s="264"/>
      <c r="AN145" s="74"/>
      <c r="AO145" s="74"/>
      <c r="AP145" s="74"/>
      <c r="AQ145" s="74"/>
      <c r="AR145" s="74"/>
      <c r="AS145" s="74"/>
      <c r="AT145" s="74"/>
      <c r="AU145" s="74"/>
      <c r="AV145" s="74"/>
      <c r="AW145" s="74"/>
      <c r="AX145" s="74"/>
      <c r="AY145" s="74"/>
      <c r="AZ145" s="74"/>
      <c r="BA145" s="74"/>
      <c r="BB145" s="74"/>
      <c r="BC145" s="74"/>
      <c r="BD145" s="74"/>
      <c r="BE145" s="74"/>
      <c r="BF145" s="247" t="str">
        <f t="shared" si="8"/>
        <v>Pendiente</v>
      </c>
      <c r="BI145" s="247"/>
      <c r="BJ145" s="247"/>
      <c r="BM145" s="248"/>
    </row>
    <row r="146" spans="1:65" ht="17.100000000000001" customHeight="1" thickBot="1">
      <c r="A146" s="97"/>
      <c r="B146" s="196"/>
      <c r="C146" s="196"/>
      <c r="D146" s="196"/>
      <c r="E146" s="97"/>
      <c r="F146" s="97"/>
      <c r="G146" s="97"/>
      <c r="H146" s="97"/>
      <c r="I146" s="97"/>
      <c r="J146" s="97"/>
      <c r="K146" s="97"/>
      <c r="L146" s="97"/>
      <c r="M146" s="74"/>
      <c r="N146" s="74"/>
      <c r="O146" s="74"/>
      <c r="P146" s="74"/>
      <c r="Q146" s="74"/>
      <c r="R146" s="74"/>
      <c r="S146" s="74"/>
      <c r="T146" s="74"/>
      <c r="U146" s="264"/>
      <c r="V146" s="264"/>
      <c r="W146" s="264"/>
      <c r="X146" s="264"/>
      <c r="Y146" s="264"/>
      <c r="Z146" s="264"/>
      <c r="AA146" s="264"/>
      <c r="AB146" s="264"/>
      <c r="AC146" s="264"/>
      <c r="AD146" s="264"/>
      <c r="AE146" s="264"/>
      <c r="AF146" s="264"/>
      <c r="AG146" s="264"/>
      <c r="AH146" s="264"/>
      <c r="AI146" s="264"/>
      <c r="AJ146" s="264"/>
      <c r="AK146" s="74"/>
      <c r="AL146" s="74"/>
      <c r="AM146" s="264"/>
      <c r="AN146" s="74"/>
      <c r="AO146" s="74"/>
      <c r="AP146" s="74"/>
      <c r="AQ146" s="74"/>
      <c r="AR146" s="74"/>
      <c r="AS146" s="74"/>
      <c r="AT146" s="74"/>
      <c r="AU146" s="74"/>
      <c r="AV146" s="74"/>
      <c r="AW146" s="74"/>
      <c r="AX146" s="74"/>
      <c r="AY146" s="74"/>
      <c r="AZ146" s="74"/>
      <c r="BA146" s="74"/>
      <c r="BB146" s="74"/>
      <c r="BC146" s="74"/>
      <c r="BD146" s="74"/>
      <c r="BE146" s="74"/>
      <c r="BF146" s="247"/>
      <c r="BI146" s="247"/>
      <c r="BJ146" s="247"/>
      <c r="BM146" s="248"/>
    </row>
    <row r="147" spans="1:65" ht="17.100000000000001" customHeight="1" thickBot="1">
      <c r="A147" s="166" t="str">
        <f>Idiomas!D31</f>
        <v>Playoffs</v>
      </c>
      <c r="B147" s="197"/>
      <c r="C147" s="197"/>
      <c r="D147" s="197" t="str">
        <f>D$1</f>
        <v>Equipo Local</v>
      </c>
      <c r="E147" s="110" t="str">
        <f t="shared" ref="E147:K147" si="9">E$1</f>
        <v>Badge</v>
      </c>
      <c r="F147" s="87" t="str">
        <f t="shared" si="9"/>
        <v>P</v>
      </c>
      <c r="G147" s="87" t="str">
        <f t="shared" si="9"/>
        <v>Gol</v>
      </c>
      <c r="H147" s="87" t="str">
        <f t="shared" si="9"/>
        <v>Gol</v>
      </c>
      <c r="I147" s="87" t="str">
        <f t="shared" si="9"/>
        <v>P</v>
      </c>
      <c r="J147" s="110" t="str">
        <f t="shared" si="9"/>
        <v>Badge</v>
      </c>
      <c r="K147" s="208" t="str">
        <f t="shared" si="9"/>
        <v>Equipo Visitante</v>
      </c>
      <c r="L147" s="267" t="s">
        <v>61</v>
      </c>
      <c r="M147" s="264"/>
      <c r="N147" s="149" t="s">
        <v>77</v>
      </c>
      <c r="O147" s="149"/>
      <c r="P147" s="224" t="str">
        <f>Idiomas!$D$65</f>
        <v>Clasificado</v>
      </c>
      <c r="Q147" s="264"/>
      <c r="R147" s="227" t="str">
        <f>Idiomas!D66</f>
        <v>Para ver los enfrentamientos de las eliminatorias tendrás que ir a la pestaña Datos → Actualizar todo cada vez que se realice el sorteo o finalice una ronda.</v>
      </c>
      <c r="S147" s="74"/>
      <c r="T147" s="74"/>
      <c r="U147" s="74"/>
      <c r="V147" s="74"/>
      <c r="W147" s="74"/>
      <c r="X147" s="74"/>
      <c r="Y147" s="74"/>
      <c r="Z147" s="74"/>
      <c r="AA147" s="74"/>
      <c r="AB147" s="74"/>
      <c r="AC147" s="74"/>
      <c r="AD147" s="74"/>
      <c r="AE147" s="74"/>
      <c r="AF147" s="74"/>
      <c r="AG147" s="74"/>
      <c r="AH147" s="74"/>
      <c r="AI147" s="74"/>
      <c r="AJ147" s="74"/>
      <c r="AK147" s="74"/>
      <c r="AL147" s="17"/>
      <c r="AM147" s="264"/>
      <c r="AN147" s="264"/>
      <c r="AO147" s="264"/>
      <c r="AP147" s="264"/>
      <c r="AQ147" s="264"/>
      <c r="AR147" s="264"/>
      <c r="AS147" s="264"/>
      <c r="AT147" s="73"/>
      <c r="AU147" s="73"/>
      <c r="AV147" s="264"/>
      <c r="AW147" s="264"/>
      <c r="AX147" s="264"/>
      <c r="AY147" s="264"/>
      <c r="AZ147" s="264"/>
      <c r="BA147" s="264"/>
      <c r="BF147" s="247"/>
      <c r="BG147" s="247"/>
      <c r="BI147" s="247"/>
      <c r="BJ147" s="247"/>
    </row>
    <row r="148" spans="1:65" ht="17.100000000000001" customHeight="1">
      <c r="A148" s="473" t="s">
        <v>78</v>
      </c>
      <c r="B148" s="498">
        <f>+Horarios!C148</f>
        <v>46070.875</v>
      </c>
      <c r="C148" s="475">
        <f>+Horarios!C148</f>
        <v>46070.875</v>
      </c>
      <c r="D148" s="192" t="str">
        <f>CHL[[#This Row],[Home]]</f>
        <v>21/22</v>
      </c>
      <c r="E148" s="158" t="str">
        <f>IFERROR(INDEX(TablaEquipos[Badge],MATCH(D148,TablaEquipos[Team],0)),"")</f>
        <v/>
      </c>
      <c r="F148" s="80"/>
      <c r="G148" s="507"/>
      <c r="H148" s="508"/>
      <c r="I148" s="509"/>
      <c r="J148" s="81" t="str">
        <f>IFERROR(INDEX(TablaEquipos[Badge],MATCH(K148,TablaEquipos[Team],0)),"")</f>
        <v/>
      </c>
      <c r="K148" s="209" t="str">
        <f>CHL[[#This Row],[Away]]</f>
        <v>11/12</v>
      </c>
      <c r="L148" s="97"/>
      <c r="M148" s="264"/>
      <c r="N148" s="149"/>
      <c r="O148" s="246"/>
      <c r="P148" s="225"/>
      <c r="Q148" s="264"/>
      <c r="R148" s="74"/>
      <c r="S148"/>
      <c r="T148" s="19"/>
      <c r="U148" s="264"/>
      <c r="V148"/>
      <c r="W148" s="264"/>
      <c r="X148" s="74"/>
      <c r="Y148" s="74"/>
      <c r="Z148" s="74"/>
      <c r="AA148" s="74"/>
      <c r="AB148" s="74"/>
      <c r="AC148" s="74"/>
      <c r="AD148" s="74"/>
      <c r="AE148" s="74"/>
      <c r="AF148" s="74"/>
      <c r="AG148" s="74"/>
      <c r="AH148" s="74"/>
      <c r="AI148" s="74"/>
      <c r="AJ148" s="74"/>
      <c r="AK148" s="74"/>
      <c r="AL148" s="13"/>
      <c r="AM148" s="264"/>
      <c r="AN148" s="13"/>
      <c r="AO148" s="13"/>
      <c r="AP148" s="13"/>
      <c r="AQ148" s="13"/>
      <c r="AR148" s="13"/>
      <c r="AS148" s="13"/>
      <c r="AT148" s="13"/>
      <c r="AU148" s="13"/>
      <c r="AV148" s="13"/>
      <c r="AW148" s="13"/>
      <c r="AX148" s="13"/>
      <c r="AY148" s="13"/>
      <c r="AZ148" s="13"/>
      <c r="BA148" s="13"/>
      <c r="BB148" s="13"/>
      <c r="BC148" s="13"/>
      <c r="BD148" s="13"/>
      <c r="BE148" s="13"/>
    </row>
    <row r="149" spans="1:65" ht="17.100000000000001" customHeight="1">
      <c r="A149" s="222" t="s">
        <v>78</v>
      </c>
      <c r="B149" s="497">
        <f>+Horarios!C149</f>
        <v>46078.875</v>
      </c>
      <c r="C149" s="469">
        <f>+Horarios!C149</f>
        <v>46078.875</v>
      </c>
      <c r="D149" s="191" t="str">
        <f>CHL[[#This Row],[Home]]</f>
        <v>11/12</v>
      </c>
      <c r="E149" s="159" t="str">
        <f>IFERROR(INDEX(TablaEquipos[Badge],MATCH(D149,TablaEquipos[Team],0)),"")</f>
        <v/>
      </c>
      <c r="F149" s="174"/>
      <c r="G149" s="510"/>
      <c r="H149" s="511"/>
      <c r="I149" s="512"/>
      <c r="J149" s="82" t="str">
        <f>IFERROR(INDEX(TablaEquipos[Badge],MATCH(K149,TablaEquipos[Team],0)),"")</f>
        <v/>
      </c>
      <c r="K149" s="205" t="str">
        <f>CHL[[#This Row],[Away]]</f>
        <v>21/22</v>
      </c>
      <c r="L149" s="97"/>
      <c r="M149" s="264"/>
      <c r="N149" s="149" t="str">
        <f>IF(AND(OR(League!G149="",League!H149="",League!G148="",League!H148="")),"L"&amp;League!A149,IF(League!G148+League!H149&gt;League!H148+League!G149,League!D149,IF(League!G148+League!H149&lt;League!H148+League!G149,League!K149,IF(AND(League!G148+League!H149=League!H148+League!G149,League!F149=League!I149),"L"&amp;League!A149,IF(AND(League!G148+League!H149=League!H148+League!G149,OR(League!F149="",League!I149="")),"L"&amp;League!A149,IF(AND(League!G148+League!H149=League!H148+League!G149,League!F149&gt;League!I149),League!K149,League!D149))))))</f>
        <v>LPO1</v>
      </c>
      <c r="O149" s="246"/>
      <c r="P149" s="225" t="str">
        <f>IF(AND(OR(League!G149="",League!H149="",League!G148="",League!H148="")),"WPO1",IF(League!G148+League!H149&gt;League!H148+League!G149,League!K149,IF(League!G148+League!H149&lt;League!H148+League!G149,League!D149,IF(AND(League!G148+League!H149=League!H148+League!G149,League!F149=League!I149),"WPO1",IF(AND(League!G148+League!H149=League!H148+League!G149,OR(League!F149="",League!I149="")),"WPO1",IF(AND(League!G148+League!H149=League!H148+League!G149,League!F149&gt;League!I149),League!D149,League!K149))))))</f>
        <v>WPO1</v>
      </c>
      <c r="Q149" s="264"/>
      <c r="R149" s="74"/>
      <c r="S149" s="264"/>
      <c r="T149" s="19"/>
      <c r="U149" s="264"/>
      <c r="V149" s="264"/>
      <c r="W149" s="264"/>
      <c r="X149" s="74"/>
      <c r="Y149" s="74"/>
      <c r="Z149" s="74"/>
      <c r="AA149" s="74"/>
      <c r="AB149" s="74"/>
      <c r="AC149" s="74"/>
      <c r="AD149" s="74"/>
      <c r="AE149" s="74"/>
      <c r="AF149" s="74"/>
      <c r="AG149" s="74"/>
      <c r="AH149" s="74"/>
      <c r="AI149" s="74"/>
      <c r="AJ149" s="74"/>
      <c r="AK149" s="74"/>
      <c r="AL149" s="13"/>
      <c r="AM149" s="264"/>
      <c r="AN149" s="13"/>
      <c r="AO149" s="13"/>
      <c r="AP149" s="13"/>
      <c r="AQ149" s="13"/>
      <c r="AR149" s="13"/>
      <c r="AS149" s="13"/>
      <c r="AT149" s="13"/>
      <c r="AU149" s="13"/>
      <c r="AV149" s="13"/>
      <c r="AW149" s="13"/>
      <c r="AX149" s="13"/>
      <c r="AY149" s="13"/>
      <c r="AZ149" s="13"/>
      <c r="BA149" s="13"/>
      <c r="BB149" s="13"/>
      <c r="BC149" s="13"/>
      <c r="BD149" s="13"/>
      <c r="BE149" s="13"/>
    </row>
    <row r="150" spans="1:65" ht="17.100000000000001" customHeight="1">
      <c r="A150" s="242" t="s">
        <v>79</v>
      </c>
      <c r="B150" s="499">
        <f>+Horarios!C150</f>
        <v>46070.875</v>
      </c>
      <c r="C150" s="480">
        <f>+Horarios!C150</f>
        <v>46070.875</v>
      </c>
      <c r="D150" s="193" t="str">
        <f>CHL[[#This Row],[Home]]</f>
        <v>19/20</v>
      </c>
      <c r="E150" s="25" t="str">
        <f>IFERROR(INDEX(TablaEquipos[Badge],MATCH(D150,TablaEquipos[Team],0)),"")</f>
        <v/>
      </c>
      <c r="F150" s="24"/>
      <c r="G150" s="513"/>
      <c r="H150" s="513"/>
      <c r="I150" s="514"/>
      <c r="J150" s="26" t="str">
        <f>IFERROR(INDEX(TablaEquipos[Badge],MATCH(K150,TablaEquipos[Team],0)),"")</f>
        <v/>
      </c>
      <c r="K150" s="210" t="str">
        <f>CHL[[#This Row],[Away]]</f>
        <v>13/14</v>
      </c>
      <c r="L150" s="97"/>
      <c r="M150" s="264"/>
      <c r="N150" s="149"/>
      <c r="O150" s="246"/>
      <c r="P150" s="249"/>
      <c r="Q150" s="264"/>
      <c r="R150" s="74"/>
      <c r="S150"/>
      <c r="T150" s="19"/>
      <c r="U150" s="264"/>
      <c r="V150" s="137"/>
      <c r="W150" s="74"/>
      <c r="X150" s="74"/>
      <c r="Y150" s="74"/>
      <c r="Z150" s="74"/>
      <c r="AA150" s="74"/>
      <c r="AB150" s="74"/>
      <c r="AC150" s="74"/>
      <c r="AD150" s="74"/>
      <c r="AE150" s="74"/>
      <c r="AF150" s="74"/>
      <c r="AG150" s="74"/>
      <c r="AH150" s="74"/>
      <c r="AI150" s="74"/>
      <c r="AJ150" s="74"/>
      <c r="AK150" s="74"/>
      <c r="AL150" s="13"/>
      <c r="AM150" s="264"/>
      <c r="AN150" s="187"/>
      <c r="AO150" s="187"/>
      <c r="AP150" s="187"/>
      <c r="AQ150" s="187"/>
      <c r="AR150" s="13"/>
      <c r="AS150" s="13"/>
      <c r="AT150" s="13"/>
      <c r="AU150" s="13"/>
      <c r="AV150" s="13"/>
      <c r="AW150" s="13"/>
      <c r="AX150" s="13"/>
      <c r="AY150" s="13"/>
      <c r="AZ150" s="13"/>
      <c r="BA150" s="13"/>
      <c r="BB150" s="13"/>
      <c r="BC150" s="13"/>
      <c r="BD150" s="13"/>
      <c r="BE150" s="13"/>
    </row>
    <row r="151" spans="1:65" ht="17.100000000000001" customHeight="1">
      <c r="A151" s="484" t="s">
        <v>79</v>
      </c>
      <c r="B151" s="500">
        <f>+Horarios!C151</f>
        <v>46078.875</v>
      </c>
      <c r="C151" s="480">
        <f>+Horarios!C151</f>
        <v>46078.875</v>
      </c>
      <c r="D151" s="193" t="str">
        <f>CHL[[#This Row],[Home]]</f>
        <v>13/14</v>
      </c>
      <c r="E151" s="25" t="str">
        <f>IFERROR(INDEX(TablaEquipos[Badge],MATCH(D151,TablaEquipos[Team],0)),"")</f>
        <v/>
      </c>
      <c r="F151" s="176"/>
      <c r="G151" s="515"/>
      <c r="H151" s="515"/>
      <c r="I151" s="485"/>
      <c r="J151" s="85" t="str">
        <f>IFERROR(INDEX(TablaEquipos[Badge],MATCH(K151,TablaEquipos[Team],0)),"")</f>
        <v/>
      </c>
      <c r="K151" s="206" t="str">
        <f>CHL[[#This Row],[Away]]</f>
        <v>19/20</v>
      </c>
      <c r="L151" s="97"/>
      <c r="M151" s="264"/>
      <c r="N151" s="149" t="str">
        <f>IF(AND(OR(League!G151="",League!H151="",League!G150="",League!H150="")),"L"&amp;League!A151,IF(League!G150+League!H151&gt;League!H150+League!G151,League!D151,IF(League!G150+League!H151&lt;League!H150+League!G151,League!K151,IF(AND(League!G150+League!H151=League!H150+League!G151,League!F151=League!I151),"L"&amp;League!A151,IF(AND(League!G150+League!H151=League!H150+League!G151,OR(League!F151="",League!I151="")),"L"&amp;League!A151,IF(AND(League!G150+League!H151=League!H150+League!G151,League!F151&gt;League!I151),League!K151,League!D151))))))</f>
        <v>LPO2</v>
      </c>
      <c r="O151" s="246"/>
      <c r="P151" s="249" t="str">
        <f>IF(AND(OR(League!G151="",League!H151="",League!G150="",League!H150="")),"WPO2",IF(League!G150+League!H151&gt;League!H150+League!G151,League!K151,IF(League!G150+League!H151&lt;League!H150+League!G151,League!D151,IF(AND(League!G150+League!H151=League!H150+League!G151,League!F151=League!I151),"WPO2",IF(AND(League!G150+League!H151=League!H150+League!G151,OR(League!F151="",League!I151="")),"WPO2",IF(AND(League!G150+League!H151=League!H150+League!G151,League!F151&gt;League!I151),League!D151,League!K151))))))</f>
        <v>WPO2</v>
      </c>
      <c r="Q151" s="264"/>
      <c r="R151" s="74"/>
      <c r="S151" s="264"/>
      <c r="T151" s="19"/>
      <c r="U151" s="264"/>
      <c r="V151" s="74"/>
      <c r="W151" s="74"/>
      <c r="X151" s="74"/>
      <c r="Y151" s="74"/>
      <c r="Z151" s="74"/>
      <c r="AA151" s="74"/>
      <c r="AB151" s="74"/>
      <c r="AC151" s="74"/>
      <c r="AD151" s="74"/>
      <c r="AE151" s="74"/>
      <c r="AF151" s="74"/>
      <c r="AG151" s="74"/>
      <c r="AH151" s="74"/>
      <c r="AI151" s="74"/>
      <c r="AJ151" s="74"/>
      <c r="AK151" s="74"/>
      <c r="AL151" s="13"/>
      <c r="AM151" s="13"/>
      <c r="AN151" s="13"/>
      <c r="AO151" s="13"/>
      <c r="AP151" s="13"/>
      <c r="AQ151" s="13"/>
      <c r="AR151" s="13"/>
      <c r="AS151" s="13"/>
      <c r="AT151" s="13"/>
      <c r="AU151" s="13"/>
      <c r="AV151" s="13"/>
      <c r="AW151" s="13"/>
      <c r="AX151" s="13"/>
      <c r="AY151" s="13"/>
      <c r="AZ151" s="13"/>
      <c r="BA151" s="13"/>
      <c r="BB151" s="13"/>
      <c r="BC151" s="13"/>
      <c r="BD151" s="13"/>
      <c r="BE151" s="13"/>
    </row>
    <row r="152" spans="1:65" ht="17.100000000000001" customHeight="1">
      <c r="A152" s="473" t="s">
        <v>80</v>
      </c>
      <c r="B152" s="498">
        <f>+Horarios!C152</f>
        <v>46070.875</v>
      </c>
      <c r="C152" s="475">
        <f>+Horarios!C152</f>
        <v>46070.875</v>
      </c>
      <c r="D152" s="192" t="str">
        <f>CHL[[#This Row],[Home]]</f>
        <v>23/24</v>
      </c>
      <c r="E152" s="80" t="str">
        <f>IFERROR(INDEX(TablaEquipos[Badge],MATCH(D152,TablaEquipos[Team],0)),"")</f>
        <v/>
      </c>
      <c r="F152" s="80"/>
      <c r="G152" s="507"/>
      <c r="H152" s="508"/>
      <c r="I152" s="516"/>
      <c r="J152" s="81" t="str">
        <f>IFERROR(INDEX(TablaEquipos[Badge],MATCH(K152,TablaEquipos[Team],0)),"")</f>
        <v/>
      </c>
      <c r="K152" s="209" t="str">
        <f>CHL[[#This Row],[Away]]</f>
        <v>9/10</v>
      </c>
      <c r="L152" s="97"/>
      <c r="M152" s="264"/>
      <c r="N152" s="149"/>
      <c r="O152" s="246"/>
      <c r="P152" s="225"/>
      <c r="Q152" s="264"/>
      <c r="R152" s="74"/>
      <c r="S152"/>
      <c r="T152" s="226"/>
      <c r="U152" s="264"/>
      <c r="V152" s="137"/>
      <c r="W152" s="74"/>
      <c r="X152" s="74"/>
      <c r="Y152" s="74"/>
      <c r="Z152" s="74"/>
      <c r="AA152" s="74"/>
      <c r="AB152" s="74"/>
      <c r="AC152" s="74"/>
      <c r="AD152" s="74"/>
      <c r="AE152" s="74"/>
      <c r="AF152" s="74"/>
      <c r="AG152" s="74"/>
      <c r="AH152" s="74"/>
      <c r="AI152" s="74"/>
      <c r="AJ152" s="74"/>
      <c r="AK152" s="74"/>
      <c r="AL152" s="13"/>
      <c r="AM152" s="13"/>
      <c r="AN152" s="13"/>
      <c r="AO152" s="13"/>
      <c r="AP152" s="13"/>
      <c r="AQ152" s="13"/>
      <c r="AR152" s="13"/>
      <c r="AS152" s="13"/>
      <c r="AT152" s="13"/>
      <c r="AU152" s="13"/>
      <c r="AV152" s="13"/>
      <c r="AW152" s="13"/>
      <c r="AX152" s="13"/>
      <c r="AY152" s="13"/>
      <c r="AZ152" s="13"/>
      <c r="BA152" s="13"/>
      <c r="BB152" s="13"/>
      <c r="BC152" s="13"/>
      <c r="BD152" s="13"/>
      <c r="BE152" s="13"/>
    </row>
    <row r="153" spans="1:65" ht="17.100000000000001" customHeight="1">
      <c r="A153" s="222" t="s">
        <v>80</v>
      </c>
      <c r="B153" s="497">
        <f>+Horarios!C153</f>
        <v>46078.875</v>
      </c>
      <c r="C153" s="469">
        <f>+Horarios!C153</f>
        <v>46078.875</v>
      </c>
      <c r="D153" s="191" t="str">
        <f>CHL[[#This Row],[Home]]</f>
        <v>9/10</v>
      </c>
      <c r="E153" s="80" t="str">
        <f>IFERROR(INDEX(TablaEquipos[Badge],MATCH(D153,TablaEquipos[Team],0)),"")</f>
        <v/>
      </c>
      <c r="F153" s="174"/>
      <c r="G153" s="510"/>
      <c r="H153" s="511"/>
      <c r="I153" s="512"/>
      <c r="J153" s="82" t="str">
        <f>IFERROR(INDEX(TablaEquipos[Badge],MATCH(K153,TablaEquipos[Team],0)),"")</f>
        <v/>
      </c>
      <c r="K153" s="205" t="str">
        <f>CHL[[#This Row],[Away]]</f>
        <v>23/24</v>
      </c>
      <c r="L153" s="97"/>
      <c r="M153" s="264"/>
      <c r="N153" s="149" t="str">
        <f>IF(AND(OR(League!G153="",League!H153="",League!G152="",League!H152="")),"L"&amp;League!A153,IF(League!G152+League!H153&gt;League!H152+League!G153,League!D153,IF(League!G152+League!H153&lt;League!H152+League!G153,League!K153,IF(AND(League!G152+League!H153=League!H152+League!G153,League!F153=League!I153),"L"&amp;League!A153,IF(AND(League!G152+League!H153=League!H152+League!G153,OR(League!F153="",League!I153="")),"L"&amp;League!A153,IF(AND(League!G152+League!H153=League!H152+League!G153,League!F153&gt;League!I153),League!K153,League!D153))))))</f>
        <v>LPO3</v>
      </c>
      <c r="O153" s="246"/>
      <c r="P153" s="225" t="str">
        <f>IF(AND(OR(League!G153="",League!H153="",League!G152="",League!H152="")),"WPO3",IF(League!G152+League!H153&gt;League!H152+League!G153,League!K153,IF(League!G152+League!H153&lt;League!H152+League!G153,League!D153,IF(AND(League!G152+League!H153=League!H152+League!G153,League!F153=League!I153),"WPO3",IF(AND(League!G152+League!H153=League!H152+League!G153,OR(League!F153="",League!I153="")),"WPO3",IF(AND(League!G152+League!H153=League!H152+League!G153,League!F153&gt;League!I153),League!D153,League!K153))))))</f>
        <v>WPO3</v>
      </c>
      <c r="Q153" s="264"/>
      <c r="R153" s="74"/>
      <c r="S153" s="264"/>
      <c r="T153" s="11"/>
      <c r="U153" s="264"/>
      <c r="V153" s="74"/>
      <c r="W153" s="74"/>
      <c r="X153" s="74"/>
      <c r="Y153" s="74"/>
      <c r="Z153" s="74"/>
      <c r="AA153" s="74"/>
      <c r="AB153" s="74"/>
      <c r="AC153" s="74"/>
      <c r="AD153" s="74"/>
      <c r="AE153" s="74"/>
      <c r="AF153" s="74"/>
      <c r="AG153" s="74"/>
      <c r="AH153" s="74"/>
      <c r="AI153" s="74"/>
      <c r="AJ153" s="74"/>
      <c r="AK153" s="74"/>
      <c r="AL153" s="13"/>
      <c r="AM153" s="13"/>
      <c r="AN153" s="13"/>
      <c r="AO153" s="13"/>
      <c r="AP153" s="13"/>
      <c r="AQ153" s="13"/>
      <c r="AR153" s="13"/>
      <c r="AS153" s="13"/>
      <c r="AT153" s="13"/>
      <c r="AU153" s="13"/>
      <c r="AV153" s="13"/>
      <c r="AW153" s="13"/>
      <c r="AX153" s="13"/>
      <c r="AY153" s="13"/>
      <c r="AZ153" s="13"/>
      <c r="BA153" s="13"/>
      <c r="BB153" s="13"/>
      <c r="BC153" s="13"/>
      <c r="BD153" s="13"/>
      <c r="BE153" s="13"/>
    </row>
    <row r="154" spans="1:65" ht="17.100000000000001" customHeight="1">
      <c r="A154" s="242" t="s">
        <v>81</v>
      </c>
      <c r="B154" s="499">
        <f>+Horarios!C154</f>
        <v>46070.875</v>
      </c>
      <c r="C154" s="480">
        <f>+Horarios!C154</f>
        <v>46070.875</v>
      </c>
      <c r="D154" s="193" t="str">
        <f>CHL[[#This Row],[Home]]</f>
        <v>17/18</v>
      </c>
      <c r="E154" s="25" t="str">
        <f>IFERROR(INDEX(TablaEquipos[Badge],MATCH(D154,TablaEquipos[Team],0)),"")</f>
        <v/>
      </c>
      <c r="F154" s="24"/>
      <c r="G154" s="513"/>
      <c r="H154" s="513"/>
      <c r="I154" s="514"/>
      <c r="J154" s="26" t="str">
        <f>IFERROR(INDEX(TablaEquipos[Badge],MATCH(K154,TablaEquipos[Team],0)),"")</f>
        <v/>
      </c>
      <c r="K154" s="210" t="str">
        <f>CHL[[#This Row],[Away]]</f>
        <v>15/16</v>
      </c>
      <c r="L154" s="97"/>
      <c r="M154" s="264"/>
      <c r="N154" s="149"/>
      <c r="O154" s="246"/>
      <c r="P154" s="249"/>
      <c r="Q154" s="264"/>
      <c r="R154" s="74"/>
      <c r="S154"/>
      <c r="T154" s="19"/>
      <c r="U154" s="264"/>
      <c r="V154"/>
      <c r="W154" s="74"/>
      <c r="X154" s="74"/>
      <c r="Y154" s="74"/>
      <c r="Z154" s="74"/>
      <c r="AA154" s="74"/>
      <c r="AB154" s="74"/>
      <c r="AC154" s="74"/>
      <c r="AD154" s="74"/>
      <c r="AE154" s="74"/>
      <c r="AF154" s="74"/>
      <c r="AG154" s="74"/>
      <c r="AH154" s="74"/>
      <c r="AI154" s="74"/>
      <c r="AJ154" s="74"/>
      <c r="AK154" s="74"/>
      <c r="AL154" s="13"/>
      <c r="AM154" s="13"/>
      <c r="AN154" s="13"/>
      <c r="AO154" s="13"/>
      <c r="AP154" s="13"/>
      <c r="AQ154" s="13"/>
      <c r="AR154" s="13"/>
      <c r="AS154" s="13"/>
      <c r="AT154" s="13"/>
      <c r="AU154" s="13"/>
      <c r="AV154" s="13"/>
      <c r="AW154" s="13"/>
      <c r="AX154" s="13"/>
      <c r="AY154" s="13"/>
      <c r="AZ154" s="13"/>
      <c r="BA154" s="13"/>
      <c r="BB154" s="13"/>
      <c r="BC154" s="13"/>
      <c r="BD154" s="13"/>
      <c r="BE154" s="13"/>
    </row>
    <row r="155" spans="1:65" ht="17.100000000000001" customHeight="1">
      <c r="A155" s="484" t="s">
        <v>81</v>
      </c>
      <c r="B155" s="500">
        <f>+Horarios!C155</f>
        <v>46078.875</v>
      </c>
      <c r="C155" s="480">
        <f>+Horarios!C155</f>
        <v>46078.875</v>
      </c>
      <c r="D155" s="193" t="str">
        <f>CHL[[#This Row],[Home]]</f>
        <v>15/16</v>
      </c>
      <c r="E155" s="25" t="str">
        <f>IFERROR(INDEX(TablaEquipos[Badge],MATCH(D155,TablaEquipos[Team],0)),"")</f>
        <v/>
      </c>
      <c r="F155" s="176"/>
      <c r="G155" s="515"/>
      <c r="H155" s="515"/>
      <c r="I155" s="485"/>
      <c r="J155" s="85" t="str">
        <f>IFERROR(INDEX(TablaEquipos[Badge],MATCH(K155,TablaEquipos[Team],0)),"")</f>
        <v/>
      </c>
      <c r="K155" s="206" t="str">
        <f>CHL[[#This Row],[Away]]</f>
        <v>17/18</v>
      </c>
      <c r="L155" s="97"/>
      <c r="M155" s="264"/>
      <c r="N155" s="149" t="str">
        <f>IF(AND(OR(League!G155="",League!H155="",League!G154="",League!H154="")),"L"&amp;League!A155,IF(League!G154+League!H155&gt;League!H154+League!G155,League!D155,IF(League!G154+League!H155&lt;League!H154+League!G155,League!K155,IF(AND(League!G154+League!H155=League!H154+League!G155,League!F155=League!I155),"L"&amp;League!A155,IF(AND(League!G154+League!H155=League!H154+League!G155,OR(League!F155="",League!I155="")),"L"&amp;League!A155,IF(AND(League!G154+League!H155=League!H154+League!G155,League!F155&gt;League!I155),League!K155,League!D155))))))</f>
        <v>LPO4</v>
      </c>
      <c r="O155" s="246"/>
      <c r="P155" s="249" t="str">
        <f>IF(AND(OR(League!G155="",League!H155="",League!G154="",League!H154="")),"WPO4",IF(League!G154+League!H155&gt;League!H154+League!G155,League!K155,IF(League!G154+League!H155&lt;League!H154+League!G155,League!D155,IF(AND(League!G154+League!H155=League!H154+League!G155,League!F155=League!I155),"WPO4",IF(AND(League!G154+League!H155=League!H154+League!G155,OR(League!F155="",League!I155="")),"WPO4",IF(AND(League!G154+League!H155=League!H154+League!G155,League!F155&gt;League!I155),League!D155,League!K155))))))</f>
        <v>WPO4</v>
      </c>
      <c r="Q155" s="264"/>
      <c r="R155" s="74"/>
      <c r="S155" s="264"/>
      <c r="T155" s="19"/>
      <c r="U155" s="264"/>
      <c r="V155" s="74"/>
      <c r="W155" s="74"/>
      <c r="X155" s="74"/>
      <c r="Y155" s="74"/>
      <c r="Z155" s="74"/>
      <c r="AA155" s="74"/>
      <c r="AB155" s="74"/>
      <c r="AC155" s="74"/>
      <c r="AD155" s="74"/>
      <c r="AE155" s="74"/>
      <c r="AF155" s="74"/>
      <c r="AG155" s="74"/>
      <c r="AH155" s="74"/>
      <c r="AI155" s="74"/>
      <c r="AJ155" s="74"/>
      <c r="AK155" s="74"/>
      <c r="AL155" s="13"/>
      <c r="AM155" s="13"/>
      <c r="AN155" s="13"/>
      <c r="AO155" s="13"/>
      <c r="AP155" s="13"/>
      <c r="AQ155" s="13"/>
      <c r="AR155" s="13"/>
      <c r="AS155" s="13"/>
      <c r="AT155" s="13"/>
      <c r="AU155" s="13"/>
      <c r="AV155" s="13"/>
      <c r="AW155" s="13"/>
      <c r="AX155" s="13"/>
      <c r="AY155" s="13"/>
      <c r="AZ155" s="13"/>
      <c r="BA155" s="13"/>
      <c r="BB155" s="13"/>
      <c r="BC155" s="13"/>
      <c r="BD155" s="13"/>
      <c r="BE155" s="13"/>
    </row>
    <row r="156" spans="1:65" ht="17.100000000000001" customHeight="1">
      <c r="A156" s="473" t="s">
        <v>82</v>
      </c>
      <c r="B156" s="498">
        <f>+Horarios!C156</f>
        <v>46071.875</v>
      </c>
      <c r="C156" s="475">
        <f>+Horarios!C156</f>
        <v>46071.875</v>
      </c>
      <c r="D156" s="192" t="str">
        <f>CHL[[#This Row],[Home]]</f>
        <v>22/21</v>
      </c>
      <c r="E156" s="80" t="str">
        <f>IFERROR(INDEX(TablaEquipos[Badge],MATCH(D156,TablaEquipos[Team],0)),"")</f>
        <v/>
      </c>
      <c r="F156" s="80"/>
      <c r="G156" s="507"/>
      <c r="H156" s="508"/>
      <c r="I156" s="516"/>
      <c r="J156" s="81" t="str">
        <f>IFERROR(INDEX(TablaEquipos[Badge],MATCH(K156,TablaEquipos[Team],0)),"")</f>
        <v/>
      </c>
      <c r="K156" s="209" t="str">
        <f>CHL[[#This Row],[Away]]</f>
        <v>12/11</v>
      </c>
      <c r="L156" s="97"/>
      <c r="M156" s="13"/>
      <c r="N156" s="149"/>
      <c r="O156" s="246"/>
      <c r="P156" s="225"/>
      <c r="Q156" s="264"/>
      <c r="R156" s="74"/>
      <c r="S156"/>
      <c r="T156" s="19"/>
      <c r="U156" s="264"/>
      <c r="V156"/>
      <c r="W156" s="74"/>
      <c r="X156" s="74"/>
      <c r="Y156" s="74"/>
      <c r="Z156" s="74"/>
      <c r="AA156" s="74"/>
      <c r="AB156" s="74"/>
      <c r="AC156" s="74"/>
      <c r="AD156" s="74"/>
      <c r="AE156" s="74"/>
      <c r="AF156" s="74"/>
      <c r="AG156" s="74"/>
      <c r="AH156" s="74"/>
      <c r="AI156" s="74"/>
      <c r="AJ156" s="74"/>
      <c r="AK156" s="74"/>
      <c r="AL156" s="13"/>
      <c r="AM156" s="13"/>
      <c r="AN156" s="13"/>
      <c r="AO156" s="13"/>
      <c r="AP156" s="13"/>
      <c r="AQ156" s="13"/>
      <c r="AR156" s="13"/>
      <c r="AS156" s="13"/>
      <c r="AT156" s="13"/>
      <c r="AU156" s="13"/>
      <c r="AV156" s="13"/>
      <c r="AW156" s="13"/>
      <c r="AX156" s="13"/>
      <c r="AY156" s="13"/>
      <c r="AZ156" s="13"/>
      <c r="BA156" s="13"/>
      <c r="BB156" s="13"/>
      <c r="BC156" s="13"/>
      <c r="BD156" s="13"/>
      <c r="BE156" s="13"/>
    </row>
    <row r="157" spans="1:65" ht="17.100000000000001" customHeight="1">
      <c r="A157" s="222" t="s">
        <v>82</v>
      </c>
      <c r="B157" s="497">
        <f>+Horarios!C157</f>
        <v>46077.875</v>
      </c>
      <c r="C157" s="469">
        <f>+Horarios!C157</f>
        <v>46077.875</v>
      </c>
      <c r="D157" s="191" t="str">
        <f>CHL[[#This Row],[Home]]</f>
        <v>12/11</v>
      </c>
      <c r="E157" s="80" t="str">
        <f>IFERROR(INDEX(TablaEquipos[Badge],MATCH(D157,TablaEquipos[Team],0)),"")</f>
        <v/>
      </c>
      <c r="F157" s="174"/>
      <c r="G157" s="510"/>
      <c r="H157" s="511"/>
      <c r="I157" s="512"/>
      <c r="J157" s="82" t="str">
        <f>IFERROR(INDEX(TablaEquipos[Badge],MATCH(K157,TablaEquipos[Team],0)),"")</f>
        <v/>
      </c>
      <c r="K157" s="205" t="str">
        <f>CHL[[#This Row],[Away]]</f>
        <v>22/21</v>
      </c>
      <c r="L157" s="97"/>
      <c r="M157" s="13"/>
      <c r="N157" s="149" t="str">
        <f>IF(AND(OR(League!G157="",League!H157="",League!G156="",League!H156="")),"L"&amp;League!A157,IF(League!G156+League!H157&gt;League!H156+League!G157,League!D157,IF(League!G156+League!H157&lt;League!H156+League!G157,League!K157,IF(AND(League!G156+League!H157=League!H156+League!G157,League!F157=League!I157),"L"&amp;League!A157,IF(AND(League!G156+League!H157=League!H156+League!G157,OR(League!F157="",League!I157="")),"L"&amp;League!A157,IF(AND(League!G156+League!H157=League!H156+League!G157,League!F157&gt;League!I157),League!K157,League!D157))))))</f>
        <v>LPO5</v>
      </c>
      <c r="O157" s="246"/>
      <c r="P157" s="225" t="str">
        <f>IF(AND(OR(League!G157="",League!H157="",League!G156="",League!H156="")),"WPO5",IF(League!G156+League!H157&gt;League!H156+League!G157,League!K157,IF(League!G156+League!H157&lt;League!H156+League!G157,League!D157,IF(AND(League!G156+League!H157=League!H156+League!G157,League!F157=League!I157),"WPO5",IF(AND(League!G156+League!H157=League!H156+League!G157,OR(League!F157="",League!I157="")),"WPO5",IF(AND(League!G156+League!H157=League!H156+League!G157,League!F157&gt;League!I157),League!D157,League!K157))))))</f>
        <v>WPO5</v>
      </c>
      <c r="Q157" s="74"/>
      <c r="R157" s="74"/>
      <c r="S157" s="264"/>
      <c r="T157" s="19"/>
      <c r="U157" s="264"/>
      <c r="V157" s="74"/>
      <c r="W157" s="74"/>
      <c r="X157" s="74"/>
      <c r="Y157" s="74"/>
      <c r="Z157" s="74"/>
      <c r="AA157" s="74"/>
      <c r="AB157" s="74"/>
      <c r="AC157" s="74"/>
      <c r="AD157" s="74"/>
      <c r="AE157" s="74"/>
      <c r="AF157" s="74"/>
      <c r="AG157" s="74"/>
      <c r="AH157" s="74"/>
      <c r="AI157" s="74"/>
      <c r="AJ157" s="74"/>
      <c r="AK157" s="74"/>
      <c r="AL157" s="13"/>
      <c r="AM157" s="13"/>
      <c r="AN157" s="13"/>
      <c r="AO157" s="13"/>
      <c r="AP157" s="13"/>
      <c r="AQ157" s="13"/>
      <c r="AR157" s="13"/>
      <c r="AS157" s="13"/>
      <c r="AT157" s="13"/>
      <c r="AU157" s="13"/>
      <c r="AV157" s="13"/>
      <c r="AW157" s="13"/>
      <c r="AX157" s="13"/>
      <c r="AY157" s="13"/>
      <c r="AZ157" s="13"/>
      <c r="BA157" s="13"/>
      <c r="BB157" s="13"/>
      <c r="BC157" s="13"/>
      <c r="BD157" s="13"/>
      <c r="BE157" s="13"/>
    </row>
    <row r="158" spans="1:65" ht="17.100000000000001" customHeight="1">
      <c r="A158" s="242" t="s">
        <v>83</v>
      </c>
      <c r="B158" s="499">
        <f>+Horarios!C158</f>
        <v>46071.875</v>
      </c>
      <c r="C158" s="480">
        <f>+Horarios!C158</f>
        <v>46071.875</v>
      </c>
      <c r="D158" s="193" t="str">
        <f>CHL[[#This Row],[Home]]</f>
        <v>20/19</v>
      </c>
      <c r="E158" s="25" t="str">
        <f>IFERROR(INDEX(TablaEquipos[Badge],MATCH(D158,TablaEquipos[Team],0)),"")</f>
        <v/>
      </c>
      <c r="F158" s="24"/>
      <c r="G158" s="513"/>
      <c r="H158" s="513"/>
      <c r="I158" s="514"/>
      <c r="J158" s="26" t="str">
        <f>IFERROR(INDEX(TablaEquipos[Badge],MATCH(K158,TablaEquipos[Team],0)),"")</f>
        <v/>
      </c>
      <c r="K158" s="210" t="str">
        <f>CHL[[#This Row],[Away]]</f>
        <v>14/13</v>
      </c>
      <c r="L158" s="97"/>
      <c r="M158" s="13"/>
      <c r="N158" s="149"/>
      <c r="O158" s="246"/>
      <c r="P158" s="249"/>
      <c r="Q158" s="264"/>
      <c r="R158" s="74"/>
      <c r="S158"/>
      <c r="T158" s="19"/>
      <c r="U158" s="264"/>
      <c r="V158" s="137"/>
      <c r="W158" s="74"/>
      <c r="X158" s="74"/>
      <c r="Y158" s="74"/>
      <c r="Z158" s="74"/>
      <c r="AA158" s="74"/>
      <c r="AB158" s="74"/>
      <c r="AC158" s="74"/>
      <c r="AD158" s="74"/>
      <c r="AE158" s="74"/>
      <c r="AF158" s="74"/>
      <c r="AG158" s="74"/>
      <c r="AH158" s="74"/>
      <c r="AI158" s="74"/>
      <c r="AJ158" s="74"/>
      <c r="AK158" s="74"/>
      <c r="AL158" s="13"/>
      <c r="AM158" s="13"/>
      <c r="AN158" s="13"/>
      <c r="AO158" s="13"/>
      <c r="AP158" s="13"/>
      <c r="AQ158" s="13"/>
      <c r="AR158" s="13"/>
      <c r="AS158" s="13"/>
      <c r="AT158" s="13"/>
      <c r="AU158" s="13"/>
      <c r="AV158" s="13"/>
      <c r="AW158" s="13"/>
      <c r="AX158" s="13"/>
      <c r="AY158" s="13"/>
      <c r="AZ158" s="13"/>
      <c r="BA158" s="13"/>
      <c r="BB158" s="13"/>
      <c r="BC158" s="13"/>
      <c r="BD158" s="13"/>
      <c r="BE158" s="13"/>
    </row>
    <row r="159" spans="1:65" ht="17.100000000000001" customHeight="1">
      <c r="A159" s="484" t="s">
        <v>83</v>
      </c>
      <c r="B159" s="500">
        <f>+Horarios!C159</f>
        <v>46077.875</v>
      </c>
      <c r="C159" s="480">
        <f>+Horarios!C159</f>
        <v>46077.875</v>
      </c>
      <c r="D159" s="193" t="str">
        <f>CHL[[#This Row],[Home]]</f>
        <v>14/13</v>
      </c>
      <c r="E159" s="25" t="str">
        <f>IFERROR(INDEX(TablaEquipos[Badge],MATCH(D159,TablaEquipos[Team],0)),"")</f>
        <v/>
      </c>
      <c r="F159" s="176"/>
      <c r="G159" s="515"/>
      <c r="H159" s="515"/>
      <c r="I159" s="485"/>
      <c r="J159" s="85" t="str">
        <f>IFERROR(INDEX(TablaEquipos[Badge],MATCH(K159,TablaEquipos[Team],0)),"")</f>
        <v/>
      </c>
      <c r="K159" s="206" t="str">
        <f>CHL[[#This Row],[Away]]</f>
        <v>20/19</v>
      </c>
      <c r="L159" s="97"/>
      <c r="M159" s="13"/>
      <c r="N159" s="149" t="str">
        <f>IF(AND(OR(League!G159="",League!H159="",League!G158="",League!H158="")),"L"&amp;League!A159,IF(League!G158+League!H159&gt;League!H158+League!G159,League!D159,IF(League!G158+League!H159&lt;League!H158+League!G159,League!K159,IF(AND(League!G158+League!H159=League!H158+League!G159,League!F159=League!I159),"L"&amp;League!A159,IF(AND(League!G158+League!H159=League!H158+League!G159,OR(League!F159="",League!I159="")),"L"&amp;League!A159,IF(AND(League!G158+League!H159=League!H158+League!G159,League!F159&gt;League!I159),League!K159,League!D159))))))</f>
        <v>LPO6</v>
      </c>
      <c r="O159" s="246"/>
      <c r="P159" s="249" t="str">
        <f>IF(AND(OR(League!G159="",League!H159="",League!G158="",League!H158="")),"WPO6",IF(League!G158+League!H159&gt;League!H158+League!G159,League!K159,IF(League!G158+League!H159&lt;League!H158+League!G159,League!D159,IF(AND(League!G158+League!H159=League!H158+League!G159,League!F159=League!I159),"WPO6",IF(AND(League!G158+League!H159=League!H158+League!G159,OR(League!F159="",League!I159="")),"WPO6",IF(AND(League!G158+League!H159=League!H158+League!G159,League!F159&gt;League!I159),League!D159,League!K159))))))</f>
        <v>WPO6</v>
      </c>
      <c r="Q159" s="74"/>
      <c r="R159" s="74"/>
      <c r="S159" s="264"/>
      <c r="T159" s="19"/>
      <c r="U159" s="264"/>
      <c r="V159" s="74"/>
      <c r="W159" s="74"/>
      <c r="X159" s="74"/>
      <c r="Y159" s="74"/>
      <c r="Z159" s="74"/>
      <c r="AA159" s="74"/>
      <c r="AB159" s="74"/>
      <c r="AC159" s="74"/>
      <c r="AD159" s="74"/>
      <c r="AE159" s="74"/>
      <c r="AF159" s="74"/>
      <c r="AG159" s="74"/>
      <c r="AH159" s="74"/>
      <c r="AI159" s="74"/>
      <c r="AJ159" s="74"/>
      <c r="AK159" s="74"/>
      <c r="AL159" s="13"/>
      <c r="AM159" s="13"/>
      <c r="AN159" s="13"/>
      <c r="AO159" s="13"/>
      <c r="AP159" s="13"/>
      <c r="AQ159" s="13"/>
      <c r="AR159" s="13"/>
      <c r="AS159" s="13"/>
      <c r="AT159" s="13"/>
      <c r="AU159" s="13"/>
      <c r="AV159" s="13"/>
      <c r="AW159" s="13"/>
      <c r="AX159" s="13"/>
      <c r="AY159" s="13"/>
      <c r="AZ159" s="13"/>
      <c r="BA159" s="13"/>
      <c r="BB159" s="13"/>
      <c r="BC159" s="13"/>
      <c r="BD159" s="13"/>
      <c r="BE159" s="13"/>
    </row>
    <row r="160" spans="1:65" ht="17.100000000000001" customHeight="1">
      <c r="A160" s="473" t="s">
        <v>84</v>
      </c>
      <c r="B160" s="498">
        <f>+Horarios!C160</f>
        <v>46071.875</v>
      </c>
      <c r="C160" s="475">
        <f>+Horarios!C160</f>
        <v>46071.875</v>
      </c>
      <c r="D160" s="192" t="str">
        <f>CHL[[#This Row],[Home]]</f>
        <v>24/23</v>
      </c>
      <c r="E160" s="80" t="str">
        <f>IFERROR(INDEX(TablaEquipos[Badge],MATCH(D160,TablaEquipos[Team],0)),"")</f>
        <v/>
      </c>
      <c r="F160" s="80"/>
      <c r="G160" s="507"/>
      <c r="H160" s="508"/>
      <c r="I160" s="516"/>
      <c r="J160" s="81" t="str">
        <f>IFERROR(INDEX(TablaEquipos[Badge],MATCH(K160,TablaEquipos[Team],0)),"")</f>
        <v/>
      </c>
      <c r="K160" s="209" t="str">
        <f>CHL[[#This Row],[Away]]</f>
        <v>10/9</v>
      </c>
      <c r="L160" s="97"/>
      <c r="M160" s="13"/>
      <c r="N160" s="149"/>
      <c r="O160" s="246"/>
      <c r="P160" s="225"/>
      <c r="Q160" s="74"/>
      <c r="R160" s="74"/>
      <c r="S160"/>
      <c r="T160" s="19"/>
      <c r="U160" s="264"/>
      <c r="V160" s="137"/>
      <c r="W160" s="74"/>
      <c r="X160" s="74"/>
      <c r="Y160" s="74"/>
      <c r="Z160" s="74"/>
      <c r="AA160" s="74"/>
      <c r="AB160" s="74"/>
      <c r="AC160" s="74"/>
      <c r="AD160" s="74"/>
      <c r="AE160" s="74"/>
      <c r="AF160" s="74"/>
      <c r="AG160" s="74"/>
      <c r="AH160" s="74"/>
      <c r="AI160" s="74"/>
      <c r="AJ160" s="74"/>
      <c r="AK160" s="74"/>
      <c r="AL160" s="13"/>
      <c r="AM160" s="13"/>
      <c r="AN160" s="13"/>
      <c r="AO160" s="13"/>
      <c r="AP160" s="13"/>
      <c r="AQ160" s="13"/>
      <c r="AR160" s="13"/>
      <c r="AS160" s="13"/>
      <c r="AT160" s="13"/>
      <c r="AU160" s="13"/>
      <c r="AV160" s="13"/>
      <c r="AW160" s="13"/>
      <c r="AX160" s="13"/>
      <c r="AY160" s="13"/>
      <c r="AZ160" s="13"/>
      <c r="BA160" s="13"/>
      <c r="BB160" s="13"/>
      <c r="BC160" s="13"/>
      <c r="BD160" s="13"/>
      <c r="BE160" s="13"/>
    </row>
    <row r="161" spans="1:57" ht="17.100000000000001" customHeight="1">
      <c r="A161" s="222" t="s">
        <v>84</v>
      </c>
      <c r="B161" s="497">
        <f>+Horarios!C161</f>
        <v>46077.875</v>
      </c>
      <c r="C161" s="469">
        <f>+Horarios!C161</f>
        <v>46077.875</v>
      </c>
      <c r="D161" s="191" t="str">
        <f>CHL[[#This Row],[Home]]</f>
        <v>10/9</v>
      </c>
      <c r="E161" s="80" t="str">
        <f>IFERROR(INDEX(TablaEquipos[Badge],MATCH(D161,TablaEquipos[Team],0)),"")</f>
        <v/>
      </c>
      <c r="F161" s="174"/>
      <c r="G161" s="510"/>
      <c r="H161" s="511"/>
      <c r="I161" s="512"/>
      <c r="J161" s="82" t="str">
        <f>IFERROR(INDEX(TablaEquipos[Badge],MATCH(K161,TablaEquipos[Team],0)),"")</f>
        <v/>
      </c>
      <c r="K161" s="205" t="str">
        <f>CHL[[#This Row],[Away]]</f>
        <v>24/23</v>
      </c>
      <c r="L161" s="97"/>
      <c r="M161" s="13"/>
      <c r="N161" s="149" t="str">
        <f>IF(AND(OR(League!G161="",League!H161="",League!G160="",League!H160="")),"L"&amp;League!A161,IF(League!G160+League!H161&gt;League!H160+League!G161,League!D161,IF(League!G160+League!H161&lt;League!H160+League!G161,League!K161,IF(AND(League!G160+League!H161=League!H160+League!G161,League!F161=League!I161),"L"&amp;League!A161,IF(AND(League!G160+League!H161=League!H160+League!G161,OR(League!F161="",League!I161="")),"L"&amp;League!A161,IF(AND(League!G160+League!H161=League!H160+League!G161,League!F161&gt;League!I161),League!K161,League!D161))))))</f>
        <v>LPO7</v>
      </c>
      <c r="O161" s="246"/>
      <c r="P161" s="225" t="str">
        <f>IF(AND(OR(League!G161="",League!H161="",League!G160="",League!H160="")),"WPO7",IF(League!G160+League!H161&gt;League!H160+League!G161,League!K161,IF(League!G160+League!H161&lt;League!H160+League!G161,League!D161,IF(AND(League!G160+League!H161=League!H160+League!G161,League!F161=League!I161),"WPO7",IF(AND(League!G160+League!H161=League!H160+League!G161,OR(League!F161="",League!I161="")),"WPO7",IF(AND(League!G160+League!H161=League!H160+League!G161,League!F161&gt;League!I161),League!D161,League!K161))))))</f>
        <v>WPO7</v>
      </c>
      <c r="Q161" s="74"/>
      <c r="R161" s="74"/>
      <c r="S161" s="264"/>
      <c r="T161" s="19"/>
      <c r="U161" s="264"/>
      <c r="V161" s="74"/>
      <c r="W161" s="74"/>
      <c r="X161" s="74"/>
      <c r="Y161" s="74"/>
      <c r="Z161" s="74"/>
      <c r="AA161" s="74"/>
      <c r="AB161" s="74"/>
      <c r="AC161" s="74"/>
      <c r="AD161" s="74"/>
      <c r="AE161" s="74"/>
      <c r="AF161" s="74"/>
      <c r="AG161" s="74"/>
      <c r="AH161" s="74"/>
      <c r="AI161" s="74"/>
      <c r="AJ161" s="74"/>
      <c r="AK161" s="74"/>
      <c r="AL161" s="13"/>
      <c r="AM161" s="13"/>
      <c r="AN161" s="13"/>
      <c r="AO161" s="13"/>
      <c r="AP161" s="13"/>
      <c r="AQ161" s="13"/>
      <c r="AR161" s="13"/>
      <c r="AS161" s="13"/>
      <c r="AT161" s="13"/>
      <c r="AU161" s="13"/>
      <c r="AV161" s="13"/>
      <c r="AW161" s="13"/>
      <c r="AX161" s="13"/>
      <c r="AY161" s="13"/>
      <c r="AZ161" s="13"/>
      <c r="BA161" s="13"/>
      <c r="BB161" s="13"/>
      <c r="BC161" s="13"/>
      <c r="BD161" s="13"/>
      <c r="BE161" s="13"/>
    </row>
    <row r="162" spans="1:57" ht="17.100000000000001" customHeight="1">
      <c r="A162" s="242" t="s">
        <v>85</v>
      </c>
      <c r="B162" s="499">
        <f>+Horarios!C162</f>
        <v>46071.875</v>
      </c>
      <c r="C162" s="480">
        <f>+Horarios!C162</f>
        <v>46071.875</v>
      </c>
      <c r="D162" s="193" t="str">
        <f>CHL[[#This Row],[Home]]</f>
        <v>18/17</v>
      </c>
      <c r="E162" s="25" t="str">
        <f>IFERROR(INDEX(TablaEquipos[Badge],MATCH(D162,TablaEquipos[Team],0)),"")</f>
        <v/>
      </c>
      <c r="F162" s="24"/>
      <c r="G162" s="513"/>
      <c r="H162" s="513"/>
      <c r="I162" s="514"/>
      <c r="J162" s="26" t="str">
        <f>IFERROR(INDEX(TablaEquipos[Badge],MATCH(K162,TablaEquipos[Team],0)),"")</f>
        <v/>
      </c>
      <c r="K162" s="210" t="str">
        <f>CHL[[#This Row],[Away]]</f>
        <v>16/15</v>
      </c>
      <c r="L162" s="97"/>
      <c r="M162" s="13"/>
      <c r="N162" s="149"/>
      <c r="O162" s="246"/>
      <c r="P162" s="249"/>
      <c r="Q162" s="74"/>
      <c r="R162" s="74"/>
      <c r="S162"/>
      <c r="T162" s="19"/>
      <c r="U162" s="264"/>
      <c r="V162"/>
      <c r="W162" s="74"/>
      <c r="X162" s="74"/>
      <c r="Y162" s="74"/>
      <c r="Z162" s="74"/>
      <c r="AA162" s="74"/>
      <c r="AB162" s="74"/>
      <c r="AC162" s="74"/>
      <c r="AD162" s="74"/>
      <c r="AE162" s="74"/>
      <c r="AF162" s="74"/>
      <c r="AG162" s="74"/>
      <c r="AH162" s="74"/>
      <c r="AI162" s="74"/>
      <c r="AJ162" s="74"/>
      <c r="AK162" s="74"/>
      <c r="AL162" s="13"/>
      <c r="AM162" s="13"/>
      <c r="AN162" s="13"/>
      <c r="AO162" s="13"/>
      <c r="AP162" s="13"/>
      <c r="AQ162" s="13"/>
      <c r="AR162" s="13"/>
      <c r="AS162" s="13"/>
      <c r="AT162" s="13"/>
      <c r="AU162" s="13"/>
      <c r="AV162" s="13"/>
      <c r="AW162" s="13"/>
      <c r="AX162" s="13"/>
      <c r="AY162" s="13"/>
      <c r="AZ162" s="13"/>
      <c r="BA162" s="13"/>
      <c r="BB162" s="13"/>
      <c r="BC162" s="13"/>
      <c r="BD162" s="13"/>
      <c r="BE162" s="13"/>
    </row>
    <row r="163" spans="1:57" ht="17.100000000000001" customHeight="1" thickBot="1">
      <c r="A163" s="501" t="s">
        <v>85</v>
      </c>
      <c r="B163" s="517">
        <f>+Horarios!C163</f>
        <v>46077.875</v>
      </c>
      <c r="C163" s="503">
        <f>+Horarios!C163</f>
        <v>46077.875</v>
      </c>
      <c r="D163" s="198" t="str">
        <f>CHL[[#This Row],[Home]]</f>
        <v>16/15</v>
      </c>
      <c r="E163" s="76" t="str">
        <f>IFERROR(INDEX(TablaEquipos[Badge],MATCH(D163,TablaEquipos[Team],0)),"")</f>
        <v/>
      </c>
      <c r="F163" s="175"/>
      <c r="G163" s="518"/>
      <c r="H163" s="518"/>
      <c r="I163" s="519"/>
      <c r="J163" s="77" t="str">
        <f>IFERROR(INDEX(TablaEquipos[Badge],MATCH(K163,TablaEquipos[Team],0)),"")</f>
        <v/>
      </c>
      <c r="K163" s="207" t="str">
        <f>CHL[[#This Row],[Away]]</f>
        <v>18/17</v>
      </c>
      <c r="L163" s="97"/>
      <c r="M163" s="13"/>
      <c r="N163" s="149" t="str">
        <f>IF(AND(OR(League!G163="",League!H163="",League!G162="",League!H162="")),"L"&amp;League!A163,IF(League!G162+League!H163&gt;League!H162+League!G163,League!D163,IF(League!G162+League!H163&lt;League!H162+League!G163,League!K163,IF(AND(League!G162+League!H163=League!H162+League!G163,League!F163=League!I163),"L"&amp;League!A163,IF(AND(League!G162+League!H163=League!H162+League!G163,OR(League!F163="",League!I163="")),"L"&amp;League!A163,IF(AND(League!G162+League!H163=League!H162+League!G163,League!F163&gt;League!I163),League!K163,League!D163))))))</f>
        <v>LPO8</v>
      </c>
      <c r="O163" s="246"/>
      <c r="P163" s="249" t="str">
        <f>IF(AND(OR(League!G163="",League!H163="",League!G162="",League!H162="")),"WPO8",IF(League!G162+League!H163&gt;League!H162+League!G163,League!K163,IF(League!G162+League!H163&lt;League!H162+League!G163,League!D163,IF(AND(League!G162+League!H163=League!H162+League!G163,League!F163=League!I163),"WPO8",IF(AND(League!G162+League!H163=League!H162+League!G163,OR(League!F163="",League!I163="")),"WPO8",IF(AND(League!G162+League!H163=League!H162+League!G163,League!F163&gt;League!I163),League!D163,League!K163))))))</f>
        <v>WPO8</v>
      </c>
      <c r="Q163" s="228"/>
      <c r="R163" s="74"/>
      <c r="S163" s="74"/>
      <c r="T163" s="74"/>
      <c r="U163" s="264"/>
      <c r="V163" s="74"/>
      <c r="W163" s="74"/>
      <c r="X163" s="74"/>
      <c r="Y163" s="74"/>
      <c r="Z163" s="74"/>
      <c r="AA163" s="74"/>
      <c r="AB163" s="74"/>
      <c r="AC163" s="74"/>
      <c r="AD163" s="74"/>
      <c r="AE163" s="74"/>
      <c r="AF163" s="74"/>
      <c r="AG163" s="74"/>
      <c r="AH163" s="74"/>
      <c r="AI163" s="74"/>
      <c r="AJ163" s="74"/>
      <c r="AK163" s="74"/>
      <c r="AL163" s="13"/>
      <c r="AM163" s="13"/>
      <c r="AN163" s="13"/>
      <c r="AO163" s="13"/>
      <c r="AP163" s="13"/>
      <c r="AQ163" s="13"/>
      <c r="AR163" s="13"/>
      <c r="AS163" s="13"/>
      <c r="AT163" s="13"/>
      <c r="AU163" s="13"/>
      <c r="AV163" s="13"/>
      <c r="AW163" s="13"/>
      <c r="AX163" s="13"/>
      <c r="AY163" s="13"/>
      <c r="AZ163" s="13"/>
      <c r="BA163" s="13"/>
      <c r="BB163" s="13"/>
      <c r="BC163" s="13"/>
      <c r="BD163" s="13"/>
      <c r="BE163" s="13"/>
    </row>
    <row r="164" spans="1:57" ht="17.100000000000001" customHeight="1" thickBot="1">
      <c r="A164" s="97"/>
      <c r="B164" s="196"/>
      <c r="C164" s="196"/>
      <c r="D164" s="196"/>
      <c r="E164" s="97"/>
      <c r="F164" s="97"/>
      <c r="G164" s="97"/>
      <c r="H164" s="97"/>
      <c r="I164" s="97"/>
      <c r="J164" s="97"/>
      <c r="K164" s="97"/>
      <c r="L164" s="97"/>
      <c r="M164" s="13"/>
      <c r="N164" s="149"/>
      <c r="O164" s="247"/>
      <c r="P164" s="212"/>
      <c r="Q164" s="264"/>
      <c r="R164" s="74"/>
      <c r="S164" s="74"/>
      <c r="T164" s="74"/>
      <c r="U164" s="74"/>
      <c r="V164" s="74"/>
      <c r="W164" s="74"/>
      <c r="X164" s="74"/>
      <c r="Y164" s="74"/>
      <c r="Z164" s="74"/>
      <c r="AA164" s="74"/>
      <c r="AB164" s="74"/>
      <c r="AC164" s="74"/>
      <c r="AD164" s="74"/>
      <c r="AE164" s="74"/>
      <c r="AF164" s="74"/>
      <c r="AG164" s="74"/>
      <c r="AH164" s="74"/>
      <c r="AI164" s="74"/>
      <c r="AJ164" s="74"/>
      <c r="AK164" s="74"/>
      <c r="AL164" s="13"/>
      <c r="AM164" s="13"/>
      <c r="AN164" s="13"/>
      <c r="AO164" s="13"/>
      <c r="AP164" s="13"/>
      <c r="AQ164" s="13"/>
      <c r="AR164" s="13"/>
      <c r="AS164" s="74"/>
      <c r="AT164" s="74"/>
      <c r="AU164" s="13"/>
      <c r="AV164" s="13"/>
      <c r="AW164" s="13"/>
      <c r="AX164" s="13"/>
      <c r="AY164" s="13"/>
      <c r="AZ164" s="13"/>
      <c r="BA164" s="13"/>
      <c r="BB164" s="13"/>
      <c r="BC164" s="13"/>
      <c r="BD164" s="13"/>
      <c r="BE164" s="13"/>
    </row>
    <row r="165" spans="1:57" ht="17.100000000000001" customHeight="1" thickBot="1">
      <c r="A165" s="86" t="str">
        <f>Idiomas!D32</f>
        <v>Octavos de final</v>
      </c>
      <c r="B165" s="197"/>
      <c r="C165" s="197"/>
      <c r="D165" s="197" t="str">
        <f>D$1</f>
        <v>Equipo Local</v>
      </c>
      <c r="E165" s="110" t="str">
        <f t="shared" ref="E165:K165" si="10">E$1</f>
        <v>Badge</v>
      </c>
      <c r="F165" s="87" t="str">
        <f t="shared" si="10"/>
        <v>P</v>
      </c>
      <c r="G165" s="87" t="str">
        <f t="shared" si="10"/>
        <v>Gol</v>
      </c>
      <c r="H165" s="87" t="str">
        <f t="shared" si="10"/>
        <v>Gol</v>
      </c>
      <c r="I165" s="87" t="str">
        <f t="shared" si="10"/>
        <v>P</v>
      </c>
      <c r="J165" s="110" t="str">
        <f t="shared" si="10"/>
        <v>Badge</v>
      </c>
      <c r="K165" s="208" t="str">
        <f t="shared" si="10"/>
        <v>Equipo Visitante</v>
      </c>
      <c r="L165" s="267" t="s">
        <v>61</v>
      </c>
      <c r="M165" s="264"/>
      <c r="N165" s="149"/>
      <c r="O165" s="149"/>
      <c r="P165" s="224" t="str">
        <f>Idiomas!$D$65</f>
        <v>Clasificado</v>
      </c>
      <c r="Q165" s="264"/>
      <c r="R165" s="74"/>
      <c r="S165" s="74"/>
      <c r="T165" s="74"/>
      <c r="U165" s="74"/>
      <c r="V165" s="264"/>
      <c r="W165" s="264"/>
      <c r="X165" s="264"/>
      <c r="Y165"/>
      <c r="Z165"/>
      <c r="AA165"/>
      <c r="AB165"/>
      <c r="AC165"/>
      <c r="AD165"/>
      <c r="AE165"/>
      <c r="AF165" s="74"/>
      <c r="AG165" s="74"/>
      <c r="AH165" s="74"/>
      <c r="AI165" s="74"/>
      <c r="AJ165" s="74"/>
      <c r="AK165" s="74"/>
      <c r="AL165" s="75"/>
      <c r="AM165" s="75"/>
      <c r="AN165" s="75"/>
      <c r="AO165" s="75"/>
      <c r="AP165" s="75"/>
      <c r="AQ165" s="75"/>
      <c r="AR165" s="75"/>
      <c r="AS165" s="73"/>
      <c r="AT165" s="73"/>
      <c r="AU165" s="75"/>
      <c r="AV165" s="75"/>
      <c r="AW165" s="75"/>
      <c r="AX165" s="75"/>
      <c r="AY165" s="75"/>
      <c r="AZ165" s="75"/>
      <c r="BA165" s="75"/>
    </row>
    <row r="166" spans="1:57" ht="17.100000000000001" customHeight="1">
      <c r="A166" s="473" t="s">
        <v>86</v>
      </c>
      <c r="B166" s="498">
        <f>+Horarios!C166</f>
        <v>46091.875</v>
      </c>
      <c r="C166" s="475">
        <f>+Horarios!C166</f>
        <v>46091.875</v>
      </c>
      <c r="D166" s="192" t="str">
        <f>+CHL[[#This Row],[Home]]</f>
        <v>WPO1</v>
      </c>
      <c r="E166" s="158" t="str">
        <f>IFERROR(INDEX(TablaEquipos[Badge],MATCH(D166,TablaEquipos[Team],0)),"")</f>
        <v/>
      </c>
      <c r="F166" s="80"/>
      <c r="G166" s="507"/>
      <c r="H166" s="508"/>
      <c r="I166" s="509"/>
      <c r="J166" s="81" t="str">
        <f>IFERROR(INDEX(TablaEquipos[Badge],MATCH(K166,TablaEquipos[Team],0)),"")</f>
        <v/>
      </c>
      <c r="K166" s="209" t="str">
        <f>CHL[[#This Row],[Away]]</f>
        <v>5/6</v>
      </c>
      <c r="L166" s="97"/>
      <c r="M166" s="264"/>
      <c r="N166" s="247"/>
      <c r="O166" s="246"/>
      <c r="P166" s="225"/>
      <c r="Q166" s="264"/>
      <c r="R166" s="74"/>
      <c r="S166" s="74"/>
      <c r="T166" s="167"/>
      <c r="U166" s="74"/>
      <c r="V166"/>
      <c r="W166" s="264"/>
      <c r="X166" s="264"/>
      <c r="Y166" s="74"/>
      <c r="Z166" s="74"/>
      <c r="AA166" s="74"/>
      <c r="AB166" s="74"/>
      <c r="AC166" s="74"/>
      <c r="AD166" s="74"/>
      <c r="AE166" s="74"/>
      <c r="AF166" s="74"/>
      <c r="AG166" s="74"/>
      <c r="AH166" s="74"/>
      <c r="AI166" s="74"/>
      <c r="AJ166" s="74"/>
      <c r="AK166" s="74"/>
      <c r="AL166" s="185"/>
      <c r="AM166" s="13"/>
      <c r="AN166" s="13"/>
      <c r="AO166" s="13"/>
      <c r="AP166" s="13"/>
      <c r="AQ166" s="13"/>
      <c r="AR166" s="13"/>
      <c r="AS166" s="13"/>
      <c r="AT166" s="13"/>
      <c r="AU166" s="13"/>
      <c r="AV166" s="13"/>
      <c r="AW166" s="13"/>
      <c r="AX166" s="13"/>
      <c r="AY166" s="13"/>
      <c r="AZ166" s="13"/>
      <c r="BA166" s="13"/>
      <c r="BB166" s="13"/>
      <c r="BC166" s="13"/>
      <c r="BD166" s="13"/>
      <c r="BE166" s="13"/>
    </row>
    <row r="167" spans="1:57" ht="17.100000000000001" customHeight="1">
      <c r="A167" s="222" t="s">
        <v>86</v>
      </c>
      <c r="B167" s="497">
        <f>+Horarios!C167</f>
        <v>46099.875</v>
      </c>
      <c r="C167" s="469">
        <f>+Horarios!C167</f>
        <v>46099.875</v>
      </c>
      <c r="D167" s="191" t="str">
        <f>+CHL[[#This Row],[Home]]</f>
        <v>5/6</v>
      </c>
      <c r="E167" s="159" t="str">
        <f>IFERROR(INDEX(TablaEquipos[Badge],MATCH(D167,TablaEquipos[Team],0)),"")</f>
        <v/>
      </c>
      <c r="F167" s="174"/>
      <c r="G167" s="510"/>
      <c r="H167" s="511"/>
      <c r="I167" s="512"/>
      <c r="J167" s="82" t="str">
        <f>IFERROR(INDEX(TablaEquipos[Badge],MATCH(K167,TablaEquipos[Team],0)),"")</f>
        <v/>
      </c>
      <c r="K167" s="205" t="str">
        <f>CHL[[#This Row],[Away]]</f>
        <v>WPO1</v>
      </c>
      <c r="L167" s="97"/>
      <c r="M167" s="264"/>
      <c r="N167" s="149" t="str">
        <f>IF(AND(OR(League!G167="",League!H167="",League!G166="",League!H166="")),"L"&amp;League!A167,IF(League!G166+League!H167&gt;League!H166+League!G167,League!D167,IF(League!G166+League!H167&lt;League!H166+League!G167,League!K167,IF(AND(League!G166+League!H167=League!H166+League!G167,League!F167=League!I167),"L"&amp;League!A167,IF(AND(League!G166+League!H167=League!H166+League!G167,OR(League!F167="",League!I167="")),"L"&amp;League!A167,IF(AND(League!G166+League!H167=League!H166+League!G167,League!F167&gt;League!I167),League!K167,League!D167))))))</f>
        <v>LO1</v>
      </c>
      <c r="O167" s="246"/>
      <c r="P167" s="225" t="str">
        <f>IF(AND(OR(League!G167="",League!H167="",League!G166="",League!H166="")),"WO1",IF(League!G166+League!H167&gt;League!H166+League!G167,League!K167,IF(League!G166+League!H167&lt;League!H166+League!G167,League!D167,IF(AND(League!G166+League!H167=League!H166+League!G167,League!F167=League!I167),"WO1",IF(AND(League!G166+League!H167=League!H166+League!G167,OR(League!F167="",League!I167="")),"WO1",IF(AND(League!G166+League!H167=League!H166+League!G167,League!F167&gt;League!I167),League!D167,League!K167))))))</f>
        <v>WO1</v>
      </c>
      <c r="Q167" s="264"/>
      <c r="R167" s="74"/>
      <c r="S167" s="74"/>
      <c r="T167" s="167"/>
      <c r="U167" s="74"/>
      <c r="V167" s="264"/>
      <c r="W167" s="264"/>
      <c r="X167" s="264"/>
      <c r="Y167" s="74"/>
      <c r="Z167" s="74"/>
      <c r="AA167" s="74"/>
      <c r="AB167" s="74"/>
      <c r="AC167" s="74"/>
      <c r="AD167" s="74"/>
      <c r="AE167" s="74"/>
      <c r="AF167" s="74"/>
      <c r="AG167" s="74"/>
      <c r="AH167" s="74"/>
      <c r="AI167" s="74"/>
      <c r="AJ167" s="74"/>
      <c r="AK167" s="74"/>
      <c r="AL167" s="13"/>
      <c r="AM167" s="13"/>
      <c r="AN167" s="13"/>
      <c r="AO167" s="13"/>
      <c r="AP167" s="13"/>
      <c r="AQ167" s="13"/>
      <c r="AR167" s="13"/>
      <c r="AS167" s="13"/>
      <c r="AT167" s="13"/>
      <c r="AU167" s="13"/>
      <c r="AV167" s="13"/>
      <c r="AW167" s="13"/>
      <c r="AX167" s="13"/>
      <c r="AY167" s="13"/>
      <c r="AZ167" s="13"/>
      <c r="BA167" s="13"/>
      <c r="BB167" s="13"/>
      <c r="BC167" s="13"/>
      <c r="BD167" s="13"/>
      <c r="BE167" s="13"/>
    </row>
    <row r="168" spans="1:57" ht="17.100000000000001" customHeight="1">
      <c r="A168" s="242" t="s">
        <v>87</v>
      </c>
      <c r="B168" s="499">
        <f>+Horarios!C168</f>
        <v>46091.875</v>
      </c>
      <c r="C168" s="480">
        <f>+Horarios!C168</f>
        <v>46091.875</v>
      </c>
      <c r="D168" s="193" t="str">
        <f>+CHL[[#This Row],[Home]]</f>
        <v>WPO2</v>
      </c>
      <c r="E168" s="25" t="str">
        <f>IFERROR(INDEX(TablaEquipos[Badge],MATCH(D168,TablaEquipos[Team],0)),"")</f>
        <v/>
      </c>
      <c r="F168" s="24"/>
      <c r="G168" s="513"/>
      <c r="H168" s="513"/>
      <c r="I168" s="514"/>
      <c r="J168" s="26" t="str">
        <f>IFERROR(INDEX(TablaEquipos[Badge],MATCH(K168,TablaEquipos[Team],0)),"")</f>
        <v/>
      </c>
      <c r="K168" s="210" t="str">
        <f>CHL[[#This Row],[Away]]</f>
        <v>3/4</v>
      </c>
      <c r="L168" s="97"/>
      <c r="M168" s="264"/>
      <c r="N168" s="247"/>
      <c r="O168" s="246"/>
      <c r="P168" s="249"/>
      <c r="Q168" s="264"/>
      <c r="R168" s="13"/>
      <c r="S168" s="13"/>
      <c r="T168" s="227"/>
      <c r="U168" s="13"/>
      <c r="V168" s="137"/>
      <c r="W168" s="264"/>
      <c r="X168" s="264"/>
      <c r="Y168" s="13"/>
      <c r="Z168" s="74"/>
      <c r="AA168" s="74"/>
      <c r="AB168" s="74"/>
      <c r="AC168" s="74"/>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row>
    <row r="169" spans="1:57" ht="17.100000000000001" customHeight="1">
      <c r="A169" s="484" t="s">
        <v>87</v>
      </c>
      <c r="B169" s="500">
        <f>+Horarios!C169</f>
        <v>46099.875</v>
      </c>
      <c r="C169" s="480">
        <f>+Horarios!C169</f>
        <v>46099.875</v>
      </c>
      <c r="D169" s="193" t="str">
        <f>+CHL[[#This Row],[Home]]</f>
        <v>3/4</v>
      </c>
      <c r="E169" s="25" t="str">
        <f>IFERROR(INDEX(TablaEquipos[Badge],MATCH(D169,TablaEquipos[Team],0)),"")</f>
        <v/>
      </c>
      <c r="F169" s="176"/>
      <c r="G169" s="515"/>
      <c r="H169" s="515"/>
      <c r="I169" s="485"/>
      <c r="J169" s="85" t="str">
        <f>IFERROR(INDEX(TablaEquipos[Badge],MATCH(K169,TablaEquipos[Team],0)),"")</f>
        <v/>
      </c>
      <c r="K169" s="206" t="str">
        <f>CHL[[#This Row],[Away]]</f>
        <v>WPO2</v>
      </c>
      <c r="L169" s="97"/>
      <c r="M169" s="264"/>
      <c r="N169" s="149" t="str">
        <f>IF(AND(OR(League!G169="",League!H169="",League!G168="",League!H168="")),"L"&amp;League!A169,IF(League!G168+League!H169&gt;League!H168+League!G169,League!D169,IF(League!G168+League!H169&lt;League!H168+League!G169,League!K169,IF(AND(League!G168+League!H169=League!H168+League!G169,League!F169=League!I169),"L"&amp;League!A169,IF(AND(League!G168+League!H169=League!H168+League!G169,OR(League!F169="",League!I169="")),"L"&amp;League!A169,IF(AND(League!G168+League!H169=League!H168+League!G169,League!F169&gt;League!I169),League!K169,League!D169))))))</f>
        <v>LO2</v>
      </c>
      <c r="O169" s="246"/>
      <c r="P169" s="249" t="str">
        <f>IF(AND(OR(League!G169="",League!H169="",League!G168="",League!H168="")),"WO2",IF(League!G168+League!H169&gt;League!H168+League!G169,League!K169,IF(League!G168+League!H169&lt;League!H168+League!G169,League!D169,IF(AND(League!G168+League!H169=League!H168+League!G169,League!F169=League!I169),"WO2",IF(AND(League!G168+League!H169=League!H168+League!G169,OR(League!F169="",League!I169="")),"WO2",IF(AND(League!G168+League!H169=League!H168+League!G169,League!F169&gt;League!I169),League!D169,League!K169))))))</f>
        <v>WO2</v>
      </c>
      <c r="Q169" s="264"/>
      <c r="R169" s="13"/>
      <c r="S169" s="13"/>
      <c r="T169" s="227"/>
      <c r="U169" s="13"/>
      <c r="V169" s="74"/>
      <c r="W169" s="264"/>
      <c r="X169" s="264"/>
      <c r="Y169" s="74"/>
      <c r="Z169" s="74"/>
      <c r="AA169" s="74"/>
      <c r="AB169" s="74"/>
      <c r="AC169" s="74"/>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row>
    <row r="170" spans="1:57" ht="17.100000000000001" customHeight="1">
      <c r="A170" s="473" t="s">
        <v>88</v>
      </c>
      <c r="B170" s="498">
        <f>+Horarios!C170</f>
        <v>46091.875</v>
      </c>
      <c r="C170" s="475">
        <f>+Horarios!C170</f>
        <v>46091.875</v>
      </c>
      <c r="D170" s="192" t="str">
        <f>+CHL[[#This Row],[Home]]</f>
        <v>WPO3</v>
      </c>
      <c r="E170" s="80" t="str">
        <f>IFERROR(INDEX(TablaEquipos[Badge],MATCH(D170,TablaEquipos[Team],0)),"")</f>
        <v/>
      </c>
      <c r="F170" s="80"/>
      <c r="G170" s="507"/>
      <c r="H170" s="508"/>
      <c r="I170" s="516"/>
      <c r="J170" s="81" t="str">
        <f>IFERROR(INDEX(TablaEquipos[Badge],MATCH(K170,TablaEquipos[Team],0)),"")</f>
        <v/>
      </c>
      <c r="K170" s="209" t="str">
        <f>CHL[[#This Row],[Away]]</f>
        <v>7/8</v>
      </c>
      <c r="L170" s="97"/>
      <c r="M170" s="264"/>
      <c r="N170" s="247"/>
      <c r="O170" s="246"/>
      <c r="P170" s="225"/>
      <c r="Q170" s="264"/>
      <c r="R170" s="13"/>
      <c r="S170" s="13"/>
      <c r="T170" s="264"/>
      <c r="U170" s="13"/>
      <c r="V170" s="137"/>
      <c r="W170" s="264"/>
      <c r="X170" s="264"/>
      <c r="Y170" s="74"/>
      <c r="Z170" s="74"/>
      <c r="AA170" s="74"/>
      <c r="AB170" s="74"/>
      <c r="AC170" s="74"/>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row>
    <row r="171" spans="1:57" ht="17.100000000000001" customHeight="1">
      <c r="A171" s="222" t="s">
        <v>88</v>
      </c>
      <c r="B171" s="497">
        <f>+Horarios!C171</f>
        <v>46099.875</v>
      </c>
      <c r="C171" s="469">
        <f>+Horarios!C171</f>
        <v>46099.875</v>
      </c>
      <c r="D171" s="191" t="str">
        <f>+CHL[[#This Row],[Home]]</f>
        <v>7/8</v>
      </c>
      <c r="E171" s="80" t="str">
        <f>IFERROR(INDEX(TablaEquipos[Badge],MATCH(D171,TablaEquipos[Team],0)),"")</f>
        <v/>
      </c>
      <c r="F171" s="174"/>
      <c r="G171" s="510"/>
      <c r="H171" s="511"/>
      <c r="I171" s="512"/>
      <c r="J171" s="82" t="str">
        <f>IFERROR(INDEX(TablaEquipos[Badge],MATCH(K171,TablaEquipos[Team],0)),"")</f>
        <v/>
      </c>
      <c r="K171" s="205" t="str">
        <f>CHL[[#This Row],[Away]]</f>
        <v>WPO3</v>
      </c>
      <c r="L171" s="97"/>
      <c r="M171" s="264"/>
      <c r="N171" s="149" t="str">
        <f>IF(AND(OR(League!G171="",League!H171="",League!G170="",League!H170="")),"L"&amp;League!A171,IF(League!G170+League!H171&gt;League!H170+League!G171,League!D171,IF(League!G170+League!H171&lt;League!H170+League!G171,League!K171,IF(AND(League!G170+League!H171=League!H170+League!G171,League!F171=League!I171),"L"&amp;League!A171,IF(AND(League!G170+League!H171=League!H170+League!G171,OR(League!F171="",League!I171="")),"L"&amp;League!A171,IF(AND(League!G170+League!H171=League!H170+League!G171,League!F171&gt;League!I171),League!K171,League!D171))))))</f>
        <v>LO3</v>
      </c>
      <c r="O171" s="246"/>
      <c r="P171" s="225" t="str">
        <f>IF(AND(OR(League!G171="",League!H171="",League!G170="",League!H170="")),"WO3",IF(League!G170+League!H171&gt;League!H170+League!G171,League!K171,IF(League!G170+League!H171&lt;League!H170+League!G171,League!D171,IF(AND(League!G170+League!H171=League!H170+League!G171,League!F171=League!I171),"WO3",IF(AND(League!G170+League!H171=League!H170+League!G171,OR(League!F171="",League!I171="")),"WO3",IF(AND(League!G170+League!H171=League!H170+League!G171,League!F171&gt;League!I171),League!D171,League!K171))))))</f>
        <v>WO3</v>
      </c>
      <c r="Q171" s="264"/>
      <c r="R171" s="13"/>
      <c r="S171" s="13"/>
      <c r="T171" s="264"/>
      <c r="U171" s="13"/>
      <c r="V171" s="74"/>
      <c r="W171" s="264"/>
      <c r="X171" s="264"/>
      <c r="Y171" s="13"/>
      <c r="Z171" s="74"/>
      <c r="AA171" s="74"/>
      <c r="AB171" s="74"/>
      <c r="AC171" s="74"/>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row>
    <row r="172" spans="1:57" ht="17.100000000000001" customHeight="1">
      <c r="A172" s="242" t="s">
        <v>89</v>
      </c>
      <c r="B172" s="499">
        <f>+Horarios!C172</f>
        <v>46091.875</v>
      </c>
      <c r="C172" s="480">
        <f>+Horarios!C172</f>
        <v>46091.875</v>
      </c>
      <c r="D172" s="193" t="str">
        <f>+CHL[[#This Row],[Home]]</f>
        <v>WPO4</v>
      </c>
      <c r="E172" s="25" t="str">
        <f>IFERROR(INDEX(TablaEquipos[Badge],MATCH(D172,TablaEquipos[Team],0)),"")</f>
        <v/>
      </c>
      <c r="F172" s="24"/>
      <c r="G172" s="513"/>
      <c r="H172" s="513"/>
      <c r="I172" s="514"/>
      <c r="J172" s="26" t="str">
        <f>IFERROR(INDEX(TablaEquipos[Badge],MATCH(K172,TablaEquipos[Team],0)),"")</f>
        <v/>
      </c>
      <c r="K172" s="210" t="str">
        <f>CHL[[#This Row],[Away]]</f>
        <v>1/2</v>
      </c>
      <c r="L172" s="97"/>
      <c r="M172" s="264"/>
      <c r="N172" s="247"/>
      <c r="O172" s="246"/>
      <c r="P172" s="249"/>
      <c r="Q172" s="264"/>
      <c r="R172" s="13"/>
      <c r="S172" s="13"/>
      <c r="T172" s="11"/>
      <c r="U172" s="13"/>
      <c r="V172"/>
      <c r="W172" s="264"/>
      <c r="X172" s="264"/>
      <c r="Y172" s="74"/>
      <c r="Z172" s="74"/>
      <c r="AA172" s="74"/>
      <c r="AB172" s="74"/>
      <c r="AC172" s="74"/>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row>
    <row r="173" spans="1:57" ht="17.100000000000001" customHeight="1">
      <c r="A173" s="484" t="s">
        <v>89</v>
      </c>
      <c r="B173" s="500">
        <f>+Horarios!C173</f>
        <v>46099.875</v>
      </c>
      <c r="C173" s="480">
        <f>+Horarios!C173</f>
        <v>46099.875</v>
      </c>
      <c r="D173" s="193" t="str">
        <f>+CHL[[#This Row],[Home]]</f>
        <v>1/2</v>
      </c>
      <c r="E173" s="25" t="str">
        <f>IFERROR(INDEX(TablaEquipos[Badge],MATCH(D173,TablaEquipos[Team],0)),"")</f>
        <v/>
      </c>
      <c r="F173" s="176"/>
      <c r="G173" s="515"/>
      <c r="H173" s="515"/>
      <c r="I173" s="485"/>
      <c r="J173" s="85" t="str">
        <f>IFERROR(INDEX(TablaEquipos[Badge],MATCH(K173,TablaEquipos[Team],0)),"")</f>
        <v/>
      </c>
      <c r="K173" s="206" t="str">
        <f>CHL[[#This Row],[Away]]</f>
        <v>WPO4</v>
      </c>
      <c r="L173" s="97"/>
      <c r="M173" s="264"/>
      <c r="N173" s="149" t="str">
        <f>IF(AND(OR(League!G173="",League!H173="",League!G172="",League!H172="")),"L"&amp;League!A173,IF(League!G172+League!H173&gt;League!H172+League!G173,League!D173,IF(League!G172+League!H173&lt;League!H172+League!G173,League!K173,IF(AND(League!G172+League!H173=League!H172+League!G173,League!F173=League!I173),"L"&amp;League!A173,IF(AND(League!G172+League!H173=League!H172+League!G173,OR(League!F173="",League!I173="")),"L"&amp;League!A173,IF(AND(League!G172+League!H173=League!H172+League!G173,League!F173&gt;League!I173),League!K173,League!D173))))))</f>
        <v>LO4</v>
      </c>
      <c r="O173" s="246"/>
      <c r="P173" s="249" t="str">
        <f>IF(AND(OR(League!G173="",League!H173="",League!G172="",League!H172="")),"WO4",IF(League!G172+League!H173&gt;League!H172+League!G173,League!K173,IF(League!G172+League!H173&lt;League!H172+League!G173,League!D173,IF(AND(League!G172+League!H173=League!H172+League!G173,League!F173=League!I173),"WO4",IF(AND(League!G172+League!H173=League!H172+League!G173,OR(League!F173="",League!I173="")),"WO4",IF(AND(League!G172+League!H173=League!H172+League!G173,League!F173&gt;League!I173),League!D173,League!K173))))))</f>
        <v>WO4</v>
      </c>
      <c r="Q173" s="264"/>
      <c r="R173" s="13"/>
      <c r="S173" s="13"/>
      <c r="T173" s="11"/>
      <c r="U173" s="13"/>
      <c r="V173" s="74"/>
      <c r="W173" s="264"/>
      <c r="X173" s="264"/>
      <c r="Y173" s="74"/>
      <c r="Z173" s="74"/>
      <c r="AA173" s="74"/>
      <c r="AB173" s="74"/>
      <c r="AC173" s="74"/>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row>
    <row r="174" spans="1:57" ht="17.100000000000001" customHeight="1">
      <c r="A174" s="473" t="s">
        <v>90</v>
      </c>
      <c r="B174" s="498">
        <f>+Horarios!C174</f>
        <v>46092.875</v>
      </c>
      <c r="C174" s="475">
        <f>+Horarios!C174</f>
        <v>46092.875</v>
      </c>
      <c r="D174" s="192" t="str">
        <f>+CHL[[#This Row],[Home]]</f>
        <v>WPO5</v>
      </c>
      <c r="E174" s="80" t="str">
        <f>IFERROR(INDEX(TablaEquipos[Badge],MATCH(D174,TablaEquipos[Team],0)),"")</f>
        <v/>
      </c>
      <c r="F174" s="80"/>
      <c r="G174" s="507"/>
      <c r="H174" s="508"/>
      <c r="I174" s="516"/>
      <c r="J174" s="81" t="str">
        <f>IFERROR(INDEX(TablaEquipos[Badge],MATCH(K174,TablaEquipos[Team],0)),"")</f>
        <v/>
      </c>
      <c r="K174" s="209" t="str">
        <f>CHL[[#This Row],[Away]]</f>
        <v>6/5</v>
      </c>
      <c r="L174" s="97"/>
      <c r="M174" s="264"/>
      <c r="N174" s="247"/>
      <c r="O174" s="246"/>
      <c r="P174" s="225"/>
      <c r="Q174" s="13"/>
      <c r="R174" s="264"/>
      <c r="S174" s="264"/>
      <c r="T174" s="227"/>
      <c r="U174" s="264"/>
      <c r="V174"/>
      <c r="W174" s="264"/>
      <c r="X174" s="264"/>
      <c r="Y174"/>
      <c r="Z174"/>
      <c r="AA174"/>
      <c r="AB174"/>
      <c r="AC174"/>
      <c r="AD174"/>
      <c r="AE174"/>
      <c r="AF174" s="74"/>
      <c r="AG174" s="74"/>
      <c r="AH174" s="74"/>
      <c r="AI174" s="264"/>
      <c r="AJ174" s="228"/>
      <c r="AK174" s="264"/>
      <c r="AL174" s="13"/>
      <c r="AM174" s="13"/>
      <c r="AN174" s="13"/>
      <c r="AO174" s="13"/>
      <c r="AP174" s="13"/>
      <c r="AQ174" s="13"/>
      <c r="AR174" s="13"/>
      <c r="AS174" s="13"/>
      <c r="AT174" s="13"/>
      <c r="AU174" s="13"/>
      <c r="AV174" s="13"/>
      <c r="AW174" s="13"/>
      <c r="AX174" s="13"/>
      <c r="AY174" s="13"/>
      <c r="AZ174" s="13"/>
      <c r="BA174" s="13"/>
      <c r="BB174" s="13"/>
      <c r="BC174" s="13"/>
      <c r="BD174" s="13"/>
      <c r="BE174" s="13"/>
    </row>
    <row r="175" spans="1:57" ht="17.100000000000001" customHeight="1">
      <c r="A175" s="222" t="s">
        <v>90</v>
      </c>
      <c r="B175" s="497">
        <f>+Horarios!C175</f>
        <v>46098.875</v>
      </c>
      <c r="C175" s="469">
        <f>+Horarios!C175</f>
        <v>46098.875</v>
      </c>
      <c r="D175" s="191" t="str">
        <f>+CHL[[#This Row],[Home]]</f>
        <v>6/5</v>
      </c>
      <c r="E175" s="80" t="str">
        <f>IFERROR(INDEX(TablaEquipos[Badge],MATCH(D175,TablaEquipos[Team],0)),"")</f>
        <v/>
      </c>
      <c r="F175" s="174"/>
      <c r="G175" s="510"/>
      <c r="H175" s="511"/>
      <c r="I175" s="512"/>
      <c r="J175" s="82" t="str">
        <f>IFERROR(INDEX(TablaEquipos[Badge],MATCH(K175,TablaEquipos[Team],0)),"")</f>
        <v/>
      </c>
      <c r="K175" s="205" t="str">
        <f>CHL[[#This Row],[Away]]</f>
        <v>WPO5</v>
      </c>
      <c r="L175" s="97"/>
      <c r="M175" s="13"/>
      <c r="N175" s="149" t="str">
        <f>IF(AND(OR(League!G175="",League!H175="",League!G174="",League!H174="")),"L"&amp;League!A175,IF(League!G174+League!H175&gt;League!H174+League!G175,League!D175,IF(League!G174+League!H175&lt;League!H174+League!G175,League!K175,IF(AND(League!G174+League!H175=League!H174+League!G175,League!F175=League!I175),"L"&amp;League!A175,IF(AND(League!G174+League!H175=League!H174+League!G175,OR(League!F175="",League!I175="")),"L"&amp;League!A175,IF(AND(League!G174+League!H175=League!H174+League!G175,League!F175&gt;League!I175),League!K175,League!D175))))))</f>
        <v>LO5</v>
      </c>
      <c r="O175" s="246"/>
      <c r="P175" s="225" t="str">
        <f>IF(AND(OR(League!G175="",League!H175="",League!G174="",League!H174="")),"WO5",IF(League!G174+League!H175&gt;League!H174+League!G175,League!K175,IF(League!G174+League!H175&lt;League!H174+League!G175,League!D175,IF(AND(League!G174+League!H175=League!H174+League!G175,League!F175=League!I175),"WO5",IF(AND(League!G174+League!H175=League!H174+League!G175,OR(League!F175="",League!I175="")),"WO5",IF(AND(League!G174+League!H175=League!H174+League!G175,League!F175&gt;League!I175),League!D175,League!K175))))))</f>
        <v>WO5</v>
      </c>
      <c r="Q175" s="13"/>
      <c r="R175" s="13"/>
      <c r="S175" s="13"/>
      <c r="T175" s="11"/>
      <c r="U175" s="13"/>
      <c r="V175" s="74"/>
      <c r="W175" s="264"/>
      <c r="X175" s="264"/>
      <c r="Y175" s="13"/>
      <c r="Z175" s="13"/>
      <c r="AA175" s="13"/>
      <c r="AB175" s="13"/>
      <c r="AC175" s="13"/>
      <c r="AD175" s="13"/>
      <c r="AE175" s="13"/>
      <c r="AF175" s="13"/>
      <c r="AG175" s="13"/>
      <c r="AH175" s="13"/>
      <c r="AI175" s="13"/>
      <c r="AJ175" s="228"/>
      <c r="AK175" s="13"/>
      <c r="AL175" s="13"/>
      <c r="AM175" s="13"/>
      <c r="AN175" s="13"/>
      <c r="AO175" s="13"/>
      <c r="AP175" s="13"/>
      <c r="AQ175" s="13"/>
      <c r="AR175" s="13"/>
      <c r="AS175" s="13"/>
      <c r="AT175" s="13"/>
      <c r="AU175" s="13"/>
      <c r="AV175" s="13"/>
      <c r="AW175" s="13"/>
      <c r="AX175" s="13"/>
      <c r="AY175" s="13"/>
      <c r="AZ175" s="13"/>
      <c r="BA175" s="13"/>
      <c r="BB175" s="13"/>
      <c r="BC175" s="13"/>
      <c r="BD175" s="13"/>
      <c r="BE175" s="13"/>
    </row>
    <row r="176" spans="1:57" ht="17.100000000000001" customHeight="1">
      <c r="A176" s="242" t="s">
        <v>91</v>
      </c>
      <c r="B176" s="499">
        <f>+Horarios!C176</f>
        <v>46092.875</v>
      </c>
      <c r="C176" s="480">
        <f>+Horarios!C176</f>
        <v>46092.875</v>
      </c>
      <c r="D176" s="193" t="str">
        <f>+CHL[[#This Row],[Home]]</f>
        <v>WPO6</v>
      </c>
      <c r="E176" s="25" t="str">
        <f>IFERROR(INDEX(TablaEquipos[Badge],MATCH(D176,TablaEquipos[Team],0)),"")</f>
        <v/>
      </c>
      <c r="F176" s="24"/>
      <c r="G176" s="513"/>
      <c r="H176" s="513"/>
      <c r="I176" s="514"/>
      <c r="J176" s="26" t="str">
        <f>IFERROR(INDEX(TablaEquipos[Badge],MATCH(K176,TablaEquipos[Team],0)),"")</f>
        <v/>
      </c>
      <c r="K176" s="210" t="str">
        <f>CHL[[#This Row],[Away]]</f>
        <v>4/3</v>
      </c>
      <c r="L176" s="97"/>
      <c r="M176" s="13"/>
      <c r="N176" s="247"/>
      <c r="O176" s="246"/>
      <c r="P176" s="249"/>
      <c r="Q176" s="13"/>
      <c r="R176" s="13"/>
      <c r="S176" s="13"/>
      <c r="T176" s="11"/>
      <c r="U176" s="13"/>
      <c r="V176" s="137"/>
      <c r="W176" s="264"/>
      <c r="X176" s="264"/>
      <c r="Y176" s="13"/>
      <c r="Z176" s="13"/>
      <c r="AA176" s="13"/>
      <c r="AB176" s="13"/>
      <c r="AC176" s="13"/>
      <c r="AD176" s="13"/>
      <c r="AE176" s="13"/>
      <c r="AF176" s="13"/>
      <c r="AG176" s="13"/>
      <c r="AH176" s="13"/>
      <c r="AI176" s="13"/>
      <c r="AJ176" s="228"/>
      <c r="AK176" s="13"/>
      <c r="AL176" s="13"/>
      <c r="AM176" s="13"/>
      <c r="AN176" s="13"/>
      <c r="AO176" s="13"/>
      <c r="AP176" s="13"/>
      <c r="AQ176" s="13"/>
      <c r="AR176" s="13"/>
      <c r="AS176" s="13"/>
      <c r="AT176" s="13"/>
      <c r="AU176" s="13"/>
      <c r="AV176" s="13"/>
      <c r="AW176" s="13"/>
      <c r="AX176" s="13"/>
      <c r="AY176" s="13"/>
      <c r="AZ176" s="13"/>
      <c r="BA176" s="13"/>
      <c r="BB176" s="13"/>
      <c r="BC176" s="13"/>
      <c r="BD176" s="13"/>
      <c r="BE176" s="13"/>
    </row>
    <row r="177" spans="1:57" ht="17.100000000000001" customHeight="1">
      <c r="A177" s="484" t="s">
        <v>91</v>
      </c>
      <c r="B177" s="500">
        <f>+Horarios!C177</f>
        <v>46098.875</v>
      </c>
      <c r="C177" s="480">
        <f>+Horarios!C177</f>
        <v>46098.875</v>
      </c>
      <c r="D177" s="193" t="str">
        <f>+CHL[[#This Row],[Home]]</f>
        <v>4/3</v>
      </c>
      <c r="E177" s="25" t="str">
        <f>IFERROR(INDEX(TablaEquipos[Badge],MATCH(D177,TablaEquipos[Team],0)),"")</f>
        <v/>
      </c>
      <c r="F177" s="176"/>
      <c r="G177" s="515"/>
      <c r="H177" s="515"/>
      <c r="I177" s="485"/>
      <c r="J177" s="85" t="str">
        <f>IFERROR(INDEX(TablaEquipos[Badge],MATCH(K177,TablaEquipos[Team],0)),"")</f>
        <v/>
      </c>
      <c r="K177" s="206" t="str">
        <f>CHL[[#This Row],[Away]]</f>
        <v>WPO6</v>
      </c>
      <c r="L177" s="97"/>
      <c r="M177" s="13"/>
      <c r="N177" s="149" t="str">
        <f>IF(AND(OR(League!G177="",League!H177="",League!G176="",League!H176="")),"L"&amp;League!A177,IF(League!G176+League!H177&gt;League!H176+League!G177,League!D177,IF(League!G176+League!H177&lt;League!H176+League!G177,League!K177,IF(AND(League!G176+League!H177=League!H176+League!G177,League!F177=League!I177),"L"&amp;League!A177,IF(AND(League!G176+League!H177=League!H176+League!G177,OR(League!F177="",League!I177="")),"L"&amp;League!A177,IF(AND(League!G176+League!H177=League!H176+League!G177,League!F177&gt;League!I177),League!K177,League!D177))))))</f>
        <v>LO6</v>
      </c>
      <c r="O177" s="246"/>
      <c r="P177" s="249" t="str">
        <f>IF(AND(OR(League!G177="",League!H177="",League!G176="",League!H176="")),"WO6",IF(League!G176+League!H177&gt;League!H176+League!G177,League!K177,IF(League!G176+League!H177&lt;League!H176+League!G177,League!D177,IF(AND(League!G176+League!H177=League!H176+League!G177,League!F177=League!I177),"WO6",IF(AND(League!G176+League!H177=League!H176+League!G177,OR(League!F177="",League!I177="")),"WO6",IF(AND(League!G176+League!H177=League!H176+League!G177,League!F177&gt;League!I177),League!D177,League!K177))))))</f>
        <v>WO6</v>
      </c>
      <c r="Q177" s="13"/>
      <c r="R177" s="13"/>
      <c r="S177" s="13"/>
      <c r="T177" s="11"/>
      <c r="U177" s="13"/>
      <c r="V177" s="74"/>
      <c r="W177" s="264"/>
      <c r="X177" s="264"/>
      <c r="Y177" s="13"/>
      <c r="Z177" s="13"/>
      <c r="AA177" s="13"/>
      <c r="AB177" s="13"/>
      <c r="AC177" s="13"/>
      <c r="AD177" s="13"/>
      <c r="AE177" s="13"/>
      <c r="AF177" s="13"/>
      <c r="AG177" s="13"/>
      <c r="AH177" s="13"/>
      <c r="AI177" s="13"/>
      <c r="AJ177" s="228"/>
      <c r="AK177" s="13"/>
      <c r="AL177" s="13"/>
      <c r="AM177" s="13"/>
      <c r="AN177" s="13"/>
      <c r="AO177" s="13"/>
      <c r="AP177" s="13"/>
      <c r="AQ177" s="13"/>
      <c r="AR177" s="13"/>
      <c r="AS177" s="13"/>
      <c r="AT177" s="13"/>
      <c r="AU177" s="13"/>
      <c r="AV177" s="13"/>
      <c r="AW177" s="13"/>
      <c r="AX177" s="13"/>
      <c r="AY177" s="13"/>
      <c r="AZ177" s="13"/>
      <c r="BA177" s="13"/>
      <c r="BB177" s="13"/>
      <c r="BC177" s="13"/>
      <c r="BD177" s="13"/>
      <c r="BE177" s="13"/>
    </row>
    <row r="178" spans="1:57" ht="17.100000000000001" customHeight="1">
      <c r="A178" s="473" t="s">
        <v>92</v>
      </c>
      <c r="B178" s="498">
        <f>+Horarios!C178</f>
        <v>46092.875</v>
      </c>
      <c r="C178" s="475">
        <f>+Horarios!C178</f>
        <v>46092.875</v>
      </c>
      <c r="D178" s="192" t="str">
        <f>+CHL[[#This Row],[Home]]</f>
        <v>WPO7</v>
      </c>
      <c r="E178" s="80" t="str">
        <f>IFERROR(INDEX(TablaEquipos[Badge],MATCH(D178,TablaEquipos[Team],0)),"")</f>
        <v/>
      </c>
      <c r="F178" s="80"/>
      <c r="G178" s="507"/>
      <c r="H178" s="508"/>
      <c r="I178" s="516"/>
      <c r="J178" s="81" t="str">
        <f>IFERROR(INDEX(TablaEquipos[Badge],MATCH(K178,TablaEquipos[Team],0)),"")</f>
        <v/>
      </c>
      <c r="K178" s="209" t="str">
        <f>CHL[[#This Row],[Away]]</f>
        <v>8/7</v>
      </c>
      <c r="L178" s="97"/>
      <c r="M178" s="13"/>
      <c r="N178" s="247"/>
      <c r="O178" s="246"/>
      <c r="P178" s="225"/>
      <c r="Q178" s="13"/>
      <c r="R178" s="13"/>
      <c r="S178" s="13"/>
      <c r="T178" s="11"/>
      <c r="U178" s="13"/>
      <c r="V178" s="137"/>
      <c r="W178" s="264"/>
      <c r="X178" s="264"/>
      <c r="Y178" s="13"/>
      <c r="Z178" s="13"/>
      <c r="AA178" s="13"/>
      <c r="AB178" s="13"/>
      <c r="AC178" s="13"/>
      <c r="AD178" s="13"/>
      <c r="AE178" s="13"/>
      <c r="AF178" s="13"/>
      <c r="AG178" s="13"/>
      <c r="AH178" s="13"/>
      <c r="AI178" s="13"/>
      <c r="AJ178" s="228"/>
      <c r="AK178" s="13"/>
      <c r="AL178" s="13"/>
      <c r="AM178" s="13"/>
      <c r="AN178" s="13"/>
      <c r="AO178" s="13"/>
      <c r="AP178" s="13"/>
      <c r="AQ178" s="13"/>
      <c r="AR178" s="13"/>
      <c r="AS178" s="13"/>
      <c r="AT178" s="13"/>
      <c r="AU178" s="13"/>
      <c r="AV178" s="13"/>
      <c r="AW178" s="13"/>
      <c r="AX178" s="13"/>
      <c r="AY178" s="13"/>
      <c r="AZ178" s="13"/>
      <c r="BA178" s="13"/>
      <c r="BB178" s="13"/>
      <c r="BC178" s="13"/>
      <c r="BD178" s="13"/>
      <c r="BE178" s="13"/>
    </row>
    <row r="179" spans="1:57" ht="17.100000000000001" customHeight="1">
      <c r="A179" s="222" t="s">
        <v>92</v>
      </c>
      <c r="B179" s="497">
        <f>+Horarios!C179</f>
        <v>46098.875</v>
      </c>
      <c r="C179" s="469">
        <f>+Horarios!C179</f>
        <v>46098.875</v>
      </c>
      <c r="D179" s="191" t="str">
        <f>+CHL[[#This Row],[Home]]</f>
        <v>8/7</v>
      </c>
      <c r="E179" s="80" t="str">
        <f>IFERROR(INDEX(TablaEquipos[Badge],MATCH(D179,TablaEquipos[Team],0)),"")</f>
        <v/>
      </c>
      <c r="F179" s="174"/>
      <c r="G179" s="510"/>
      <c r="H179" s="511"/>
      <c r="I179" s="512"/>
      <c r="J179" s="82" t="str">
        <f>IFERROR(INDEX(TablaEquipos[Badge],MATCH(K179,TablaEquipos[Team],0)),"")</f>
        <v/>
      </c>
      <c r="K179" s="205" t="str">
        <f>CHL[[#This Row],[Away]]</f>
        <v>WPO7</v>
      </c>
      <c r="L179" s="97"/>
      <c r="M179" s="13"/>
      <c r="N179" s="149" t="str">
        <f>IF(AND(OR(League!G179="",League!H179="",League!G178="",League!H178="")),"L"&amp;League!A179,IF(League!G178+League!H179&gt;League!H178+League!G179,League!D179,IF(League!G178+League!H179&lt;League!H178+League!G179,League!K179,IF(AND(League!G178+League!H179=League!H178+League!G179,League!F179=League!I179),"L"&amp;League!A179,IF(AND(League!G178+League!H179=League!H178+League!G179,OR(League!F179="",League!I179="")),"L"&amp;League!A179,IF(AND(League!G178+League!H179=League!H178+League!G179,League!F179&gt;League!I179),League!K179,League!D179))))))</f>
        <v>LO7</v>
      </c>
      <c r="O179" s="246"/>
      <c r="P179" s="225" t="str">
        <f>IF(AND(OR(League!G179="",League!H179="",League!G178="",League!H178="")),"WO7",IF(League!G178+League!H179&gt;League!H178+League!G179,League!K179,IF(League!G178+League!H179&lt;League!H178+League!G179,League!D179,IF(AND(League!G178+League!H179=League!H178+League!G179,League!F179=League!I179),"WO7",IF(AND(League!G178+League!H179=League!H178+League!G179,OR(League!F179="",League!I179="")),"WO7",IF(AND(League!G178+League!H179=League!H178+League!G179,League!F179&gt;League!I179),League!D179,League!K179))))))</f>
        <v>WO7</v>
      </c>
      <c r="Q179" s="13"/>
      <c r="R179" s="13"/>
      <c r="S179" s="13"/>
      <c r="T179" s="11"/>
      <c r="U179" s="13"/>
      <c r="V179" s="74"/>
      <c r="W179" s="264"/>
      <c r="X179" s="264"/>
      <c r="Y179" s="13"/>
      <c r="Z179" s="13"/>
      <c r="AA179" s="13"/>
      <c r="AB179" s="13"/>
      <c r="AC179" s="13"/>
      <c r="AD179" s="13"/>
      <c r="AE179" s="13"/>
      <c r="AF179" s="13"/>
      <c r="AG179" s="13"/>
      <c r="AH179" s="13"/>
      <c r="AI179" s="13"/>
      <c r="AJ179" s="228"/>
      <c r="AK179" s="13"/>
      <c r="AL179" s="13"/>
      <c r="AM179" s="13"/>
      <c r="AN179" s="13"/>
      <c r="AO179" s="13"/>
      <c r="AP179" s="13"/>
      <c r="AQ179" s="13"/>
      <c r="AR179" s="13"/>
      <c r="AS179" s="13"/>
      <c r="AT179" s="13"/>
      <c r="AU179" s="13"/>
      <c r="AV179" s="13"/>
      <c r="AW179" s="13"/>
      <c r="AX179" s="13"/>
      <c r="AY179" s="13"/>
      <c r="AZ179" s="13"/>
      <c r="BA179" s="13"/>
      <c r="BB179" s="13"/>
      <c r="BC179" s="13"/>
      <c r="BD179" s="13"/>
      <c r="BE179" s="13"/>
    </row>
    <row r="180" spans="1:57" ht="17.100000000000001" customHeight="1">
      <c r="A180" s="242" t="s">
        <v>93</v>
      </c>
      <c r="B180" s="499">
        <f>+Horarios!C180</f>
        <v>46092.875</v>
      </c>
      <c r="C180" s="480">
        <f>+Horarios!C180</f>
        <v>46092.875</v>
      </c>
      <c r="D180" s="193" t="str">
        <f>+CHL[[#This Row],[Home]]</f>
        <v>WPO8</v>
      </c>
      <c r="E180" s="25" t="str">
        <f>IFERROR(INDEX(TablaEquipos[Badge],MATCH(D180,TablaEquipos[Team],0)),"")</f>
        <v/>
      </c>
      <c r="F180" s="24"/>
      <c r="G180" s="513"/>
      <c r="H180" s="513"/>
      <c r="I180" s="514"/>
      <c r="J180" s="26" t="str">
        <f>IFERROR(INDEX(TablaEquipos[Badge],MATCH(K180,TablaEquipos[Team],0)),"")</f>
        <v/>
      </c>
      <c r="K180" s="210" t="str">
        <f>CHL[[#This Row],[Away]]</f>
        <v>2/1</v>
      </c>
      <c r="L180" s="97"/>
      <c r="M180" s="13"/>
      <c r="N180" s="247"/>
      <c r="O180" s="246"/>
      <c r="P180" s="249"/>
      <c r="Q180" s="13"/>
      <c r="R180" s="13"/>
      <c r="S180" s="13"/>
      <c r="T180" s="11"/>
      <c r="U180" s="13"/>
      <c r="V180"/>
      <c r="W180" s="264"/>
      <c r="X180" s="264"/>
      <c r="Y180" s="13"/>
      <c r="Z180" s="13"/>
      <c r="AA180" s="13"/>
      <c r="AB180" s="13"/>
      <c r="AC180" s="13"/>
      <c r="AD180" s="13"/>
      <c r="AE180" s="13"/>
      <c r="AF180" s="13"/>
      <c r="AG180" s="13"/>
      <c r="AH180" s="13"/>
      <c r="AI180" s="13"/>
      <c r="AJ180" s="228"/>
      <c r="AK180" s="13"/>
      <c r="AL180" s="13"/>
      <c r="AM180" s="13"/>
      <c r="AN180" s="13"/>
      <c r="AO180" s="13"/>
      <c r="AP180" s="13"/>
      <c r="AQ180" s="13"/>
      <c r="AR180" s="13"/>
      <c r="AS180" s="13"/>
      <c r="AT180" s="13"/>
      <c r="AU180" s="13"/>
      <c r="AV180" s="13"/>
      <c r="AW180" s="13"/>
      <c r="AX180" s="13"/>
      <c r="AY180" s="13"/>
      <c r="AZ180" s="13"/>
      <c r="BA180" s="13"/>
      <c r="BB180" s="13"/>
      <c r="BC180" s="13"/>
      <c r="BD180" s="13"/>
      <c r="BE180" s="13"/>
    </row>
    <row r="181" spans="1:57" ht="18" customHeight="1" thickBot="1">
      <c r="A181" s="501" t="s">
        <v>93</v>
      </c>
      <c r="B181" s="517">
        <f>+Horarios!C181</f>
        <v>46098.875</v>
      </c>
      <c r="C181" s="503">
        <f>+Horarios!C181</f>
        <v>46098.875</v>
      </c>
      <c r="D181" s="198" t="str">
        <f>+CHL[[#This Row],[Home]]</f>
        <v>2/1</v>
      </c>
      <c r="E181" s="76" t="str">
        <f>IFERROR(INDEX(TablaEquipos[Badge],MATCH(D181,TablaEquipos[Team],0)),"")</f>
        <v/>
      </c>
      <c r="F181" s="175"/>
      <c r="G181" s="518"/>
      <c r="H181" s="518"/>
      <c r="I181" s="519"/>
      <c r="J181" s="77" t="str">
        <f>IFERROR(INDEX(TablaEquipos[Badge],MATCH(K181,TablaEquipos[Team],0)),"")</f>
        <v/>
      </c>
      <c r="K181" s="207" t="str">
        <f>CHL[[#This Row],[Away]]</f>
        <v>WPO8</v>
      </c>
      <c r="L181" s="97"/>
      <c r="M181" s="13"/>
      <c r="N181" s="149" t="str">
        <f>IF(AND(OR(League!G181="",League!H181="",League!G180="",League!H180="")),"L"&amp;League!A181,IF(League!G180+League!H181&gt;League!H180+League!G181,League!D181,IF(League!G180+League!H181&lt;League!H180+League!G181,League!K181,IF(AND(League!G180+League!H181=League!H180+League!G181,League!F181=League!I181),"L"&amp;League!A181,IF(AND(League!G180+League!H181=League!H180+League!G181,OR(League!F181="",League!I181="")),"L"&amp;League!A181,IF(AND(League!G180+League!H181=League!H180+League!G181,League!F181&gt;League!I181),League!K181,League!D181))))))</f>
        <v>LO8</v>
      </c>
      <c r="O181" s="246"/>
      <c r="P181" s="249" t="str">
        <f>IF(AND(OR(League!G181="",League!H181="",League!G180="",League!H180="")),"WO8",IF(League!G180+League!H181&gt;League!H180+League!G181,League!K181,IF(League!G180+League!H181&lt;League!H180+League!G181,League!D181,IF(AND(League!G180+League!H181=League!H180+League!G181,League!F181=League!I181),"WO8",IF(AND(League!G180+League!H181=League!H180+League!G181,OR(League!F181="",League!I181="")),"WO8",IF(AND(League!G180+League!H181=League!H180+League!G181,League!F181&gt;League!I181),League!D181,League!K181))))))</f>
        <v>WO8</v>
      </c>
      <c r="Q181" s="13"/>
      <c r="R181" s="13"/>
      <c r="S181" s="13"/>
      <c r="T181" s="11"/>
      <c r="U181" s="13"/>
      <c r="V181" s="264"/>
      <c r="W181" s="264"/>
      <c r="X181" s="264"/>
      <c r="Y181" s="13"/>
      <c r="Z181" s="13"/>
      <c r="AA181" s="13"/>
      <c r="AB181" s="13"/>
      <c r="AC181" s="13"/>
      <c r="AD181" s="13"/>
      <c r="AE181" s="13"/>
      <c r="AF181" s="13"/>
      <c r="AG181" s="13"/>
      <c r="AH181" s="13"/>
      <c r="AI181" s="13"/>
      <c r="AJ181" s="228"/>
      <c r="AK181" s="13"/>
      <c r="AL181" s="13"/>
      <c r="AM181" s="13"/>
      <c r="AN181" s="13"/>
      <c r="AO181" s="13"/>
      <c r="AP181" s="13"/>
      <c r="AQ181" s="13"/>
      <c r="AR181" s="13"/>
      <c r="AS181" s="13"/>
      <c r="AT181" s="13"/>
      <c r="AU181" s="13"/>
      <c r="AV181" s="13"/>
      <c r="AW181" s="13"/>
      <c r="AX181" s="13"/>
      <c r="AY181" s="13"/>
      <c r="AZ181" s="13"/>
      <c r="BA181" s="13"/>
      <c r="BB181" s="13"/>
      <c r="BC181" s="13"/>
      <c r="BD181" s="13"/>
      <c r="BE181" s="13"/>
    </row>
    <row r="182" spans="1:57" ht="18" customHeight="1" thickBot="1">
      <c r="A182" s="97"/>
      <c r="B182" s="196"/>
      <c r="C182" s="196"/>
      <c r="D182" s="196"/>
      <c r="E182" s="97"/>
      <c r="F182" s="97"/>
      <c r="G182" s="97"/>
      <c r="H182" s="97"/>
      <c r="I182" s="97"/>
      <c r="J182" s="97"/>
      <c r="K182" s="97"/>
      <c r="L182" s="97"/>
      <c r="M182" s="13"/>
      <c r="N182" s="248"/>
      <c r="O182" s="248"/>
      <c r="P182" s="223"/>
      <c r="Q182" s="13"/>
      <c r="R182" s="13"/>
      <c r="S182" s="13"/>
      <c r="T182" s="11"/>
      <c r="U182" s="13"/>
      <c r="V182" s="264"/>
      <c r="W182" s="264"/>
      <c r="X182" s="264"/>
      <c r="Y182" s="13"/>
      <c r="Z182" s="13"/>
      <c r="AA182" s="13"/>
      <c r="AB182" s="13"/>
      <c r="AC182" s="13"/>
      <c r="AD182" s="75"/>
      <c r="AE182" s="75"/>
      <c r="AF182" s="75"/>
      <c r="AG182" s="75"/>
      <c r="AH182" s="75"/>
      <c r="AI182" s="75"/>
      <c r="AJ182" s="228"/>
      <c r="AK182" s="13"/>
      <c r="AL182" s="13"/>
      <c r="AM182" s="13"/>
      <c r="AN182" s="13"/>
      <c r="AO182" s="13"/>
      <c r="AP182" s="13"/>
      <c r="AQ182" s="13"/>
      <c r="AR182" s="13"/>
      <c r="AS182" s="13"/>
      <c r="AT182" s="13"/>
      <c r="AU182" s="13"/>
      <c r="AV182" s="13"/>
      <c r="AW182" s="13"/>
      <c r="AX182" s="13"/>
      <c r="AY182" s="13"/>
      <c r="AZ182" s="13"/>
      <c r="BA182" s="13"/>
      <c r="BB182" s="13"/>
      <c r="BC182" s="13"/>
      <c r="BD182" s="13"/>
      <c r="BE182" s="13"/>
    </row>
    <row r="183" spans="1:57" ht="15.95" customHeight="1" thickBot="1">
      <c r="A183" s="86" t="str">
        <f>Idiomas!D33</f>
        <v>Cuartos de final</v>
      </c>
      <c r="B183" s="197"/>
      <c r="C183" s="197"/>
      <c r="D183" s="197" t="str">
        <f>D$1</f>
        <v>Equipo Local</v>
      </c>
      <c r="E183" s="110" t="str">
        <f t="shared" ref="E183:K183" si="11">E$1</f>
        <v>Badge</v>
      </c>
      <c r="F183" s="87" t="str">
        <f t="shared" si="11"/>
        <v>P</v>
      </c>
      <c r="G183" s="87" t="str">
        <f t="shared" si="11"/>
        <v>Gol</v>
      </c>
      <c r="H183" s="87" t="str">
        <f t="shared" si="11"/>
        <v>Gol</v>
      </c>
      <c r="I183" s="87" t="str">
        <f t="shared" si="11"/>
        <v>P</v>
      </c>
      <c r="J183" s="110" t="str">
        <f t="shared" si="11"/>
        <v>Badge</v>
      </c>
      <c r="K183" s="208" t="str">
        <f t="shared" si="11"/>
        <v>Equipo Visitante</v>
      </c>
      <c r="L183" s="267" t="s">
        <v>61</v>
      </c>
      <c r="M183"/>
      <c r="N183" s="247"/>
      <c r="O183" s="247"/>
      <c r="P183" s="224" t="str">
        <f>Idiomas!$D$65</f>
        <v>Clasificado</v>
      </c>
      <c r="Q183" s="13"/>
      <c r="R183" s="75"/>
      <c r="S183" s="75"/>
      <c r="T183" s="11"/>
      <c r="U183" s="75"/>
      <c r="V183" s="228"/>
      <c r="W183" s="228"/>
      <c r="X183" s="228"/>
      <c r="Y183" s="228"/>
      <c r="Z183" s="228"/>
      <c r="AA183" s="228"/>
      <c r="AB183" s="228"/>
      <c r="AC183" s="228"/>
      <c r="AD183" s="228"/>
      <c r="AE183" s="228"/>
      <c r="AF183" s="228"/>
      <c r="AG183" s="228"/>
      <c r="AH183" s="75"/>
      <c r="AI183" s="75"/>
      <c r="AJ183" s="75"/>
      <c r="AK183" s="75"/>
      <c r="AL183" s="75"/>
      <c r="AM183" s="75"/>
      <c r="AN183" s="75"/>
      <c r="AO183" s="75"/>
      <c r="AP183" s="75"/>
      <c r="AQ183" s="75"/>
      <c r="AR183" s="75"/>
      <c r="AS183" s="75"/>
      <c r="AT183" s="75"/>
      <c r="AU183" s="75"/>
      <c r="AV183" s="75"/>
      <c r="AW183" s="75"/>
      <c r="AX183" s="75"/>
      <c r="AY183" s="75"/>
      <c r="AZ183" s="75"/>
      <c r="BA183" s="75"/>
    </row>
    <row r="184" spans="1:57" ht="17.100000000000001" customHeight="1">
      <c r="A184" s="473" t="s">
        <v>94</v>
      </c>
      <c r="B184" s="498">
        <f>+Horarios!C184</f>
        <v>46119.875</v>
      </c>
      <c r="C184" s="475">
        <f>+Horarios!C184</f>
        <v>46119.875</v>
      </c>
      <c r="D184" s="192" t="str">
        <f>+CHL[[#This Row],[Home]]</f>
        <v>WO1</v>
      </c>
      <c r="E184" s="80" t="str">
        <f>IFERROR(INDEX(TablaEquipos[Badge],MATCH(D184,TablaEquipos[Team],0)),"")</f>
        <v/>
      </c>
      <c r="F184" s="80"/>
      <c r="G184" s="507"/>
      <c r="H184" s="508"/>
      <c r="I184" s="509"/>
      <c r="J184" s="81" t="str">
        <f>IFERROR(INDEX(TablaEquipos[Badge],MATCH(K184,TablaEquipos[Team],0)),"")</f>
        <v/>
      </c>
      <c r="K184" s="209" t="str">
        <f>CHL[[#This Row],[Away]]</f>
        <v>WO2</v>
      </c>
      <c r="L184" s="97"/>
      <c r="M184" s="13"/>
      <c r="N184" s="248"/>
      <c r="O184" s="248"/>
      <c r="P184" s="225"/>
      <c r="Q184" s="227"/>
      <c r="R184" s="13"/>
      <c r="S184" s="13"/>
      <c r="T184" s="11"/>
      <c r="U184" s="13"/>
      <c r="V184" s="13"/>
      <c r="W184" s="264"/>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row>
    <row r="185" spans="1:57" ht="17.100000000000001" customHeight="1">
      <c r="A185" s="222" t="s">
        <v>94</v>
      </c>
      <c r="B185" s="497">
        <f>+Horarios!C185</f>
        <v>46127.875</v>
      </c>
      <c r="C185" s="469">
        <f>+Horarios!C185</f>
        <v>46127.875</v>
      </c>
      <c r="D185" s="191" t="str">
        <f>+CHL[[#This Row],[Home]]</f>
        <v>WO2</v>
      </c>
      <c r="E185" s="79" t="str">
        <f>IFERROR(INDEX(TablaEquipos[Badge],MATCH(D185,TablaEquipos[Team],0)),"")</f>
        <v/>
      </c>
      <c r="F185" s="174"/>
      <c r="G185" s="510"/>
      <c r="H185" s="511"/>
      <c r="I185" s="512"/>
      <c r="J185" s="82" t="str">
        <f>IFERROR(INDEX(TablaEquipos[Badge],MATCH(K185,TablaEquipos[Team],0)),"")</f>
        <v/>
      </c>
      <c r="K185" s="205" t="str">
        <f>CHL[[#This Row],[Away]]</f>
        <v>WO1</v>
      </c>
      <c r="L185" s="97"/>
      <c r="M185" s="13"/>
      <c r="N185" s="149" t="str">
        <f>IF(AND(OR(League!G185="",League!H185="",League!G184="",League!H184="")),"L"&amp;League!A185,IF(League!G184+League!H185&gt;League!H184+League!G185,League!D185,IF(League!G184+League!H185&lt;League!H184+League!G185,League!K185,IF(AND(League!G184+League!H185=League!H184+League!G185,League!F185=League!I185),"L"&amp;League!A185,IF(AND(League!G184+League!H185=League!H184+League!G185,OR(League!F185="",League!I185="")),"L"&amp;League!A185,IF(AND(League!G184+League!H185=League!H184+League!G185,League!F185&gt;League!I185),League!K185,League!D185))))))</f>
        <v>LC1</v>
      </c>
      <c r="O185" s="248"/>
      <c r="P185" s="225" t="str">
        <f>IF(AND(OR(League!G185="",League!H185="",League!G184="",League!H184="")),"WQ1",IF(League!G184+League!H185&gt;League!H184+League!G185,League!K185,IF(League!G184+League!H185&lt;League!H184+League!G185,League!D185,IF(AND(League!G184+League!H185=League!H184+League!G185,League!F185=League!I185),"WQ1",IF(AND(League!G184+League!H185=League!H184+League!G185,OR(League!F185="",League!I185="")),"WQ1",IF(AND(League!G184+League!H185=League!H184+League!G185,League!F185&gt;League!I185),League!D185,League!K185))))))</f>
        <v>WQ1</v>
      </c>
      <c r="Q185" s="227"/>
      <c r="R185" s="13"/>
      <c r="S185" s="13"/>
      <c r="T185" s="11"/>
      <c r="U185" s="13"/>
      <c r="V185" s="228"/>
      <c r="W185" s="264"/>
      <c r="X185" s="228"/>
      <c r="Y185" s="228"/>
      <c r="Z185" s="228"/>
      <c r="AA185" s="228"/>
      <c r="AB185" s="228"/>
      <c r="AC185" s="228"/>
      <c r="AD185" s="228"/>
      <c r="AE185" s="228"/>
      <c r="AF185" s="228"/>
      <c r="AG185" s="264"/>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row>
    <row r="186" spans="1:57" ht="17.100000000000001" customHeight="1">
      <c r="A186" s="242" t="s">
        <v>95</v>
      </c>
      <c r="B186" s="499">
        <f>+Horarios!C186</f>
        <v>46119.875</v>
      </c>
      <c r="C186" s="480">
        <f>+Horarios!C186</f>
        <v>46119.875</v>
      </c>
      <c r="D186" s="193" t="str">
        <f>+CHL[[#This Row],[Home]]</f>
        <v>WO3</v>
      </c>
      <c r="E186" s="24" t="str">
        <f>IFERROR(INDEX(TablaEquipos[Badge],MATCH(D186,TablaEquipos[Team],0)),"")</f>
        <v/>
      </c>
      <c r="F186" s="24"/>
      <c r="G186" s="513"/>
      <c r="H186" s="513"/>
      <c r="I186" s="514"/>
      <c r="J186" s="26" t="str">
        <f>IFERROR(INDEX(TablaEquipos[Badge],MATCH(K186,TablaEquipos[Team],0)),"")</f>
        <v/>
      </c>
      <c r="K186" s="210" t="str">
        <f>CHL[[#This Row],[Away]]</f>
        <v>WO4</v>
      </c>
      <c r="L186" s="97"/>
      <c r="M186" s="13"/>
      <c r="N186" s="248"/>
      <c r="O186" s="248"/>
      <c r="P186" s="249"/>
      <c r="Q186" s="227"/>
      <c r="R186" s="13"/>
      <c r="S186" s="13"/>
      <c r="T186" s="11"/>
      <c r="U186" s="13"/>
      <c r="V186" s="228"/>
      <c r="W186" s="228"/>
      <c r="X186" s="228"/>
      <c r="Y186" s="228"/>
      <c r="Z186" s="228"/>
      <c r="AA186" s="228"/>
      <c r="AB186" s="228"/>
      <c r="AC186" s="228"/>
      <c r="AD186" s="228"/>
      <c r="AE186" s="228"/>
      <c r="AF186" s="228"/>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row>
    <row r="187" spans="1:57" ht="17.100000000000001" customHeight="1">
      <c r="A187" s="484" t="s">
        <v>95</v>
      </c>
      <c r="B187" s="500">
        <f>+Horarios!C187</f>
        <v>46127.875</v>
      </c>
      <c r="C187" s="480">
        <f>+Horarios!C187</f>
        <v>46127.875</v>
      </c>
      <c r="D187" s="193" t="str">
        <f>+CHL[[#This Row],[Home]]</f>
        <v>WO4</v>
      </c>
      <c r="E187" s="25" t="str">
        <f>IFERROR(INDEX(TablaEquipos[Badge],MATCH(D187,TablaEquipos[Team],0)),"")</f>
        <v/>
      </c>
      <c r="F187" s="176"/>
      <c r="G187" s="515"/>
      <c r="H187" s="515"/>
      <c r="I187" s="485"/>
      <c r="J187" s="26" t="str">
        <f>IFERROR(INDEX(TablaEquipos[Badge],MATCH(K187,TablaEquipos[Team],0)),"")</f>
        <v/>
      </c>
      <c r="K187" s="206" t="str">
        <f>CHL[[#This Row],[Away]]</f>
        <v>WO3</v>
      </c>
      <c r="L187" s="97"/>
      <c r="M187" s="13"/>
      <c r="N187" s="149" t="str">
        <f>IF(AND(OR(League!G187="",League!H187="",League!G186="",League!H186="")),"L"&amp;League!A187,IF(League!G186+League!H187&gt;League!H186+League!G187,League!D187,IF(League!G186+League!H187&lt;League!H186+League!G187,League!K187,IF(AND(League!G186+League!H187=League!H186+League!G187,League!F187=League!I187),"L"&amp;League!A187,IF(AND(League!G186+League!H187=League!H186+League!G187,OR(League!F187="",League!I187="")),"L"&amp;League!A187,IF(AND(League!G186+League!H187=League!H186+League!G187,League!F187&gt;League!I187),League!K187,League!D187))))))</f>
        <v>LC2</v>
      </c>
      <c r="O187" s="248"/>
      <c r="P187" s="249" t="str">
        <f>IF(AND(OR(League!G187="",League!H187="",League!G186="",League!H186="")),"WQ2",IF(League!G186+League!H187&gt;League!H186+League!G187,League!K187,IF(League!G186+League!H187&lt;League!H186+League!G187,League!D187,IF(AND(League!G186+League!H187=League!H186+League!G187,League!F187=League!I187),"WQ2",IF(AND(League!G186+League!H187=League!H186+League!G187,OR(League!F187="",League!I187="")),"WQ2",IF(AND(League!G186+League!H187=League!H186+League!G187,League!F187&gt;League!I187),League!D187,League!K187))))))</f>
        <v>WQ2</v>
      </c>
      <c r="Q187" s="227"/>
      <c r="R187" s="13"/>
      <c r="S187" s="13"/>
      <c r="T187" s="227"/>
      <c r="U187" s="13"/>
      <c r="V187" s="228"/>
      <c r="W187" s="228"/>
      <c r="X187" s="228"/>
      <c r="Y187" s="228"/>
      <c r="Z187" s="228"/>
      <c r="AA187" s="228"/>
      <c r="AB187" s="228"/>
      <c r="AC187" s="228"/>
      <c r="AD187" s="228"/>
      <c r="AE187" s="228"/>
      <c r="AF187" s="228"/>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row>
    <row r="188" spans="1:57" ht="17.100000000000001" customHeight="1">
      <c r="A188" s="473" t="s">
        <v>96</v>
      </c>
      <c r="B188" s="498">
        <f>+Horarios!C188</f>
        <v>46120.875</v>
      </c>
      <c r="C188" s="475">
        <f>+Horarios!C188</f>
        <v>46120.875</v>
      </c>
      <c r="D188" s="192" t="str">
        <f>+CHL[[#This Row],[Home]]</f>
        <v>WO5</v>
      </c>
      <c r="E188" s="80" t="str">
        <f>IFERROR(INDEX(TablaEquipos[Badge],MATCH(D188,TablaEquipos[Team],0)),"")</f>
        <v/>
      </c>
      <c r="F188" s="80"/>
      <c r="G188" s="507"/>
      <c r="H188" s="508"/>
      <c r="I188" s="516"/>
      <c r="J188" s="81" t="str">
        <f>IFERROR(INDEX(TablaEquipos[Badge],MATCH(K188,TablaEquipos[Team],0)),"")</f>
        <v/>
      </c>
      <c r="K188" s="209" t="str">
        <f>CHL[[#This Row],[Away]]</f>
        <v>WO6</v>
      </c>
      <c r="L188" s="97"/>
      <c r="M188" s="13"/>
      <c r="N188" s="248"/>
      <c r="O188" s="248"/>
      <c r="P188" s="225"/>
      <c r="Q188" s="227"/>
      <c r="R188" s="13"/>
      <c r="S188" s="13"/>
      <c r="T188" s="11"/>
      <c r="U188" s="13"/>
      <c r="V188" s="228"/>
      <c r="W188" s="228"/>
      <c r="X188" s="228"/>
      <c r="Y188" s="228"/>
      <c r="Z188" s="228"/>
      <c r="AA188" s="228"/>
      <c r="AB188" s="228"/>
      <c r="AC188" s="228"/>
      <c r="AD188" s="228"/>
      <c r="AE188" s="228"/>
      <c r="AF188" s="228"/>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row>
    <row r="189" spans="1:57" ht="17.100000000000001" customHeight="1">
      <c r="A189" s="222" t="s">
        <v>96</v>
      </c>
      <c r="B189" s="497">
        <f>+Horarios!C189</f>
        <v>46126.875</v>
      </c>
      <c r="C189" s="469">
        <f>+Horarios!C189</f>
        <v>46126.875</v>
      </c>
      <c r="D189" s="191" t="str">
        <f>+CHL[[#This Row],[Home]]</f>
        <v>WO6</v>
      </c>
      <c r="E189" s="79" t="str">
        <f>IFERROR(INDEX(TablaEquipos[Badge],MATCH(D189,TablaEquipos[Team],0)),"")</f>
        <v/>
      </c>
      <c r="F189" s="174"/>
      <c r="G189" s="510"/>
      <c r="H189" s="511"/>
      <c r="I189" s="512"/>
      <c r="J189" s="82" t="str">
        <f>IFERROR(INDEX(TablaEquipos[Badge],MATCH(K189,TablaEquipos[Team],0)),"")</f>
        <v/>
      </c>
      <c r="K189" s="205" t="str">
        <f>CHL[[#This Row],[Away]]</f>
        <v>WO5</v>
      </c>
      <c r="L189" s="97"/>
      <c r="M189" s="13"/>
      <c r="N189" s="149" t="str">
        <f>IF(AND(OR(League!G189="",League!H189="",League!G188="",League!H188="")),"L"&amp;League!A189,IF(League!G188+League!H189&gt;League!H188+League!G189,League!D189,IF(League!G188+League!H189&lt;League!H188+League!G189,League!K189,IF(AND(League!G188+League!H189=League!H188+League!G189,League!F189=League!I189),"L"&amp;League!A189,IF(AND(League!G188+League!H189=League!H188+League!G189,OR(League!F189="",League!I189="")),"L"&amp;League!A189,IF(AND(League!G188+League!H189=League!H188+League!G189,League!F189&gt;League!I189),League!K189,League!D189))))))</f>
        <v>LC3</v>
      </c>
      <c r="O189" s="248"/>
      <c r="P189" s="225" t="str">
        <f>IF(AND(OR(League!G189="",League!H189="",League!G188="",League!H188="")),"WQ3",IF(League!G188+League!H189&gt;League!H188+League!G189,League!K189,IF(League!G188+League!H189&lt;League!H188+League!G189,League!D189,IF(AND(League!G188+League!H189=League!H188+League!G189,League!F189=League!I189),"WQ3",IF(AND(League!G188+League!H189=League!H188+League!G189,OR(League!F189="",League!I189="")),"WQ3",IF(AND(League!G188+League!H189=League!H188+League!G189,League!F189&gt;League!I189),League!D189,League!K189))))))</f>
        <v>WQ3</v>
      </c>
      <c r="Q189" s="227"/>
      <c r="R189" s="13"/>
      <c r="S189" s="13"/>
      <c r="T189" s="11"/>
      <c r="U189" s="13"/>
      <c r="V189" s="228"/>
      <c r="W189" s="228"/>
      <c r="X189" s="228"/>
      <c r="Y189" s="228"/>
      <c r="Z189" s="228"/>
      <c r="AA189" s="228"/>
      <c r="AB189" s="228"/>
      <c r="AC189" s="228"/>
      <c r="AD189" s="228"/>
      <c r="AE189" s="228"/>
      <c r="AF189" s="228"/>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row>
    <row r="190" spans="1:57" ht="17.100000000000001" customHeight="1">
      <c r="A190" s="242" t="s">
        <v>97</v>
      </c>
      <c r="B190" s="499">
        <f>+Horarios!C190</f>
        <v>46120.875</v>
      </c>
      <c r="C190" s="480">
        <f>+Horarios!C190</f>
        <v>46120.875</v>
      </c>
      <c r="D190" s="193" t="str">
        <f>+CHL[[#This Row],[Home]]</f>
        <v>WO7</v>
      </c>
      <c r="E190" s="24" t="str">
        <f>IFERROR(INDEX(TablaEquipos[Badge],MATCH(D190,TablaEquipos[Team],0)),"")</f>
        <v/>
      </c>
      <c r="F190" s="24"/>
      <c r="G190" s="513"/>
      <c r="H190" s="513"/>
      <c r="I190" s="514"/>
      <c r="J190" s="26" t="str">
        <f>IFERROR(INDEX(TablaEquipos[Badge],MATCH(K190,TablaEquipos[Team],0)),"")</f>
        <v/>
      </c>
      <c r="K190" s="210" t="str">
        <f>CHL[[#This Row],[Away]]</f>
        <v>WO8</v>
      </c>
      <c r="L190" s="97"/>
      <c r="M190" s="13"/>
      <c r="N190" s="248"/>
      <c r="O190" s="248"/>
      <c r="P190" s="249"/>
      <c r="Q190" s="227"/>
      <c r="R190" s="13"/>
      <c r="S190" s="13"/>
      <c r="T190" s="11"/>
      <c r="U190" s="13"/>
      <c r="V190" s="228"/>
      <c r="W190" s="228"/>
      <c r="X190" s="228"/>
      <c r="Y190" s="228"/>
      <c r="Z190" s="228"/>
      <c r="AA190" s="228"/>
      <c r="AB190" s="228"/>
      <c r="AC190" s="228"/>
      <c r="AD190" s="228"/>
      <c r="AE190" s="228"/>
      <c r="AF190" s="228"/>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row>
    <row r="191" spans="1:57" ht="17.100000000000001" customHeight="1" thickBot="1">
      <c r="A191" s="501" t="s">
        <v>97</v>
      </c>
      <c r="B191" s="517">
        <f>+Horarios!C191</f>
        <v>46126.875</v>
      </c>
      <c r="C191" s="503">
        <f>+Horarios!C191</f>
        <v>46126.875</v>
      </c>
      <c r="D191" s="198" t="str">
        <f>+CHL[[#This Row],[Home]]</f>
        <v>WO8</v>
      </c>
      <c r="E191" s="76" t="str">
        <f>IFERROR(INDEX(TablaEquipos[Badge],MATCH(D191,TablaEquipos[Team],0)),"")</f>
        <v/>
      </c>
      <c r="F191" s="175"/>
      <c r="G191" s="518"/>
      <c r="H191" s="518"/>
      <c r="I191" s="519"/>
      <c r="J191" s="77" t="str">
        <f>IFERROR(INDEX(TablaEquipos[Badge],MATCH(K191,TablaEquipos[Team],0)),"")</f>
        <v/>
      </c>
      <c r="K191" s="207" t="str">
        <f>CHL[[#This Row],[Away]]</f>
        <v>WO7</v>
      </c>
      <c r="L191" s="97"/>
      <c r="M191" s="13"/>
      <c r="N191" s="149" t="str">
        <f>IF(AND(OR(League!G191="",League!H191="",League!G190="",League!H190="")),"L"&amp;League!A191,IF(League!G190+League!H191&gt;League!H190+League!G191,League!D191,IF(League!G190+League!H191&lt;League!H190+League!G191,League!K191,IF(AND(League!G190+League!H191=League!H190+League!G191,League!F191=League!I191),"L"&amp;League!A191,IF(AND(League!G190+League!H191=League!H190+League!G191,OR(League!F191="",League!I191="")),"L"&amp;League!A191,IF(AND(League!G190+League!H191=League!H190+League!G191,League!F191&gt;League!I191),League!K191,League!D191))))))</f>
        <v>LC4</v>
      </c>
      <c r="O191" s="248"/>
      <c r="P191" s="249" t="str">
        <f>IF(AND(OR(League!G191="",League!H191="",League!G190="",League!H190="")),"WQ4",IF(League!G190+League!H191&gt;League!H190+League!G191,League!K191,IF(League!G190+League!H191&lt;League!H190+League!G191,League!D191,IF(AND(League!G190+League!H191=League!H190+League!G191,League!F191=League!I191),"WQ4",IF(AND(League!G190+League!H191=League!H190+League!G191,OR(League!F191="",League!I191="")),"WQ4",IF(AND(League!G190+League!H191=League!H190+League!G191,League!F191&gt;League!I191),League!D191,League!K191))))))</f>
        <v>WQ4</v>
      </c>
      <c r="Q191" s="227"/>
      <c r="R191" s="13"/>
      <c r="S191" s="13"/>
      <c r="T191" s="11"/>
      <c r="U191" s="13"/>
      <c r="V191" s="228"/>
      <c r="W191" s="228"/>
      <c r="X191" s="228"/>
      <c r="Y191" s="228"/>
      <c r="Z191" s="228"/>
      <c r="AA191" s="228"/>
      <c r="AB191" s="228"/>
      <c r="AC191" s="228"/>
      <c r="AD191" s="228"/>
      <c r="AE191" s="228"/>
      <c r="AF191" s="228"/>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row>
    <row r="192" spans="1:57" ht="17.100000000000001" customHeight="1" thickBot="1">
      <c r="A192" s="97"/>
      <c r="B192" s="196"/>
      <c r="C192" s="196"/>
      <c r="D192" s="196"/>
      <c r="E192" s="97"/>
      <c r="F192" s="97"/>
      <c r="G192" s="97"/>
      <c r="H192" s="97"/>
      <c r="I192" s="97"/>
      <c r="J192" s="97"/>
      <c r="K192" s="97"/>
      <c r="L192" s="97"/>
      <c r="M192" s="13"/>
      <c r="N192" s="248"/>
      <c r="O192" s="248"/>
      <c r="P192" s="223"/>
      <c r="Q192" s="13"/>
      <c r="R192" s="13"/>
      <c r="S192" s="13"/>
      <c r="T192" s="11"/>
      <c r="U192" s="13"/>
      <c r="V192" s="228"/>
      <c r="W192" s="228"/>
      <c r="X192" s="228"/>
      <c r="Y192" s="228"/>
      <c r="Z192" s="228"/>
      <c r="AA192" s="228"/>
      <c r="AB192" s="228"/>
      <c r="AC192" s="228"/>
      <c r="AD192" s="228"/>
      <c r="AE192" s="228"/>
      <c r="AF192" s="228"/>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row>
    <row r="193" spans="1:108" ht="17.100000000000001" customHeight="1" thickBot="1">
      <c r="A193" s="86" t="str">
        <f>Idiomas!D34</f>
        <v>Semifinales</v>
      </c>
      <c r="B193" s="197"/>
      <c r="C193" s="197"/>
      <c r="D193" s="197" t="str">
        <f>D$1</f>
        <v>Equipo Local</v>
      </c>
      <c r="E193" s="110" t="str">
        <f t="shared" ref="E193:K193" si="12">E$1</f>
        <v>Badge</v>
      </c>
      <c r="F193" s="87" t="str">
        <f t="shared" si="12"/>
        <v>P</v>
      </c>
      <c r="G193" s="87" t="str">
        <f t="shared" si="12"/>
        <v>Gol</v>
      </c>
      <c r="H193" s="87" t="str">
        <f t="shared" si="12"/>
        <v>Gol</v>
      </c>
      <c r="I193" s="87" t="str">
        <f t="shared" si="12"/>
        <v>P</v>
      </c>
      <c r="J193" s="110" t="str">
        <f t="shared" si="12"/>
        <v>Badge</v>
      </c>
      <c r="K193" s="208" t="str">
        <f t="shared" si="12"/>
        <v>Equipo Visitante</v>
      </c>
      <c r="L193" s="267" t="s">
        <v>61</v>
      </c>
      <c r="M193" s="75"/>
      <c r="N193" s="247"/>
      <c r="O193" s="247"/>
      <c r="P193" s="224" t="str">
        <f>Idiomas!$D$65</f>
        <v>Clasificado</v>
      </c>
      <c r="Q193" s="75"/>
      <c r="R193" s="75"/>
      <c r="S193" s="75"/>
      <c r="T193" s="11"/>
      <c r="U193" s="75"/>
      <c r="V193" s="228"/>
      <c r="W193" s="228"/>
      <c r="X193" s="228"/>
      <c r="Y193" s="228"/>
      <c r="Z193" s="228"/>
      <c r="AA193" s="228"/>
      <c r="AB193" s="228"/>
      <c r="AC193" s="228"/>
      <c r="AD193" s="228"/>
      <c r="AE193" s="228"/>
      <c r="AF193" s="228"/>
      <c r="AG193" s="13"/>
      <c r="AH193" s="75"/>
      <c r="AI193" s="75"/>
      <c r="AJ193" s="75"/>
      <c r="AK193" s="75"/>
      <c r="AL193" s="75"/>
      <c r="AM193" s="75"/>
      <c r="AN193" s="75"/>
      <c r="AO193" s="75"/>
      <c r="AP193" s="75"/>
      <c r="AQ193" s="75"/>
      <c r="AR193" s="75"/>
      <c r="AS193" s="75"/>
      <c r="AT193" s="75"/>
      <c r="AU193" s="75"/>
      <c r="AV193" s="75"/>
      <c r="AW193" s="75"/>
      <c r="AX193" s="75"/>
      <c r="AY193" s="75"/>
      <c r="AZ193" s="75"/>
      <c r="BA193" s="75"/>
    </row>
    <row r="194" spans="1:108" ht="17.100000000000001" customHeight="1">
      <c r="A194" s="473" t="s">
        <v>98</v>
      </c>
      <c r="B194" s="498">
        <f>+Horarios!C194</f>
        <v>46140.875</v>
      </c>
      <c r="C194" s="475">
        <f>+Horarios!C194</f>
        <v>46140.875</v>
      </c>
      <c r="D194" s="192" t="str">
        <f>+CHL[[#This Row],[Home]]</f>
        <v>WQ1</v>
      </c>
      <c r="E194" s="80" t="str">
        <f>IFERROR(INDEX(TablaEquipos[Badge],MATCH(D194,TablaEquipos[Team],0)),"")</f>
        <v/>
      </c>
      <c r="F194" s="80"/>
      <c r="G194" s="507"/>
      <c r="H194" s="508"/>
      <c r="I194" s="509"/>
      <c r="J194" s="81" t="str">
        <f>IFERROR(INDEX(TablaEquipos[Badge],MATCH(K194,TablaEquipos[Team],0)),"")</f>
        <v/>
      </c>
      <c r="K194" s="209" t="str">
        <f>CHL[[#This Row],[Away]]</f>
        <v>WQ2</v>
      </c>
      <c r="L194" s="97"/>
      <c r="M194" s="13"/>
      <c r="N194" s="248"/>
      <c r="O194" s="248"/>
      <c r="P194" s="225"/>
      <c r="Q194" s="227"/>
      <c r="R194" s="13"/>
      <c r="S194" s="13"/>
      <c r="T194" s="11"/>
      <c r="U194" s="13"/>
      <c r="V194" s="228"/>
      <c r="W194" s="264"/>
      <c r="X194" s="228"/>
      <c r="Y194" s="228"/>
      <c r="Z194" s="228"/>
      <c r="AA194" s="228"/>
      <c r="AB194" s="228"/>
      <c r="AC194" s="228"/>
      <c r="AD194" s="228"/>
      <c r="AE194" s="228"/>
      <c r="AF194" s="228"/>
      <c r="AG194" s="75"/>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row>
    <row r="195" spans="1:108" ht="17.100000000000001" customHeight="1">
      <c r="A195" s="222" t="s">
        <v>98</v>
      </c>
      <c r="B195" s="497">
        <f>+Horarios!C195</f>
        <v>46148.875</v>
      </c>
      <c r="C195" s="469">
        <f>+Horarios!C195</f>
        <v>46148.875</v>
      </c>
      <c r="D195" s="191" t="str">
        <f>+CHL[[#This Row],[Home]]</f>
        <v>WQ2</v>
      </c>
      <c r="E195" s="79" t="str">
        <f>IFERROR(INDEX(TablaEquipos[Badge],MATCH(D195,TablaEquipos[Team],0)),"")</f>
        <v/>
      </c>
      <c r="F195" s="174"/>
      <c r="G195" s="510"/>
      <c r="H195" s="511"/>
      <c r="I195" s="512"/>
      <c r="J195" s="82" t="str">
        <f>IFERROR(INDEX(TablaEquipos[Badge],MATCH(K195,TablaEquipos[Team],0)),"")</f>
        <v/>
      </c>
      <c r="K195" s="205" t="str">
        <f>CHL[[#This Row],[Away]]</f>
        <v>WQ1</v>
      </c>
      <c r="L195" s="97"/>
      <c r="M195" s="13"/>
      <c r="N195" s="149" t="str">
        <f>IF(AND(OR(League!G195="",League!H195="",League!G194="",League!H194="")),"L"&amp;League!A195,IF(League!G194+League!H195&gt;League!H194+League!G195,League!D195,IF(League!G194+League!H195&lt;League!H194+League!G195,League!K195,IF(AND(League!G194+League!H195=League!H194+League!G195,League!F195=League!I195),"L"&amp;League!A195,IF(AND(League!G194+League!H195=League!H194+League!G195,OR(League!F195="",League!I195="")),"L"&amp;League!A195,IF(AND(League!G194+League!H195=League!H194+League!G195,League!F195&gt;League!I195),League!K195,League!D195))))))</f>
        <v>LS1</v>
      </c>
      <c r="O195" s="248"/>
      <c r="P195" s="225" t="str">
        <f>IF(AND(OR(League!G195="",League!H195="",League!G194="",League!H194="")),"WS1",IF(League!G194+League!H195&gt;League!H194+League!G195,League!K195,IF(League!G194+League!H195&lt;League!H194+League!G195,League!D195,IF(AND(League!G194+League!H195=League!H194+League!G195,League!F195=League!I195),"WS1",IF(AND(League!G194+League!H195=League!H194+League!G195,OR(League!F195="",League!I195="")),"WS1",IF(AND(League!G194+League!H195=League!H194+League!G195,League!F195&gt;League!I195),League!D195,League!K195))))))</f>
        <v>WS1</v>
      </c>
      <c r="Q195" s="227"/>
      <c r="R195" s="13"/>
      <c r="S195" s="13"/>
      <c r="T195" s="11"/>
      <c r="U195" s="13"/>
      <c r="V195" s="13"/>
      <c r="W195" s="264"/>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row>
    <row r="196" spans="1:108" ht="17.100000000000001" customHeight="1">
      <c r="A196" s="242" t="s">
        <v>99</v>
      </c>
      <c r="B196" s="499">
        <f>+Horarios!C196</f>
        <v>46141.875</v>
      </c>
      <c r="C196" s="480">
        <f>+Horarios!C196</f>
        <v>46141.875</v>
      </c>
      <c r="D196" s="193" t="str">
        <f>+CHL[[#This Row],[Home]]</f>
        <v>WQ3</v>
      </c>
      <c r="E196" s="24" t="str">
        <f>IFERROR(INDEX(TablaEquipos[Badge],MATCH(D196,TablaEquipos[Team],0)),"")</f>
        <v/>
      </c>
      <c r="F196" s="24"/>
      <c r="G196" s="513"/>
      <c r="H196" s="513"/>
      <c r="I196" s="514"/>
      <c r="J196" s="26" t="str">
        <f>IFERROR(INDEX(TablaEquipos[Badge],MATCH(K196,TablaEquipos[Team],0)),"")</f>
        <v/>
      </c>
      <c r="K196" s="210" t="str">
        <f>CHL[[#This Row],[Away]]</f>
        <v>WQ4</v>
      </c>
      <c r="L196" s="97"/>
      <c r="M196" s="13"/>
      <c r="N196" s="248"/>
      <c r="O196" s="248"/>
      <c r="P196" s="249"/>
      <c r="Q196" s="227"/>
      <c r="R196" s="13"/>
      <c r="S196" s="13"/>
      <c r="T196" s="186"/>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row>
    <row r="197" spans="1:108" ht="17.100000000000001" customHeight="1" thickBot="1">
      <c r="A197" s="501" t="s">
        <v>99</v>
      </c>
      <c r="B197" s="517">
        <f>+Horarios!C197</f>
        <v>46147.875</v>
      </c>
      <c r="C197" s="503">
        <f>+Horarios!C197</f>
        <v>46147.875</v>
      </c>
      <c r="D197" s="198" t="str">
        <f>+CHL[[#This Row],[Home]]</f>
        <v>WQ4</v>
      </c>
      <c r="E197" s="76" t="str">
        <f>IFERROR(INDEX(TablaEquipos[Badge],MATCH(D197,TablaEquipos[Team],0)),"")</f>
        <v/>
      </c>
      <c r="F197" s="175"/>
      <c r="G197" s="518"/>
      <c r="H197" s="518"/>
      <c r="I197" s="519"/>
      <c r="J197" s="77" t="str">
        <f>IFERROR(INDEX(TablaEquipos[Badge],MATCH(K197,TablaEquipos[Team],0)),"")</f>
        <v/>
      </c>
      <c r="K197" s="207" t="str">
        <f>CHL[[#This Row],[Away]]</f>
        <v>WQ3</v>
      </c>
      <c r="L197" s="97"/>
      <c r="M197" s="13"/>
      <c r="N197" s="149" t="str">
        <f>IF(AND(OR(League!G197="",League!H197="",League!G196="",League!H196="")),"L"&amp;League!A197,IF(League!G196+League!H197&gt;League!H196+League!G197,League!D197,IF(League!G196+League!H197&lt;League!H196+League!G197,League!K197,IF(AND(League!G196+League!H197=League!H196+League!G197,League!F197=League!I197),"L"&amp;League!A197,IF(AND(League!G196+League!H197=League!H196+League!G197,OR(League!F197="",League!I197="")),"L"&amp;League!A197,IF(AND(League!G196+League!H197=League!H196+League!G197,League!F197&gt;League!I197),League!K197,League!D197))))))</f>
        <v>LS2</v>
      </c>
      <c r="O197" s="248"/>
      <c r="P197" s="249" t="str">
        <f>IF(AND(OR(League!G197="",League!H197="",League!G196="",League!H196="")),"WS2",IF(League!G196+League!H197&gt;League!H196+League!G197,League!K197,IF(League!G196+League!H197&lt;League!H196+League!G197,League!D197,IF(AND(League!G196+League!H197=League!H196+League!G197,League!F197=League!I197),"WS2",IF(AND(League!G196+League!H197=League!H196+League!G197,OR(League!F197="",League!I197="")),"WS2",IF(AND(League!G196+League!H197=League!H196+League!G197,League!F197&gt;League!I197),League!D197,League!K197))))))</f>
        <v>WS2</v>
      </c>
      <c r="Q197" s="227"/>
      <c r="R197" s="13"/>
      <c r="S197" s="13"/>
      <c r="T197" s="186"/>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row>
    <row r="198" spans="1:108" ht="17.100000000000001" customHeight="1" thickBot="1">
      <c r="A198" s="97"/>
      <c r="B198" s="196"/>
      <c r="C198" s="196"/>
      <c r="D198" s="196"/>
      <c r="E198" s="97"/>
      <c r="F198" s="97"/>
      <c r="G198" s="97"/>
      <c r="H198" s="97"/>
      <c r="I198" s="97"/>
      <c r="J198" s="97"/>
      <c r="K198" s="97"/>
      <c r="L198" s="97"/>
      <c r="M198" s="13"/>
      <c r="N198" s="13"/>
      <c r="O198" s="13"/>
      <c r="P198" s="13"/>
      <c r="Q198" s="11"/>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row>
    <row r="199" spans="1:108" ht="17.100000000000001" customHeight="1" thickBot="1">
      <c r="A199" s="86" t="str">
        <f>Idiomas!D35</f>
        <v>Final</v>
      </c>
      <c r="B199" s="197"/>
      <c r="C199" s="197"/>
      <c r="D199" s="197" t="str">
        <f>D$1</f>
        <v>Equipo Local</v>
      </c>
      <c r="E199" s="110" t="str">
        <f t="shared" ref="E199:K199" si="13">E$1</f>
        <v>Badge</v>
      </c>
      <c r="F199" s="87" t="str">
        <f t="shared" si="13"/>
        <v>P</v>
      </c>
      <c r="G199" s="87" t="str">
        <f t="shared" si="13"/>
        <v>Gol</v>
      </c>
      <c r="H199" s="87" t="str">
        <f t="shared" si="13"/>
        <v>Gol</v>
      </c>
      <c r="I199" s="87" t="str">
        <f t="shared" si="13"/>
        <v>P</v>
      </c>
      <c r="J199" s="110" t="str">
        <f t="shared" si="13"/>
        <v>Badge</v>
      </c>
      <c r="K199" s="208" t="str">
        <f t="shared" si="13"/>
        <v>Equipo Visitante</v>
      </c>
      <c r="L199" s="267" t="s">
        <v>61</v>
      </c>
      <c r="M199" s="75"/>
      <c r="N199" s="75"/>
      <c r="O199" s="75"/>
      <c r="P199" s="73"/>
      <c r="Q199" s="11"/>
      <c r="R199" s="75"/>
      <c r="S199" s="75"/>
      <c r="T199" s="75"/>
      <c r="U199" s="75"/>
      <c r="V199" s="75"/>
      <c r="W199" s="75"/>
      <c r="X199" s="75"/>
      <c r="Y199" s="75"/>
      <c r="Z199" s="75"/>
      <c r="AA199" s="75"/>
      <c r="AB199" s="75"/>
      <c r="AC199" s="75"/>
      <c r="AD199" s="75"/>
      <c r="AE199" s="75"/>
      <c r="AF199" s="75"/>
      <c r="AG199" s="75"/>
      <c r="AH199" s="75"/>
      <c r="AI199" s="75"/>
      <c r="AJ199" s="75"/>
      <c r="AK199" s="75"/>
      <c r="AL199" s="75"/>
      <c r="AM199" s="75"/>
      <c r="AN199" s="75"/>
      <c r="AO199" s="75"/>
      <c r="AP199" s="75"/>
      <c r="AQ199" s="75"/>
      <c r="AR199" s="75"/>
      <c r="AS199" s="75"/>
      <c r="AT199" s="75"/>
      <c r="AU199" s="75"/>
      <c r="AV199" s="75"/>
      <c r="AW199" s="75"/>
      <c r="AX199" s="75"/>
      <c r="AY199" s="75"/>
      <c r="AZ199" s="75"/>
      <c r="BA199" s="75"/>
    </row>
    <row r="200" spans="1:108" ht="20.100000000000001" customHeight="1" thickBot="1">
      <c r="A200" s="520" t="s">
        <v>100</v>
      </c>
      <c r="B200" s="521">
        <f>+Horarios!C200</f>
        <v>46172.875</v>
      </c>
      <c r="C200" s="522">
        <f>+Horarios!C200</f>
        <v>46172.875</v>
      </c>
      <c r="D200" s="199" t="str">
        <f>+CHL[[#This Row],[Home]]</f>
        <v>WS1</v>
      </c>
      <c r="E200" s="88" t="str">
        <f>IFERROR(INDEX(TablaEquipos[Badge],MATCH(D200,TablaEquipos[Team],0)),"")</f>
        <v/>
      </c>
      <c r="F200" s="173"/>
      <c r="G200" s="523"/>
      <c r="H200" s="524"/>
      <c r="I200" s="525"/>
      <c r="J200" s="89" t="str">
        <f>IFERROR(INDEX(TablaEquipos[Badge],MATCH(K200,TablaEquipos[Team],0)),"")</f>
        <v/>
      </c>
      <c r="K200" s="211" t="str">
        <f>CHL[[#This Row],[Away]]</f>
        <v>WS2</v>
      </c>
      <c r="L200" s="97"/>
      <c r="M200" s="13"/>
      <c r="N200" s="13"/>
      <c r="O200" s="11"/>
      <c r="P200" s="13"/>
      <c r="Q200" s="227"/>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row>
    <row r="201" spans="1:108" ht="15.95">
      <c r="A201" s="16"/>
      <c r="B201" s="526"/>
      <c r="C201" s="527"/>
      <c r="D201" s="527"/>
      <c r="E201" s="264"/>
      <c r="F201" s="264"/>
      <c r="G201" s="264"/>
      <c r="H201" s="264"/>
      <c r="I201" s="264"/>
      <c r="J201" s="264"/>
      <c r="K201" s="264"/>
      <c r="L201" s="264"/>
      <c r="M201" s="264"/>
      <c r="N201" s="264"/>
      <c r="O201" s="227"/>
      <c r="P201" s="13"/>
      <c r="Q201" s="227"/>
      <c r="R201" s="264"/>
      <c r="S201" s="264"/>
      <c r="T201" s="264"/>
      <c r="U201" s="264"/>
      <c r="V201" s="264"/>
      <c r="W201" s="264"/>
      <c r="X201" s="264"/>
      <c r="Y201" s="264"/>
      <c r="Z201" s="264"/>
      <c r="AA201" s="264"/>
      <c r="AB201" s="264"/>
      <c r="AC201" s="264"/>
      <c r="AD201" s="264"/>
      <c r="AE201" s="264"/>
      <c r="AF201" s="264"/>
      <c r="AG201" s="264"/>
      <c r="AH201" s="264"/>
      <c r="AI201" s="264"/>
      <c r="AJ201" s="264"/>
      <c r="AK201" s="264"/>
      <c r="AL201" s="264"/>
      <c r="AM201" s="264"/>
      <c r="AN201" s="264"/>
      <c r="AO201" s="264"/>
      <c r="AP201" s="264"/>
      <c r="AQ201" s="264"/>
      <c r="AR201" s="264"/>
      <c r="AS201" s="264"/>
      <c r="AT201" s="264"/>
      <c r="AU201" s="264"/>
      <c r="AV201" s="264"/>
      <c r="AW201" s="264"/>
      <c r="AX201" s="264"/>
      <c r="AY201" s="264"/>
      <c r="AZ201" s="264"/>
      <c r="BA201" s="264"/>
    </row>
    <row r="202" spans="1:108" s="169" customFormat="1" ht="24.95" customHeight="1">
      <c r="A202" s="170"/>
      <c r="B202" s="201"/>
      <c r="C202" s="202"/>
      <c r="D202" s="203" t="str">
        <f>Idiomas!D27</f>
        <v>CAMPEÓN CHAMPIONS 25-26:</v>
      </c>
      <c r="E202" s="170" t="str">
        <f>IFERROR(INDEX(TablaEquipos[Badge],MATCH(F202,TablaEquipos[Team],0)),"")</f>
        <v/>
      </c>
      <c r="F202" s="171" t="str">
        <f>IF(AND(OR(League!G200="",League!H200="")),"WF",IF(League!G200&gt;League!H200,League!D200,IF(League!G200&lt;League!H200,League!K200,IF(AND(League!G200=League!H200,League!F200=League!I200),"WF",IF(AND(League!G200=League!H200,OR(League!F200="",League!I200="")),"WF",IF(AND(League!G200=League!H200,League!F200&gt;League!I200),League!D200,League!K200))))))</f>
        <v>WF</v>
      </c>
      <c r="G202" s="170"/>
      <c r="H202" s="170"/>
      <c r="I202" s="170"/>
      <c r="J202" s="170"/>
      <c r="K202" s="170"/>
      <c r="L202" s="528"/>
      <c r="M202" s="528"/>
      <c r="N202" s="528"/>
      <c r="O202" s="528"/>
      <c r="P202" s="73"/>
      <c r="Q202" s="528"/>
      <c r="R202" s="528"/>
      <c r="S202" s="528"/>
      <c r="T202" s="528"/>
      <c r="U202" s="528"/>
      <c r="V202" s="528"/>
      <c r="W202" s="528"/>
      <c r="X202" s="528"/>
      <c r="Y202" s="528"/>
      <c r="Z202" s="528"/>
      <c r="AA202" s="528"/>
      <c r="AB202" s="528"/>
      <c r="AC202" s="528"/>
      <c r="AD202" s="528"/>
      <c r="AE202" s="528"/>
      <c r="AF202" s="528"/>
      <c r="AG202" s="528"/>
      <c r="AH202" s="528"/>
      <c r="AI202" s="528"/>
      <c r="AJ202" s="528"/>
      <c r="AK202" s="528"/>
      <c r="AL202" s="528"/>
      <c r="AM202" s="528"/>
      <c r="AN202" s="528"/>
      <c r="AO202" s="528"/>
      <c r="AP202" s="528"/>
      <c r="AQ202" s="528"/>
      <c r="AR202" s="528"/>
      <c r="AS202" s="528"/>
      <c r="AT202" s="528"/>
      <c r="AU202" s="528"/>
      <c r="AV202" s="528"/>
      <c r="AW202" s="528"/>
      <c r="AX202" s="528"/>
      <c r="AY202" s="528"/>
      <c r="AZ202" s="528"/>
      <c r="BA202" s="528"/>
      <c r="BB202" s="221"/>
      <c r="BC202" s="221"/>
      <c r="BD202" s="221"/>
      <c r="BE202" s="221"/>
      <c r="BF202" s="260"/>
      <c r="BG202" s="260"/>
      <c r="BH202" s="261"/>
      <c r="BI202" s="260"/>
      <c r="BJ202" s="260"/>
      <c r="BK202" s="260"/>
      <c r="BL202" s="260"/>
      <c r="BM202" s="260"/>
      <c r="BN202" s="260"/>
      <c r="BO202" s="149"/>
      <c r="BP202" s="149"/>
      <c r="BQ202" s="149"/>
      <c r="BR202" s="149"/>
      <c r="BS202" s="149"/>
      <c r="BT202" s="149"/>
      <c r="BU202" s="149"/>
      <c r="BV202" s="149"/>
      <c r="BW202" s="149"/>
      <c r="BX202" s="149"/>
      <c r="BY202" s="149"/>
      <c r="BZ202" s="149"/>
      <c r="CA202" s="149"/>
      <c r="CB202" s="149"/>
      <c r="CC202" s="149"/>
      <c r="CD202" s="149"/>
      <c r="CE202" s="149"/>
      <c r="CF202" s="149"/>
      <c r="CG202" s="149"/>
      <c r="CH202" s="149"/>
      <c r="CI202" s="149"/>
      <c r="CJ202" s="149"/>
      <c r="CK202" s="149"/>
      <c r="CL202" s="149"/>
      <c r="CM202" s="149"/>
      <c r="CN202" s="149"/>
      <c r="CO202" s="149"/>
      <c r="CP202" s="149"/>
      <c r="CQ202" s="149"/>
      <c r="CR202" s="149"/>
      <c r="CS202" s="149"/>
      <c r="CT202" s="149"/>
      <c r="CU202" s="149"/>
      <c r="CV202" s="229"/>
      <c r="CW202" s="229"/>
      <c r="CX202" s="229"/>
      <c r="CY202" s="229"/>
      <c r="CZ202" s="229"/>
      <c r="DA202" s="229"/>
      <c r="DB202" s="229"/>
      <c r="DC202" s="229"/>
      <c r="DD202" s="229"/>
    </row>
    <row r="203" spans="1:108">
      <c r="A203" s="264"/>
      <c r="B203" s="526"/>
      <c r="C203" s="527"/>
      <c r="D203" s="527"/>
      <c r="E203" s="264"/>
      <c r="F203" s="264"/>
      <c r="G203" s="264"/>
      <c r="H203" s="264"/>
      <c r="I203" s="264"/>
      <c r="J203" s="264"/>
      <c r="K203" s="264"/>
      <c r="L203" s="264"/>
      <c r="M203" s="264"/>
      <c r="N203" s="264"/>
      <c r="O203" s="264"/>
      <c r="P203" s="227"/>
      <c r="Q203" s="264"/>
      <c r="R203" s="264"/>
      <c r="S203" s="264"/>
      <c r="T203" s="264"/>
      <c r="U203" s="264"/>
      <c r="V203" s="264"/>
      <c r="W203" s="264"/>
      <c r="X203" s="264"/>
      <c r="Y203" s="264"/>
      <c r="Z203" s="264"/>
      <c r="AA203" s="264"/>
      <c r="AB203" s="264"/>
      <c r="AC203" s="264"/>
      <c r="AD203" s="264"/>
      <c r="AE203" s="264"/>
      <c r="AF203" s="264"/>
      <c r="AG203" s="264"/>
      <c r="AH203" s="264"/>
      <c r="AI203" s="264"/>
      <c r="AJ203" s="264"/>
      <c r="AK203" s="264"/>
      <c r="AL203" s="264"/>
      <c r="AM203" s="264"/>
      <c r="AN203" s="264"/>
      <c r="AO203" s="264"/>
      <c r="AP203" s="264"/>
      <c r="AQ203" s="264"/>
      <c r="AR203" s="264"/>
      <c r="AS203" s="264"/>
      <c r="AT203" s="264"/>
      <c r="AU203" s="264"/>
      <c r="AV203" s="264"/>
      <c r="AW203" s="264"/>
      <c r="AX203" s="264"/>
      <c r="AY203" s="264"/>
      <c r="AZ203" s="264"/>
      <c r="BA203" s="264"/>
    </row>
    <row r="204" spans="1:108">
      <c r="A204" s="264"/>
      <c r="B204" s="526"/>
      <c r="C204" s="527"/>
      <c r="D204" s="527"/>
      <c r="E204" s="264"/>
      <c r="F204" s="264"/>
      <c r="G204" s="264"/>
      <c r="H204" s="264"/>
      <c r="I204" s="264"/>
      <c r="J204" s="264"/>
      <c r="K204" s="264"/>
      <c r="L204" s="264"/>
      <c r="M204" s="264"/>
      <c r="N204" s="264"/>
      <c r="O204" s="264"/>
      <c r="P204" s="13"/>
      <c r="Q204" s="264"/>
      <c r="R204" s="264"/>
      <c r="S204" s="264"/>
      <c r="T204" s="264"/>
      <c r="U204" s="264"/>
      <c r="V204" s="264"/>
      <c r="W204" s="264"/>
      <c r="X204" s="264"/>
      <c r="Y204" s="264"/>
      <c r="Z204" s="264"/>
      <c r="AA204" s="264"/>
      <c r="AB204" s="264"/>
      <c r="AC204" s="264"/>
      <c r="AD204" s="264"/>
      <c r="AE204" s="264"/>
      <c r="AF204" s="264"/>
      <c r="AG204" s="264"/>
      <c r="AH204" s="264"/>
      <c r="AI204" s="264"/>
      <c r="AJ204" s="264"/>
      <c r="AK204" s="264"/>
      <c r="AL204" s="264"/>
      <c r="AM204" s="264"/>
      <c r="AN204" s="264"/>
      <c r="AO204" s="264"/>
      <c r="AP204" s="264"/>
      <c r="AQ204" s="264"/>
      <c r="AR204" s="264"/>
      <c r="AS204" s="264"/>
      <c r="AT204" s="264"/>
      <c r="AU204" s="264"/>
      <c r="AV204" s="264"/>
      <c r="AW204" s="264"/>
      <c r="AX204" s="264"/>
      <c r="AY204" s="264"/>
      <c r="AZ204" s="264"/>
      <c r="BA204" s="264"/>
    </row>
    <row r="205" spans="1:108">
      <c r="A205" s="264"/>
      <c r="B205" s="526"/>
      <c r="C205" s="527"/>
      <c r="D205" s="527"/>
      <c r="E205" s="264"/>
      <c r="F205" s="264"/>
      <c r="G205" s="264"/>
      <c r="H205" s="264"/>
      <c r="I205" s="264"/>
      <c r="J205" s="264"/>
      <c r="K205" s="264"/>
      <c r="L205" s="264"/>
      <c r="M205" s="264"/>
      <c r="N205" s="264"/>
      <c r="O205" s="264"/>
      <c r="P205" s="264"/>
      <c r="Q205" s="264"/>
      <c r="R205" s="264"/>
      <c r="S205" s="264"/>
      <c r="T205" s="264"/>
      <c r="U205" s="264"/>
      <c r="V205" s="264"/>
      <c r="W205" s="264"/>
      <c r="X205" s="264"/>
      <c r="Y205" s="264"/>
      <c r="Z205" s="264"/>
      <c r="AA205" s="264"/>
      <c r="AB205" s="264"/>
      <c r="AC205" s="264"/>
      <c r="AD205" s="264"/>
      <c r="AE205" s="264"/>
      <c r="AF205" s="264"/>
      <c r="AG205" s="264"/>
      <c r="AH205" s="264"/>
      <c r="AI205" s="264"/>
      <c r="AJ205" s="264"/>
      <c r="AK205" s="264"/>
      <c r="AL205" s="264"/>
      <c r="AM205" s="264"/>
      <c r="AN205" s="264"/>
      <c r="AO205" s="264"/>
      <c r="AP205" s="264"/>
      <c r="AQ205" s="264"/>
      <c r="AR205" s="264"/>
      <c r="AS205" s="264"/>
      <c r="AT205" s="264"/>
      <c r="AU205" s="264"/>
      <c r="AV205" s="264"/>
      <c r="AW205" s="264"/>
      <c r="AX205" s="264"/>
      <c r="AY205" s="264"/>
      <c r="AZ205" s="264"/>
      <c r="BA205" s="264"/>
    </row>
    <row r="206" spans="1:108" ht="15.95">
      <c r="A206" s="18"/>
      <c r="B206" s="526"/>
      <c r="C206" s="527"/>
      <c r="D206" s="527"/>
      <c r="E206" s="264"/>
      <c r="F206" s="264"/>
      <c r="G206" s="264"/>
      <c r="H206" s="264"/>
      <c r="I206" s="264"/>
      <c r="J206" s="264"/>
      <c r="K206" s="264"/>
      <c r="L206" s="264"/>
      <c r="M206" s="264"/>
      <c r="N206" s="264"/>
      <c r="O206" s="264"/>
      <c r="P206" s="264"/>
      <c r="Q206" s="264"/>
      <c r="R206" s="264"/>
      <c r="S206" s="264"/>
      <c r="T206" s="264"/>
      <c r="U206" s="264"/>
      <c r="V206" s="264"/>
      <c r="W206" s="264"/>
      <c r="X206" s="264"/>
      <c r="Y206" s="264"/>
      <c r="Z206" s="264"/>
      <c r="AA206" s="264"/>
      <c r="AB206" s="264"/>
      <c r="AC206" s="264"/>
      <c r="AD206" s="264"/>
      <c r="AE206" s="264"/>
      <c r="AF206" s="264"/>
      <c r="AG206" s="264"/>
      <c r="AH206" s="264"/>
      <c r="AI206" s="264"/>
      <c r="AJ206" s="264"/>
      <c r="AK206" s="264"/>
      <c r="AL206" s="264"/>
      <c r="AM206" s="264"/>
      <c r="AN206" s="264"/>
      <c r="AO206" s="264"/>
      <c r="AP206" s="264"/>
      <c r="AQ206" s="264"/>
      <c r="AR206" s="264"/>
      <c r="AS206" s="264"/>
      <c r="AT206" s="264"/>
      <c r="AU206" s="264"/>
      <c r="AV206" s="264"/>
      <c r="AW206" s="264"/>
      <c r="AX206" s="264"/>
      <c r="AY206" s="264"/>
      <c r="AZ206" s="264"/>
      <c r="BA206" s="264"/>
    </row>
    <row r="207" spans="1:108">
      <c r="A207" s="182"/>
      <c r="B207" s="182"/>
      <c r="C207" s="182"/>
      <c r="D207" s="182"/>
      <c r="E207" s="182"/>
      <c r="F207" s="182"/>
      <c r="G207" s="182"/>
      <c r="H207" s="182"/>
      <c r="I207" s="182"/>
      <c r="J207" s="264"/>
      <c r="K207" s="264"/>
      <c r="L207" s="264"/>
      <c r="M207" s="264"/>
      <c r="N207" s="264"/>
      <c r="O207" s="264"/>
      <c r="P207" s="264"/>
      <c r="Q207" s="264"/>
      <c r="R207" s="264"/>
      <c r="S207" s="264"/>
      <c r="T207" s="264"/>
      <c r="U207" s="264"/>
      <c r="V207" s="264"/>
      <c r="W207" s="264"/>
      <c r="X207" s="264"/>
      <c r="Y207" s="264"/>
      <c r="Z207" s="264"/>
      <c r="AA207" s="264"/>
      <c r="AB207" s="264"/>
      <c r="AC207" s="264"/>
      <c r="AD207" s="264"/>
      <c r="AE207" s="264"/>
      <c r="AF207" s="264"/>
      <c r="AG207" s="264"/>
      <c r="AH207" s="264"/>
      <c r="AI207" s="264"/>
      <c r="AJ207" s="264"/>
      <c r="AK207" s="264"/>
      <c r="AL207" s="264"/>
      <c r="AM207" s="264"/>
      <c r="AN207" s="264"/>
      <c r="AO207" s="264"/>
      <c r="AP207" s="264"/>
      <c r="AQ207" s="264"/>
      <c r="AR207" s="264"/>
      <c r="AS207" s="264"/>
      <c r="AT207" s="264"/>
      <c r="AU207" s="264"/>
      <c r="AV207" s="264"/>
      <c r="AW207" s="264"/>
      <c r="AX207" s="264"/>
      <c r="AY207" s="264"/>
      <c r="AZ207" s="264"/>
      <c r="BA207" s="264"/>
    </row>
    <row r="208" spans="1:108">
      <c r="A208" s="264"/>
      <c r="B208" s="526"/>
      <c r="C208" s="527"/>
      <c r="D208" s="527"/>
      <c r="E208" s="264"/>
      <c r="F208" s="264"/>
      <c r="G208" s="264"/>
      <c r="H208" s="264"/>
      <c r="I208" s="264"/>
      <c r="J208" s="264"/>
      <c r="K208" s="264"/>
      <c r="L208" s="264"/>
      <c r="M208" s="264"/>
      <c r="N208" s="264"/>
      <c r="O208" s="264"/>
      <c r="P208" s="264"/>
      <c r="Q208" s="264"/>
      <c r="R208" s="264"/>
      <c r="S208" s="264"/>
      <c r="T208" s="264"/>
      <c r="U208" s="264"/>
      <c r="V208" s="264"/>
      <c r="W208" s="264"/>
      <c r="X208" s="264"/>
      <c r="Y208" s="264"/>
      <c r="Z208" s="264"/>
      <c r="AA208" s="264"/>
      <c r="AB208" s="264"/>
      <c r="AC208" s="264"/>
      <c r="AD208" s="264"/>
      <c r="AE208" s="264"/>
      <c r="AF208" s="264"/>
      <c r="AG208" s="264"/>
      <c r="AH208" s="264"/>
      <c r="AI208" s="264"/>
      <c r="AJ208" s="264"/>
      <c r="AK208" s="264"/>
      <c r="AL208" s="264"/>
      <c r="AM208" s="264"/>
      <c r="AN208" s="264"/>
      <c r="AO208" s="264"/>
      <c r="AP208" s="264"/>
      <c r="AQ208" s="264"/>
      <c r="AR208" s="264"/>
      <c r="AS208" s="264"/>
      <c r="AT208" s="264"/>
      <c r="AU208" s="264"/>
      <c r="AV208" s="264"/>
      <c r="AW208" s="264"/>
      <c r="AX208" s="264"/>
      <c r="AY208" s="264"/>
      <c r="AZ208" s="264"/>
      <c r="BA208" s="264"/>
    </row>
    <row r="209" spans="2:2">
      <c r="B209" s="526"/>
    </row>
    <row r="210" spans="2:2">
      <c r="B210" s="526"/>
    </row>
    <row r="211" spans="2:2">
      <c r="B211" s="526"/>
    </row>
    <row r="212" spans="2:2">
      <c r="B212" s="526"/>
    </row>
    <row r="213" spans="2:2">
      <c r="B213" s="526"/>
    </row>
    <row r="214" spans="2:2">
      <c r="B214" s="526"/>
    </row>
    <row r="215" spans="2:2">
      <c r="B215" s="526"/>
    </row>
    <row r="216" spans="2:2">
      <c r="B216" s="526"/>
    </row>
    <row r="217" spans="2:2">
      <c r="B217" s="526"/>
    </row>
    <row r="218" spans="2:2">
      <c r="B218" s="526"/>
    </row>
    <row r="219" spans="2:2">
      <c r="B219" s="526"/>
    </row>
    <row r="220" spans="2:2">
      <c r="B220" s="526"/>
    </row>
    <row r="221" spans="2:2">
      <c r="B221" s="526"/>
    </row>
    <row r="222" spans="2:2">
      <c r="B222" s="526"/>
    </row>
    <row r="223" spans="2:2">
      <c r="B223" s="526"/>
    </row>
    <row r="224" spans="2:2">
      <c r="B224" s="526"/>
    </row>
    <row r="225" spans="2:2">
      <c r="B225" s="526"/>
    </row>
    <row r="226" spans="2:2">
      <c r="B226" s="526"/>
    </row>
    <row r="227" spans="2:2">
      <c r="B227" s="526"/>
    </row>
    <row r="228" spans="2:2">
      <c r="B228" s="526"/>
    </row>
    <row r="229" spans="2:2">
      <c r="B229" s="526"/>
    </row>
    <row r="230" spans="2:2">
      <c r="B230" s="526"/>
    </row>
    <row r="231" spans="2:2">
      <c r="B231" s="526"/>
    </row>
    <row r="232" spans="2:2">
      <c r="B232" s="526"/>
    </row>
    <row r="233" spans="2:2">
      <c r="B233" s="526"/>
    </row>
    <row r="234" spans="2:2">
      <c r="B234" s="526"/>
    </row>
    <row r="235" spans="2:2">
      <c r="B235" s="526"/>
    </row>
    <row r="236" spans="2:2">
      <c r="B236" s="526"/>
    </row>
    <row r="237" spans="2:2">
      <c r="B237" s="526"/>
    </row>
    <row r="238" spans="2:2">
      <c r="B238" s="526"/>
    </row>
    <row r="239" spans="2:2">
      <c r="B239" s="526"/>
    </row>
    <row r="240" spans="2:2">
      <c r="B240" s="526"/>
    </row>
    <row r="241" spans="2:2">
      <c r="B241" s="526"/>
    </row>
    <row r="242" spans="2:2">
      <c r="B242" s="526"/>
    </row>
    <row r="243" spans="2:2">
      <c r="B243" s="526"/>
    </row>
    <row r="244" spans="2:2">
      <c r="B244" s="526"/>
    </row>
    <row r="245" spans="2:2">
      <c r="B245" s="526"/>
    </row>
    <row r="246" spans="2:2">
      <c r="B246" s="526"/>
    </row>
    <row r="247" spans="2:2">
      <c r="B247" s="526"/>
    </row>
    <row r="248" spans="2:2">
      <c r="B248" s="526"/>
    </row>
    <row r="249" spans="2:2">
      <c r="B249" s="526"/>
    </row>
    <row r="250" spans="2:2">
      <c r="B250" s="526"/>
    </row>
    <row r="251" spans="2:2">
      <c r="B251" s="526"/>
    </row>
    <row r="252" spans="2:2">
      <c r="B252" s="526"/>
    </row>
    <row r="253" spans="2:2">
      <c r="B253" s="526"/>
    </row>
    <row r="254" spans="2:2">
      <c r="B254" s="526"/>
    </row>
    <row r="255" spans="2:2">
      <c r="B255" s="526"/>
    </row>
    <row r="256" spans="2:2">
      <c r="B256" s="526"/>
    </row>
    <row r="257" spans="2:2">
      <c r="B257" s="526"/>
    </row>
    <row r="258" spans="2:2">
      <c r="B258" s="526"/>
    </row>
    <row r="259" spans="2:2">
      <c r="B259" s="526"/>
    </row>
    <row r="260" spans="2:2">
      <c r="B260" s="526"/>
    </row>
    <row r="261" spans="2:2">
      <c r="B261" s="526"/>
    </row>
    <row r="262" spans="2:2">
      <c r="B262" s="526"/>
    </row>
    <row r="263" spans="2:2">
      <c r="B263" s="526"/>
    </row>
    <row r="264" spans="2:2">
      <c r="B264" s="526"/>
    </row>
    <row r="265" spans="2:2">
      <c r="B265" s="526"/>
    </row>
    <row r="266" spans="2:2">
      <c r="B266" s="526"/>
    </row>
    <row r="267" spans="2:2">
      <c r="B267" s="526"/>
    </row>
    <row r="268" spans="2:2">
      <c r="B268" s="526"/>
    </row>
    <row r="269" spans="2:2">
      <c r="B269" s="526"/>
    </row>
    <row r="270" spans="2:2">
      <c r="B270" s="526"/>
    </row>
    <row r="271" spans="2:2">
      <c r="B271" s="526"/>
    </row>
    <row r="272" spans="2:2">
      <c r="B272" s="526"/>
    </row>
    <row r="273" spans="2:2">
      <c r="B273" s="526"/>
    </row>
    <row r="274" spans="2:2">
      <c r="B274" s="526"/>
    </row>
    <row r="275" spans="2:2">
      <c r="B275" s="526"/>
    </row>
    <row r="276" spans="2:2">
      <c r="B276" s="526"/>
    </row>
    <row r="277" spans="2:2">
      <c r="B277" s="526"/>
    </row>
    <row r="278" spans="2:2">
      <c r="B278" s="526"/>
    </row>
    <row r="279" spans="2:2">
      <c r="B279" s="526"/>
    </row>
    <row r="280" spans="2:2">
      <c r="B280" s="526"/>
    </row>
    <row r="281" spans="2:2">
      <c r="B281" s="526"/>
    </row>
    <row r="282" spans="2:2">
      <c r="B282" s="526"/>
    </row>
    <row r="283" spans="2:2">
      <c r="B283" s="526"/>
    </row>
    <row r="284" spans="2:2">
      <c r="B284" s="526"/>
    </row>
    <row r="285" spans="2:2">
      <c r="B285" s="526"/>
    </row>
    <row r="286" spans="2:2">
      <c r="B286" s="526"/>
    </row>
    <row r="287" spans="2:2">
      <c r="B287" s="526"/>
    </row>
    <row r="288" spans="2:2">
      <c r="B288" s="526"/>
    </row>
    <row r="289" spans="2:2">
      <c r="B289" s="526"/>
    </row>
    <row r="290" spans="2:2">
      <c r="B290" s="526"/>
    </row>
    <row r="291" spans="2:2">
      <c r="B291" s="526"/>
    </row>
    <row r="292" spans="2:2">
      <c r="B292" s="526"/>
    </row>
    <row r="293" spans="2:2">
      <c r="B293" s="526"/>
    </row>
    <row r="294" spans="2:2">
      <c r="B294" s="526"/>
    </row>
    <row r="295" spans="2:2">
      <c r="B295" s="526"/>
    </row>
    <row r="296" spans="2:2">
      <c r="B296" s="526"/>
    </row>
    <row r="297" spans="2:2">
      <c r="B297" s="526"/>
    </row>
    <row r="298" spans="2:2">
      <c r="B298" s="526"/>
    </row>
    <row r="299" spans="2:2">
      <c r="B299" s="526"/>
    </row>
    <row r="300" spans="2:2">
      <c r="B300" s="526"/>
    </row>
    <row r="301" spans="2:2">
      <c r="B301" s="526"/>
    </row>
    <row r="302" spans="2:2">
      <c r="B302" s="526"/>
    </row>
    <row r="303" spans="2:2">
      <c r="B303" s="526"/>
    </row>
    <row r="304" spans="2:2">
      <c r="B304" s="526"/>
    </row>
    <row r="305" spans="2:2">
      <c r="B305" s="526"/>
    </row>
    <row r="306" spans="2:2">
      <c r="B306" s="526"/>
    </row>
    <row r="307" spans="2:2">
      <c r="B307" s="526"/>
    </row>
    <row r="308" spans="2:2">
      <c r="B308" s="526"/>
    </row>
    <row r="309" spans="2:2">
      <c r="B309" s="526"/>
    </row>
    <row r="310" spans="2:2">
      <c r="B310" s="526"/>
    </row>
    <row r="311" spans="2:2">
      <c r="B311" s="526"/>
    </row>
    <row r="312" spans="2:2">
      <c r="B312" s="526"/>
    </row>
    <row r="313" spans="2:2">
      <c r="B313" s="526"/>
    </row>
    <row r="314" spans="2:2">
      <c r="B314" s="526"/>
    </row>
    <row r="315" spans="2:2">
      <c r="B315" s="526"/>
    </row>
    <row r="316" spans="2:2">
      <c r="B316" s="526"/>
    </row>
    <row r="317" spans="2:2">
      <c r="B317" s="526"/>
    </row>
    <row r="318" spans="2:2">
      <c r="B318" s="526"/>
    </row>
    <row r="319" spans="2:2">
      <c r="B319" s="526"/>
    </row>
    <row r="320" spans="2:2">
      <c r="B320" s="526"/>
    </row>
    <row r="321" spans="2:2">
      <c r="B321" s="526"/>
    </row>
    <row r="322" spans="2:2">
      <c r="B322" s="526"/>
    </row>
    <row r="323" spans="2:2">
      <c r="B323" s="526"/>
    </row>
    <row r="324" spans="2:2">
      <c r="B324" s="526"/>
    </row>
    <row r="325" spans="2:2">
      <c r="B325" s="526"/>
    </row>
    <row r="326" spans="2:2">
      <c r="B326" s="526"/>
    </row>
    <row r="327" spans="2:2">
      <c r="B327" s="526"/>
    </row>
    <row r="328" spans="2:2">
      <c r="B328" s="526"/>
    </row>
    <row r="329" spans="2:2">
      <c r="B329" s="526"/>
    </row>
    <row r="330" spans="2:2">
      <c r="B330" s="526"/>
    </row>
    <row r="331" spans="2:2">
      <c r="B331" s="526"/>
    </row>
    <row r="332" spans="2:2">
      <c r="B332" s="526"/>
    </row>
    <row r="333" spans="2:2">
      <c r="B333" s="526"/>
    </row>
    <row r="334" spans="2:2">
      <c r="B334" s="526"/>
    </row>
    <row r="335" spans="2:2">
      <c r="B335" s="526"/>
    </row>
    <row r="336" spans="2:2">
      <c r="B336" s="526"/>
    </row>
    <row r="337" spans="2:2">
      <c r="B337" s="526"/>
    </row>
    <row r="338" spans="2:2">
      <c r="B338" s="526"/>
    </row>
    <row r="339" spans="2:2">
      <c r="B339" s="526"/>
    </row>
    <row r="340" spans="2:2">
      <c r="B340" s="526"/>
    </row>
    <row r="341" spans="2:2">
      <c r="B341" s="526"/>
    </row>
    <row r="342" spans="2:2">
      <c r="B342" s="526"/>
    </row>
    <row r="343" spans="2:2">
      <c r="B343" s="526"/>
    </row>
    <row r="344" spans="2:2">
      <c r="B344" s="526"/>
    </row>
    <row r="345" spans="2:2">
      <c r="B345" s="526"/>
    </row>
    <row r="346" spans="2:2">
      <c r="B346" s="526"/>
    </row>
    <row r="347" spans="2:2">
      <c r="B347" s="526"/>
    </row>
    <row r="348" spans="2:2">
      <c r="B348" s="526"/>
    </row>
    <row r="349" spans="2:2">
      <c r="B349" s="526"/>
    </row>
    <row r="350" spans="2:2">
      <c r="B350" s="526"/>
    </row>
    <row r="351" spans="2:2">
      <c r="B351" s="526"/>
    </row>
    <row r="352" spans="2:2">
      <c r="B352" s="526"/>
    </row>
    <row r="353" spans="2:2">
      <c r="B353" s="526"/>
    </row>
    <row r="354" spans="2:2">
      <c r="B354" s="526"/>
    </row>
    <row r="355" spans="2:2">
      <c r="B355" s="526"/>
    </row>
    <row r="356" spans="2:2">
      <c r="B356" s="526"/>
    </row>
    <row r="357" spans="2:2">
      <c r="B357" s="526"/>
    </row>
    <row r="358" spans="2:2">
      <c r="B358" s="526"/>
    </row>
    <row r="359" spans="2:2">
      <c r="B359" s="526"/>
    </row>
    <row r="360" spans="2:2">
      <c r="B360" s="526"/>
    </row>
    <row r="361" spans="2:2">
      <c r="B361" s="526"/>
    </row>
    <row r="362" spans="2:2">
      <c r="B362" s="526"/>
    </row>
    <row r="363" spans="2:2">
      <c r="B363" s="526"/>
    </row>
    <row r="364" spans="2:2">
      <c r="B364" s="526"/>
    </row>
    <row r="365" spans="2:2">
      <c r="B365" s="526"/>
    </row>
    <row r="366" spans="2:2">
      <c r="B366" s="526"/>
    </row>
    <row r="367" spans="2:2">
      <c r="B367" s="526"/>
    </row>
    <row r="368" spans="2:2">
      <c r="B368" s="526"/>
    </row>
    <row r="369" spans="2:2">
      <c r="B369" s="526"/>
    </row>
    <row r="370" spans="2:2">
      <c r="B370" s="526"/>
    </row>
    <row r="371" spans="2:2">
      <c r="B371" s="526"/>
    </row>
    <row r="372" spans="2:2">
      <c r="B372" s="526"/>
    </row>
    <row r="373" spans="2:2">
      <c r="B373" s="526"/>
    </row>
    <row r="374" spans="2:2">
      <c r="B374" s="526"/>
    </row>
    <row r="375" spans="2:2">
      <c r="B375" s="526"/>
    </row>
    <row r="376" spans="2:2">
      <c r="B376" s="526"/>
    </row>
    <row r="377" spans="2:2">
      <c r="B377" s="526"/>
    </row>
    <row r="378" spans="2:2">
      <c r="B378" s="526"/>
    </row>
    <row r="379" spans="2:2">
      <c r="B379" s="526"/>
    </row>
    <row r="380" spans="2:2">
      <c r="B380" s="526"/>
    </row>
    <row r="381" spans="2:2">
      <c r="B381" s="526"/>
    </row>
    <row r="382" spans="2:2">
      <c r="B382" s="526"/>
    </row>
    <row r="383" spans="2:2">
      <c r="B383" s="526"/>
    </row>
    <row r="384" spans="2:2">
      <c r="B384" s="526"/>
    </row>
    <row r="385" spans="2:2">
      <c r="B385" s="526"/>
    </row>
    <row r="386" spans="2:2">
      <c r="B386" s="526"/>
    </row>
  </sheetData>
  <sheetProtection algorithmName="SHA-512" hashValue="n3DJMp3zfG1EK4Pk1rqLHyF7ejygV5uS4hCqgd6+OMBajwH2KeJktUoqEw+KF4vnsk7Zt0Pprq6YyTHrBqcnbA==" saltValue="q/h2g/uxDeXVvfFhXpy7sw==" spinCount="100000" sheet="1" objects="1" scenarios="1" formatColumns="0" selectLockedCells="1"/>
  <phoneticPr fontId="8" type="noConversion"/>
  <conditionalFormatting sqref="D148:D163">
    <cfRule type="expression" dxfId="46" priority="2">
      <formula>IF(COUNTIF($P$184:$P$191,D148)=1,1,0)</formula>
    </cfRule>
    <cfRule type="duplicateValues" dxfId="45" priority="4"/>
  </conditionalFormatting>
  <conditionalFormatting sqref="D166:D181">
    <cfRule type="expression" dxfId="44" priority="14">
      <formula>IF(COUNTIF($P$184:$P$191,D166)=1,1,0)</formula>
    </cfRule>
    <cfRule type="duplicateValues" dxfId="43" priority="20"/>
  </conditionalFormatting>
  <conditionalFormatting sqref="D184:D191">
    <cfRule type="expression" dxfId="42" priority="12">
      <formula>IF(COUNTIF($P$194:$P$197,D184)=1,1,0)</formula>
    </cfRule>
  </conditionalFormatting>
  <conditionalFormatting sqref="D194:D197">
    <cfRule type="expression" dxfId="41" priority="10">
      <formula>IF(COUNTIF($P$200:$P$201,D194)=1,1,0)</formula>
    </cfRule>
  </conditionalFormatting>
  <conditionalFormatting sqref="F149 I149 F153 I153 F157 I157 F161 I161 F167 I167 F171 I171 F175 I175 F179 I179 F185 I185 F189 I189 F195 I195">
    <cfRule type="expression" dxfId="40" priority="29" stopIfTrue="1">
      <formula>IF(COUNT($G148:$H149)=4,IF(AND($F149&lt;&gt;$I149,$G148+$H149=$H148+$G149,$F149&lt;&gt;"",$I149&lt;&gt;""),0,IF(AND($F149&lt;&gt;"",$G148+$H149=$H148+$G149),1,IF(AND($F149="",$G148+$H149=$H148+$G149),1,0))))</formula>
    </cfRule>
  </conditionalFormatting>
  <conditionalFormatting sqref="F151 I151 F155 I155 F159 I159 F163 I163 F169 I169 F173 I173 F177 I177 F181 I181 F187 I187 F191 I191 F197 I197">
    <cfRule type="expression" dxfId="39" priority="27">
      <formula>IF(COUNT($G150:$H151)=4,IF(AND($F151&lt;&gt;$I151,$G150+$H151=$H150+$G151,$F151&lt;&gt;"",$I151&lt;&gt;""),0,IF(AND($F151&lt;&gt;"",$G150+$H151=$H150+$G151),1,IF(AND($F151="",$G150+$H151=$H150+$G151),1,0))))</formula>
    </cfRule>
  </conditionalFormatting>
  <conditionalFormatting sqref="F200">
    <cfRule type="expression" dxfId="38" priority="18" stopIfTrue="1">
      <formula>IF(COUNT(G200:H200)=2,IF(AND($F200&lt;&gt;$I200,$G200=$H200,$F200&lt;&gt;"",$I200&lt;&gt;""),0,IF(AND($F200&lt;&gt;"",$G200=$H200),1,IF(AND($F200="",$G200=$H200),1,0))))</formula>
    </cfRule>
  </conditionalFormatting>
  <conditionalFormatting sqref="I200">
    <cfRule type="expression" dxfId="37" priority="17">
      <formula>IF(COUNT(G200:H200)=2,IF(AND($F200&lt;&gt;$I200,$G200=$H200,$F200&lt;&gt;"",$I200&lt;&gt;""),0,IF(AND($I200&lt;&gt;"",$G200=$H200),1,IF(AND($I200="",$G200=$H200),1,0))))</formula>
    </cfRule>
  </conditionalFormatting>
  <conditionalFormatting sqref="K148:K163">
    <cfRule type="expression" dxfId="36" priority="1">
      <formula>IF(COUNTIF($P$184:$P$191,K148)=1,1,0)</formula>
    </cfRule>
    <cfRule type="duplicateValues" dxfId="35" priority="3"/>
  </conditionalFormatting>
  <conditionalFormatting sqref="K166:K181">
    <cfRule type="expression" dxfId="34" priority="13">
      <formula>IF(COUNTIF($P$184:$P$191,K166)=1,1,0)</formula>
    </cfRule>
    <cfRule type="duplicateValues" dxfId="33" priority="19"/>
  </conditionalFormatting>
  <conditionalFormatting sqref="K184:K191">
    <cfRule type="expression" dxfId="32" priority="11">
      <formula>IF(COUNTIF($P$194:$P$197,K184)=1,1,0)</formula>
    </cfRule>
  </conditionalFormatting>
  <conditionalFormatting sqref="K194:K197">
    <cfRule type="expression" dxfId="31" priority="9">
      <formula>IF(COUNTIF($P$200:$P$201,K194)=1,1,0)</formula>
    </cfRule>
  </conditionalFormatting>
  <conditionalFormatting sqref="M2">
    <cfRule type="iconSet" priority="23">
      <iconSet iconSet="3Symbols2">
        <cfvo type="percent" val="0"/>
        <cfvo type="percent" val="33"/>
        <cfvo type="percent" val="67"/>
      </iconSet>
    </cfRule>
  </conditionalFormatting>
  <conditionalFormatting sqref="AS1:AT37">
    <cfRule type="expression" dxfId="30" priority="26" stopIfTrue="1">
      <formula>IF(AND(SUM($R$2:$R$37)=288,$AV1&gt;1),1,0)</formula>
    </cfRule>
  </conditionalFormatting>
  <dataValidations count="5">
    <dataValidation type="whole" allowBlank="1" showInputMessage="1" showErrorMessage="1" promptTitle="Introduzca un número" sqref="F200:I200 F194:I197 F148:I163 F166:I181 F184:I191" xr:uid="{29C97A4E-326E-674F-8FEC-5C49F73BBC76}">
      <formula1>0</formula1>
      <formula2>100</formula2>
    </dataValidation>
    <dataValidation type="whole" operator="lessThan" allowBlank="1" showInputMessage="1" showErrorMessage="1" errorTitle="Escriba un número negativo" sqref="BA2:BA36" xr:uid="{AEBA2899-F8B3-E445-86AF-72F32AC6665B}">
      <formula1>0</formula1>
    </dataValidation>
    <dataValidation type="list" allowBlank="1" showInputMessage="1" showErrorMessage="1" sqref="AT2:AT37" xr:uid="{C7FBE577-5491-DB47-88DE-0A6FC127CB10}">
      <formula1>OFFSET($N$2,AU2-1,0,AV2,1)</formula1>
    </dataValidation>
    <dataValidation type="list" allowBlank="1" showInputMessage="1" showErrorMessage="1" sqref="AL166" xr:uid="{CF43A8FE-07E8-7A45-AFEE-B83EBA6D4E34}">
      <formula1>IF($AT$164=8,OFFSET($AC$175,0,0,COUNTIF($AC$175:$AC$182,"&lt;&gt;0"),1),$Y$174)</formula1>
    </dataValidation>
    <dataValidation type="whole" allowBlank="1" showInputMessage="1" showErrorMessage="1" errorTitle="Number" error="0-100" promptTitle="Introduzca un número" sqref="G2:H145" xr:uid="{D0134D89-FFE8-2846-80C2-7A3571DF9399}">
      <formula1>0</formula1>
      <formula2>100</formula2>
    </dataValidation>
  </dataValidations>
  <hyperlinks>
    <hyperlink ref="L20" location="League!L1" display="^" xr:uid="{A58B90DB-DE3B-A54B-8598-420078C20C71}"/>
    <hyperlink ref="L38" location="League!L1" display="^" xr:uid="{28FBB8E8-2FE6-D547-906D-B9E8DBD8CF15}"/>
    <hyperlink ref="L56" location="League!L1" display="^" xr:uid="{7EDFA3C3-2D46-9541-BFB4-490F5720FAF9}"/>
    <hyperlink ref="L74" location="League!L1" display="^" xr:uid="{D67F0D91-7DFD-D941-BE21-FDB215F02756}"/>
    <hyperlink ref="L92" location="League!L1" display="^" xr:uid="{73719C26-60CB-6A45-BB69-12A220BEA1BC}"/>
    <hyperlink ref="L110" location="League!L1" display="^" xr:uid="{328E95AD-4E34-B14A-98E6-CCFFB5DE5BDF}"/>
    <hyperlink ref="L128" location="League!L1" display="^" xr:uid="{A5296B94-DA93-B442-B893-F5E7120817AB}"/>
    <hyperlink ref="L147" location="League!L1" display="^" xr:uid="{B44D41AD-293F-4B4B-BCC4-AE902B3F074A}"/>
    <hyperlink ref="L165" location="League!L1" display="^" xr:uid="{B326119E-1E4B-2D40-A1E2-D77B484342C6}"/>
    <hyperlink ref="L183" location="League!L1" display="^" xr:uid="{5A12621A-6E4F-0642-A449-96A6A1642B28}"/>
    <hyperlink ref="L193" location="League!L1" display="^" xr:uid="{ED77E85D-5713-5343-8A24-820FE076FA68}"/>
    <hyperlink ref="L199" location="League!L1" display="^" xr:uid="{7E1FA45D-DAA7-384B-83B3-8367FE75E33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C129-0577-F14F-BEFA-622FB60CE569}">
  <sheetPr codeName="Hoja3"/>
  <dimension ref="A1:AM36"/>
  <sheetViews>
    <sheetView showGridLines="0" showRowColHeaders="0" workbookViewId="0">
      <selection activeCell="A4" sqref="A4"/>
    </sheetView>
  </sheetViews>
  <sheetFormatPr defaultColWidth="11" defaultRowHeight="15.95"/>
  <cols>
    <col min="1" max="1" width="3.5" bestFit="1" customWidth="1"/>
    <col min="2" max="2" width="19.125" bestFit="1" customWidth="1"/>
    <col min="3" max="3" width="3.375" style="136" customWidth="1"/>
    <col min="4" max="4" width="1.875" style="136" customWidth="1"/>
    <col min="5" max="5" width="16.125" customWidth="1"/>
    <col min="6" max="9" width="3.875" style="116" customWidth="1"/>
    <col min="10" max="10" width="1.875" customWidth="1"/>
    <col min="11" max="11" width="2.875" customWidth="1"/>
    <col min="12" max="12" width="22.125" bestFit="1" customWidth="1"/>
    <col min="13" max="16" width="3.875" style="116" customWidth="1"/>
    <col min="17" max="18" width="2.875" customWidth="1"/>
    <col min="19" max="19" width="12.5" customWidth="1"/>
    <col min="20" max="23" width="3.875" customWidth="1"/>
    <col min="24" max="25" width="2.875" customWidth="1"/>
    <col min="27" max="30" width="3.875" customWidth="1"/>
    <col min="31" max="32" width="2.875" customWidth="1"/>
    <col min="34" max="35" width="3.875" customWidth="1"/>
    <col min="36" max="36" width="2.875" customWidth="1"/>
    <col min="37" max="37" width="16.375" customWidth="1"/>
    <col min="38" max="38" width="1.875" customWidth="1"/>
    <col min="39" max="39" width="2.875" customWidth="1"/>
  </cols>
  <sheetData>
    <row r="1" spans="1:39" ht="24.95" customHeight="1">
      <c r="C1" s="135"/>
      <c r="D1" s="135"/>
      <c r="E1" s="150" t="s">
        <v>101</v>
      </c>
      <c r="F1" s="168"/>
      <c r="G1" s="150"/>
      <c r="H1" s="150"/>
      <c r="I1" s="150"/>
      <c r="J1" s="150"/>
      <c r="K1" s="150"/>
      <c r="L1" s="150" t="s">
        <v>102</v>
      </c>
      <c r="M1" s="150"/>
      <c r="N1" s="150"/>
      <c r="O1" s="150"/>
      <c r="P1" s="150"/>
      <c r="Q1" s="150"/>
      <c r="R1" s="150"/>
      <c r="S1" s="150" t="s">
        <v>103</v>
      </c>
      <c r="T1" s="150"/>
      <c r="U1" s="150"/>
      <c r="V1" s="150"/>
      <c r="W1" s="150"/>
      <c r="X1" s="150"/>
      <c r="Y1" s="150"/>
      <c r="Z1" s="150" t="s">
        <v>104</v>
      </c>
      <c r="AA1" s="150"/>
      <c r="AB1" s="150"/>
      <c r="AC1" s="150"/>
      <c r="AD1" s="150"/>
      <c r="AE1" s="150"/>
      <c r="AF1" s="150"/>
      <c r="AG1" s="150" t="s">
        <v>100</v>
      </c>
      <c r="AH1" s="145"/>
      <c r="AI1" s="145"/>
      <c r="AJ1" s="145"/>
      <c r="AK1" s="145"/>
      <c r="AL1" s="133"/>
      <c r="AM1" s="133"/>
    </row>
    <row r="2" spans="1:39">
      <c r="C2" s="135"/>
      <c r="D2" s="135"/>
      <c r="E2" s="181" t="s">
        <v>105</v>
      </c>
      <c r="F2" s="181"/>
      <c r="G2" s="181"/>
      <c r="H2" s="181"/>
      <c r="I2" s="181"/>
      <c r="J2" s="181"/>
      <c r="K2" s="181"/>
      <c r="L2" s="181" t="s">
        <v>106</v>
      </c>
      <c r="M2" s="181"/>
      <c r="N2" s="181"/>
      <c r="O2" s="181"/>
      <c r="P2" s="181"/>
      <c r="Q2" s="181"/>
      <c r="R2" s="181"/>
      <c r="S2" s="181" t="s">
        <v>107</v>
      </c>
      <c r="T2" s="181"/>
      <c r="U2" s="181"/>
      <c r="V2" s="181"/>
      <c r="W2" s="181"/>
      <c r="X2" s="181"/>
      <c r="Y2" s="181"/>
      <c r="Z2" s="181" t="s">
        <v>108</v>
      </c>
      <c r="AA2" s="181"/>
      <c r="AB2" s="181"/>
      <c r="AC2" s="181"/>
      <c r="AD2" s="181"/>
      <c r="AE2" s="181"/>
      <c r="AF2" s="181"/>
      <c r="AG2" s="181" t="s">
        <v>109</v>
      </c>
      <c r="AH2" s="145"/>
      <c r="AI2" s="145"/>
      <c r="AJ2" s="145"/>
      <c r="AK2" s="145"/>
      <c r="AL2" s="133"/>
      <c r="AM2" s="133"/>
    </row>
    <row r="3" spans="1:39" ht="21">
      <c r="C3" s="135"/>
      <c r="D3"/>
      <c r="F3" s="116" t="s">
        <v>110</v>
      </c>
      <c r="G3" s="116" t="s">
        <v>111</v>
      </c>
      <c r="H3" s="130" t="s">
        <v>112</v>
      </c>
      <c r="I3" s="125" t="s">
        <v>113</v>
      </c>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5"/>
      <c r="AI3" s="155"/>
      <c r="AJ3" s="155"/>
      <c r="AK3" s="155"/>
      <c r="AL3" s="155"/>
      <c r="AM3" s="133"/>
    </row>
    <row r="4" spans="1:39" ht="17.100000000000001" thickBot="1">
      <c r="C4" s="147" t="s">
        <v>114</v>
      </c>
      <c r="D4"/>
      <c r="E4" s="128" t="s">
        <v>114</v>
      </c>
      <c r="F4" s="126"/>
      <c r="G4" s="126"/>
      <c r="H4" s="121">
        <f>F4+G4</f>
        <v>0</v>
      </c>
      <c r="I4" s="157"/>
      <c r="M4" s="116" t="s">
        <v>110</v>
      </c>
      <c r="N4" s="116" t="s">
        <v>111</v>
      </c>
      <c r="O4" s="130" t="s">
        <v>112</v>
      </c>
      <c r="P4" s="125" t="s">
        <v>113</v>
      </c>
      <c r="AM4" s="133"/>
    </row>
    <row r="5" spans="1:39" ht="18" thickTop="1" thickBot="1">
      <c r="C5" s="147" t="s">
        <v>115</v>
      </c>
      <c r="D5"/>
      <c r="E5" s="129" t="s">
        <v>115</v>
      </c>
      <c r="F5" s="127"/>
      <c r="G5" s="127"/>
      <c r="H5" s="122">
        <f>F5+G5</f>
        <v>0</v>
      </c>
      <c r="I5" s="152"/>
      <c r="J5" s="165"/>
      <c r="K5" s="162" t="str">
        <f>IF(AND(OR(F4="",F5="",G4="",G5="")),"WPO1",IF(F4+G4&gt;F5+G5,E4,IF(F4+G4&lt;F5+G5,E5,IF(AND(F4+G4=F5+G5,I4=I5),E5&amp;"/"&amp;E4,IF(AND(F4+G4=F5+G5,OR(I4="",I5="")),"WPO1",IF(AND(F4+G4=F5+G5,I4&gt;I5),E4,E5))))))</f>
        <v>WPO1</v>
      </c>
      <c r="L5" s="151" t="str">
        <f>IF(AND(OR(F4="",F5="",G4="",G5="")),E5&amp;"/"&amp;E4,IF(F4+G4&gt;F5+G5,E4,IF(F4+G4&lt;F5+G5,E5,IF(AND(F4+G4=F5+G5,I4=I5),E5&amp;"/"&amp;E4,IF(AND(F4+G4=F5+G5,OR(I4="",I5="")),E5&amp;"/"&amp;E4,IF(AND(F4+G4=F5+G5,I4&gt;I5),E4,E5))))))</f>
        <v>15/16/17/18</v>
      </c>
      <c r="M5" s="126"/>
      <c r="N5" s="126"/>
      <c r="O5" s="121">
        <f>M5+N5</f>
        <v>0</v>
      </c>
      <c r="P5" s="140"/>
      <c r="Q5" s="123"/>
      <c r="AM5" s="133"/>
    </row>
    <row r="6" spans="1:39" ht="17.100000000000001" thickTop="1">
      <c r="C6" s="147"/>
      <c r="D6"/>
      <c r="I6" s="125"/>
      <c r="K6" s="131" t="s">
        <v>116</v>
      </c>
      <c r="L6" s="129" t="s">
        <v>116</v>
      </c>
      <c r="M6" s="127"/>
      <c r="N6" s="127"/>
      <c r="O6" s="122">
        <f>M6+N6</f>
        <v>0</v>
      </c>
      <c r="P6" s="141"/>
      <c r="Q6" s="119"/>
      <c r="T6" s="116" t="s">
        <v>110</v>
      </c>
      <c r="U6" s="116" t="s">
        <v>111</v>
      </c>
      <c r="V6" s="130" t="s">
        <v>112</v>
      </c>
      <c r="W6" s="125" t="s">
        <v>113</v>
      </c>
      <c r="AM6" s="133"/>
    </row>
    <row r="7" spans="1:39" ht="17.100000000000001" thickBot="1">
      <c r="C7" s="147"/>
      <c r="D7"/>
      <c r="F7" s="116" t="s">
        <v>110</v>
      </c>
      <c r="G7" s="116" t="s">
        <v>111</v>
      </c>
      <c r="H7" s="130" t="s">
        <v>112</v>
      </c>
      <c r="I7" s="125" t="s">
        <v>113</v>
      </c>
      <c r="J7" s="9"/>
      <c r="K7" s="9"/>
      <c r="P7" s="125"/>
      <c r="Q7" s="120"/>
      <c r="R7" s="132" t="str">
        <f>IF(AND(OR(M5="",M6="",N5="",N6="")),"WR16-1",IF(M5+N5&gt;M6+N6,L5,IF(M5+N5&lt;M6+N6,L6,IF(AND(M5+N5=M6+N6,P5=P6),"WR16-1",IF(AND(M5+N5=M6+N6,OR(P5="",P6="")),"WR16-1",IF(AND(M5+N5=M6+N6,P5&gt;P6),L5,L6))))))</f>
        <v>WR16-1</v>
      </c>
      <c r="S7" s="128" t="s">
        <v>117</v>
      </c>
      <c r="T7" s="126"/>
      <c r="U7" s="126"/>
      <c r="V7" s="121">
        <f>T7+U7</f>
        <v>0</v>
      </c>
      <c r="W7" s="140"/>
      <c r="X7" s="123"/>
      <c r="AM7" s="133"/>
    </row>
    <row r="8" spans="1:39" ht="18" thickTop="1" thickBot="1">
      <c r="A8" s="529">
        <v>1</v>
      </c>
      <c r="B8" s="529" t="str">
        <f>IF(SUM(Calcs!$B$2:$B$37)=288,League!P2,"Clas."&amp;A8)</f>
        <v>Clas.1</v>
      </c>
      <c r="C8" s="147" t="s">
        <v>118</v>
      </c>
      <c r="D8"/>
      <c r="E8" s="128" t="s">
        <v>118</v>
      </c>
      <c r="F8" s="126"/>
      <c r="G8" s="126"/>
      <c r="H8" s="121">
        <f>F8+G8</f>
        <v>0</v>
      </c>
      <c r="I8" s="141">
        <v>1</v>
      </c>
      <c r="J8" s="163"/>
      <c r="K8" s="9"/>
      <c r="M8" s="116" t="s">
        <v>110</v>
      </c>
      <c r="N8" s="116" t="s">
        <v>111</v>
      </c>
      <c r="O8" s="130" t="s">
        <v>112</v>
      </c>
      <c r="P8" s="125" t="s">
        <v>113</v>
      </c>
      <c r="Q8" s="120"/>
      <c r="R8" s="9" t="str">
        <f>IF(AND(OR(M9="",M10="",N9="",N10="")),"WR16-2",IF(M9+N9&gt;M10+N10,L9,IF(M9+N9&lt;M10+N10,L10,IF(AND(M9+N9=M10+N10,P9=P10),"WR16-2",IF(AND(M9+N9=M10+N10,OR(P9="",P10="")),"WR16-2",IF(AND(M9+N9=M10+N10,P9&gt;P10),L9,L10))))))</f>
        <v>WR16-2</v>
      </c>
      <c r="S8" s="129" t="s">
        <v>119</v>
      </c>
      <c r="T8" s="127"/>
      <c r="U8" s="127"/>
      <c r="V8" s="122">
        <f>T8+U8</f>
        <v>0</v>
      </c>
      <c r="W8" s="141"/>
      <c r="X8" s="119"/>
      <c r="AM8" s="133"/>
    </row>
    <row r="9" spans="1:39" ht="18" thickTop="1" thickBot="1">
      <c r="A9" s="529">
        <v>2</v>
      </c>
      <c r="B9" s="529" t="str">
        <f>IF(SUM(Calcs!$B$2:$B$37)=288,League!P3,"Clas."&amp;A9)</f>
        <v>Clas.2</v>
      </c>
      <c r="C9" s="148" t="s">
        <v>120</v>
      </c>
      <c r="D9"/>
      <c r="E9" s="129" t="s">
        <v>120</v>
      </c>
      <c r="F9" s="127"/>
      <c r="G9" s="127"/>
      <c r="H9" s="122">
        <f>F9+G9</f>
        <v>0</v>
      </c>
      <c r="I9" s="156">
        <v>1</v>
      </c>
      <c r="J9" s="164"/>
      <c r="K9" s="162" t="str">
        <f>IF(AND(OR(F8="",F9="",G8="",G9="")),"WPO2",IF(F8+G8&gt;F9+G9,E8,IF(F8+G8&lt;F9+G9,E9,IF(AND(F8+G8=F9+G9,I8=I9),E9&amp;"/"&amp;E8,IF(AND(F8+G8=F9+G9,OR(I8="",I9="")),"WPO2",IF(AND(F8+G8=F9+G9,I8&gt;I9),E8,E9))))))</f>
        <v>WPO2</v>
      </c>
      <c r="L9" s="151" t="str">
        <f>IF(AND(OR(F8="",F9="",G8="",G9="")),E9&amp;"/"&amp;E8,IF(F8+G8&gt;F9+G9,E8,IF(F8+G8&lt;F9+G9,E9,IF(AND(F8+G8=F9+G9,I8=I9),E9&amp;"/"&amp;E8,IF(AND(F8+G8=F9+G9,OR(I8="",I9="")),E9&amp;"/"&amp;E8,IF(AND(F8+G8=F9+G9,I8&gt;I9),E8,E9))))))</f>
        <v>9/10/23/24</v>
      </c>
      <c r="M9" s="126"/>
      <c r="N9" s="126"/>
      <c r="O9" s="121">
        <f>M9+N9</f>
        <v>0</v>
      </c>
      <c r="P9" s="140"/>
      <c r="Q9" s="124"/>
      <c r="W9" s="9"/>
      <c r="X9" s="120"/>
      <c r="AM9" s="133"/>
    </row>
    <row r="10" spans="1:39" ht="17.100000000000001" thickTop="1">
      <c r="A10" s="529">
        <v>3</v>
      </c>
      <c r="B10" s="529" t="str">
        <f>IF(SUM(Calcs!$B$2:$B$37)=288,League!P4,"Clas."&amp;A10)</f>
        <v>Clas.3</v>
      </c>
      <c r="C10" s="147"/>
      <c r="D10"/>
      <c r="I10" s="125"/>
      <c r="K10" s="131" t="s">
        <v>121</v>
      </c>
      <c r="L10" s="129" t="s">
        <v>121</v>
      </c>
      <c r="M10" s="127"/>
      <c r="N10" s="127"/>
      <c r="O10" s="122">
        <f>M10+N10</f>
        <v>0</v>
      </c>
      <c r="P10" s="141"/>
      <c r="W10" s="9"/>
      <c r="X10" s="120"/>
      <c r="AA10" s="116" t="s">
        <v>110</v>
      </c>
      <c r="AB10" s="116" t="s">
        <v>111</v>
      </c>
      <c r="AC10" s="130" t="s">
        <v>112</v>
      </c>
      <c r="AD10" s="125" t="s">
        <v>113</v>
      </c>
      <c r="AM10" s="133"/>
    </row>
    <row r="11" spans="1:39" ht="17.100000000000001" thickBot="1">
      <c r="A11" s="529">
        <v>4</v>
      </c>
      <c r="B11" s="529" t="str">
        <f>IF(SUM(Calcs!$B$2:$B$37)=288,League!P5,"Clas."&amp;A11)</f>
        <v>Clas.4</v>
      </c>
      <c r="C11" s="147"/>
      <c r="D11"/>
      <c r="F11" s="116" t="s">
        <v>110</v>
      </c>
      <c r="G11" s="116" t="s">
        <v>111</v>
      </c>
      <c r="H11" s="130" t="s">
        <v>112</v>
      </c>
      <c r="I11" s="125" t="s">
        <v>113</v>
      </c>
      <c r="J11" s="9"/>
      <c r="K11" s="9"/>
      <c r="P11" s="125"/>
      <c r="W11" s="9"/>
      <c r="X11" s="120"/>
      <c r="Y11" s="142" t="str">
        <f>IF(AND(OR(T7="",T8="",U7="",U8="")),"WQF-1",IF(T7+U7&gt;T8+U8,S7,IF(T7+U7&lt;T8+U8,S8,IF(AND(T7+U7=T8+U8,W7=W8),"WQF-1",IF(AND(T7+U7=T8+U8,OR(W7="",W8="")),"WQF-1",IF(AND(T7+U7=T8+U8,W7&gt;W8),S7,S8))))))</f>
        <v>WQF-1</v>
      </c>
      <c r="Z11" s="128" t="str">
        <f>IF(AND(OR(T7="",T8="",U7="",U8="")),"WQF-1",IF(T7+U7&gt;T8+U8,S7,IF(T7+U7&lt;T8+U8,S8,IF(AND(T7+U7=T8+U8,W7=W8),"WQF-1",IF(AND(T7+U7=T8+U8,OR(W7="",W8="")),"WQF-1",IF(AND(T7+U7=T8+U8,W7&gt;W8),S7,S8))))))</f>
        <v>WQF-1</v>
      </c>
      <c r="AA11" s="126"/>
      <c r="AB11" s="126"/>
      <c r="AC11" s="121">
        <f>AA11+AB11</f>
        <v>0</v>
      </c>
      <c r="AD11" s="140"/>
      <c r="AE11" s="123"/>
      <c r="AM11" s="133"/>
    </row>
    <row r="12" spans="1:39" ht="18" thickTop="1" thickBot="1">
      <c r="A12" s="530">
        <v>5</v>
      </c>
      <c r="B12" s="529" t="str">
        <f>IF(SUM(Calcs!$B$2:$B$37)=288,League!P6,"Clas."&amp;A12)</f>
        <v>Clas.5</v>
      </c>
      <c r="C12" s="147" t="s">
        <v>122</v>
      </c>
      <c r="D12"/>
      <c r="E12" s="128" t="s">
        <v>122</v>
      </c>
      <c r="F12" s="126"/>
      <c r="G12" s="126"/>
      <c r="H12" s="121">
        <f>F12+G12</f>
        <v>0</v>
      </c>
      <c r="I12" s="157"/>
      <c r="J12" s="163"/>
      <c r="K12" s="9"/>
      <c r="M12" s="116" t="s">
        <v>110</v>
      </c>
      <c r="N12" s="116" t="s">
        <v>111</v>
      </c>
      <c r="O12" s="130" t="s">
        <v>112</v>
      </c>
      <c r="P12" s="125" t="s">
        <v>113</v>
      </c>
      <c r="W12" s="9"/>
      <c r="X12" s="120"/>
      <c r="Y12" s="9" t="str">
        <f>IF(AND(OR(T15="",T16="",U15="",U16="")),"WQF-2",IF(T15+U15&gt;T16+U16,S15,IF(T15+U15&lt;T16+U16,S16,IF(AND(T15+U15=T16+U16,W15=W16),"WQF-2",IF(AND(T15+U15=T16+U16,OR(W15="",W16="")),"WQF-2",IF(AND(T15+U15=T16+U16,W15&gt;W16),S15,S16))))))</f>
        <v>WQF-2</v>
      </c>
      <c r="Z12" s="129" t="str">
        <f>IF(AND(OR(T15="",T16="",U15="",U16="")),"WQF-2",IF(T15+U15&gt;T16+U16,S15,IF(T15+U15&lt;T16+U16,S16,IF(AND(T15+U15=T16+U16,W15=W16),"WQF-2",IF(AND(T15+U15=T16+U16,OR(W15="",W16="")),"WQF-2",IF(AND(T15+U15=T16+U16,W15&gt;W16),S15,S16))))))</f>
        <v>WQF-2</v>
      </c>
      <c r="AA12" s="127"/>
      <c r="AB12" s="127"/>
      <c r="AC12" s="122">
        <f>AA12+AB12</f>
        <v>0</v>
      </c>
      <c r="AD12" s="141"/>
      <c r="AE12" s="120"/>
      <c r="AM12" s="133"/>
    </row>
    <row r="13" spans="1:39" ht="18" thickTop="1" thickBot="1">
      <c r="A13" s="529">
        <v>6</v>
      </c>
      <c r="B13" s="529" t="str">
        <f>IF(SUM(Calcs!$B$2:$B$37)=288,League!P7,"Clas."&amp;A13)</f>
        <v>Clas.6</v>
      </c>
      <c r="C13" s="148" t="s">
        <v>123</v>
      </c>
      <c r="D13"/>
      <c r="E13" s="129" t="s">
        <v>123</v>
      </c>
      <c r="F13" s="127"/>
      <c r="G13" s="127"/>
      <c r="H13" s="122">
        <f>F13+G13</f>
        <v>0</v>
      </c>
      <c r="I13" s="152"/>
      <c r="J13" s="164"/>
      <c r="K13" s="162" t="str">
        <f>IF(AND(OR(F12="",F13="",G12="",G13="")),"WPO3",IF(F12+G12&gt;F13+G13,E12,IF(F12+G12&lt;F13+G13,E13,IF(AND(F12+G12=F13+G13,I12=I13),E13&amp;"/"&amp;E12,IF(AND(F12+G12=F13+G13,OR(I12="",I13="")),"WPO3",IF(AND(F12+G12=F13+G13,I12&gt;I13),E12,E13))))))</f>
        <v>WPO3</v>
      </c>
      <c r="L13" s="151" t="str">
        <f>IF(AND(OR(F12="",F13="",G12="",G13="")),E13&amp;"/"&amp;E12,IF(F12+G12&gt;F13+G13,E12,IF(F12+G12&lt;F13+G13,E13,IF(AND(F12+G12=F13+G13,I12=I13),E13&amp;"/"&amp;E12,IF(AND(F12+G12=F13+G13,OR(I12="",I13="")),E13&amp;"/"&amp;E12,IF(AND(F12+G12=F13+G13,I12&gt;I13),E12,E13))))))</f>
        <v>11/12/21/22</v>
      </c>
      <c r="M13" s="126"/>
      <c r="N13" s="126"/>
      <c r="O13" s="121">
        <f>M13+N13</f>
        <v>0</v>
      </c>
      <c r="P13" s="140"/>
      <c r="Q13" s="123"/>
      <c r="W13" s="9"/>
      <c r="X13" s="120"/>
      <c r="AE13" s="120"/>
      <c r="AM13" s="133"/>
    </row>
    <row r="14" spans="1:39" ht="17.100000000000001" thickTop="1">
      <c r="A14" s="529">
        <v>7</v>
      </c>
      <c r="B14" s="529" t="str">
        <f>IF(SUM(Calcs!$B$2:$B$37)=288,League!P8,"Clas."&amp;A14)</f>
        <v>Clas.7</v>
      </c>
      <c r="C14" s="147"/>
      <c r="D14"/>
      <c r="I14" s="125"/>
      <c r="K14" s="131" t="s">
        <v>124</v>
      </c>
      <c r="L14" s="129" t="s">
        <v>124</v>
      </c>
      <c r="M14" s="127"/>
      <c r="N14" s="127"/>
      <c r="O14" s="122">
        <f>M14+N14</f>
        <v>0</v>
      </c>
      <c r="P14" s="141"/>
      <c r="Q14" s="119"/>
      <c r="T14" s="116" t="s">
        <v>110</v>
      </c>
      <c r="U14" s="116" t="s">
        <v>111</v>
      </c>
      <c r="V14" s="130" t="s">
        <v>112</v>
      </c>
      <c r="W14" s="125" t="s">
        <v>113</v>
      </c>
      <c r="X14" s="120"/>
      <c r="AE14" s="120"/>
      <c r="AM14" s="133"/>
    </row>
    <row r="15" spans="1:39" ht="17.100000000000001" thickBot="1">
      <c r="A15" s="529">
        <v>8</v>
      </c>
      <c r="B15" s="529" t="str">
        <f>IF(SUM(Calcs!$B$2:$B$37)=288,League!P9,"Clas."&amp;A15)</f>
        <v>Clas.8</v>
      </c>
      <c r="C15" s="147"/>
      <c r="D15"/>
      <c r="F15" s="116" t="s">
        <v>110</v>
      </c>
      <c r="G15" s="116" t="s">
        <v>111</v>
      </c>
      <c r="H15" s="130" t="s">
        <v>112</v>
      </c>
      <c r="I15" s="125" t="s">
        <v>113</v>
      </c>
      <c r="J15" s="9"/>
      <c r="K15" s="9"/>
      <c r="P15" s="125"/>
      <c r="Q15" s="120"/>
      <c r="R15" s="132" t="str">
        <f>IF(AND(OR(M13="",M14="",N13="",N14="")),"WR16-3",IF(M13+N13&gt;M14+N14,L13,IF(M13+N13&lt;M14+N14,L14,IF(AND(M13+N13=M14+N14,P13=P14),"WR16-3",IF(AND(M13+N13=M14+N14,OR(P13="",P14="")),"WR16-3",IF(AND(M13+N13=M14+N14,P13&gt;P14),L13,L14))))))</f>
        <v>WR16-3</v>
      </c>
      <c r="S15" s="128" t="str">
        <f>IF(AND(OR(M13="",M14="",N13="",N14="")),"WR16-3",IF(M13+N13&gt;M14+N14,L13,IF(M13+N13&lt;M14+N14,L14,IF(AND(M13+N13=M14+N14,P13=P14),"WR16-3",IF(AND(M13+N13=M14+N14,OR(P13="",P14="")),"WR16-3",IF(AND(M13+N13=M14+N14,P13&gt;P14),L13,L14))))))</f>
        <v>WR16-3</v>
      </c>
      <c r="T15" s="126"/>
      <c r="U15" s="126"/>
      <c r="V15" s="121">
        <f>T15+U15</f>
        <v>0</v>
      </c>
      <c r="W15" s="140"/>
      <c r="X15" s="124"/>
      <c r="AE15" s="120"/>
      <c r="AM15" s="133"/>
    </row>
    <row r="16" spans="1:39" ht="18" thickTop="1" thickBot="1">
      <c r="A16" s="531">
        <v>9</v>
      </c>
      <c r="B16" s="531" t="str">
        <f>IF(SUM(Calcs!$B$2:$B$37)=288,League!P10,"Clas."&amp;A16)</f>
        <v>Clas.9</v>
      </c>
      <c r="C16" s="147" t="s">
        <v>125</v>
      </c>
      <c r="D16"/>
      <c r="E16" s="128" t="s">
        <v>125</v>
      </c>
      <c r="F16" s="126"/>
      <c r="G16" s="126"/>
      <c r="H16" s="121">
        <f>F16+G16</f>
        <v>0</v>
      </c>
      <c r="I16" s="141"/>
      <c r="J16" s="9"/>
      <c r="K16" s="9"/>
      <c r="M16" s="116" t="s">
        <v>110</v>
      </c>
      <c r="N16" s="116" t="s">
        <v>111</v>
      </c>
      <c r="O16" s="130" t="s">
        <v>112</v>
      </c>
      <c r="P16" s="125" t="s">
        <v>113</v>
      </c>
      <c r="Q16" s="120"/>
      <c r="R16" s="9" t="str">
        <f>IF(AND(OR(M17="",M18="",N17="",N18="")),"WR16-4",IF(M17+N17&gt;M18+N18,L17,IF(M17+N17&lt;M18+N18,L18,IF(AND(M17+N17=M18+N18,P17=P18),"WR16-4",IF(AND(M17+N17=M18+N18,OR(P17="",P18="")),"WR16-4",IF(AND(M17+N17=M18+N18,P17&gt;P18),L17,L18))))))</f>
        <v>WR16-4</v>
      </c>
      <c r="S16" s="129" t="str">
        <f>IF(AND(OR(M17="",M18="",N17="",N18="")),"WR16-4",IF(M17+N17&gt;M18+N18,L17,IF(M17+N17&lt;M18+N18,L18,IF(AND(M17+N17=M18+N18,P17=P18),"WR16-4",IF(AND(M17+N17=M18+N18,OR(P17="",P18="")),"WR16-4",IF(AND(M17+N17=M18+N18,P17&gt;P18),L17,L18))))))</f>
        <v>WR16-4</v>
      </c>
      <c r="T16" s="127"/>
      <c r="U16" s="127"/>
      <c r="V16" s="122">
        <f>T16+U16</f>
        <v>0</v>
      </c>
      <c r="W16" s="141"/>
      <c r="AE16" s="120"/>
      <c r="AM16" s="133"/>
    </row>
    <row r="17" spans="1:39" ht="18" thickTop="1" thickBot="1">
      <c r="A17" s="531">
        <v>10</v>
      </c>
      <c r="B17" s="531" t="str">
        <f>IF(SUM(Calcs!$B$2:$B$37)=288,League!P11,"Clas."&amp;A17)</f>
        <v>Clas.10</v>
      </c>
      <c r="C17" s="147" t="s">
        <v>126</v>
      </c>
      <c r="D17"/>
      <c r="E17" s="129" t="s">
        <v>126</v>
      </c>
      <c r="F17" s="127"/>
      <c r="G17" s="127"/>
      <c r="H17" s="122">
        <f>F17+G17</f>
        <v>0</v>
      </c>
      <c r="I17" s="156"/>
      <c r="J17" s="164"/>
      <c r="K17" s="160" t="str">
        <f>IF(AND(OR(F16="",F17="",G16="",G17="")),"WPO4",IF(F16+G16&gt;F17+G17,E16,IF(F16+G16&lt;F17+G17,E17,IF(AND(F16+G16=F17+G17,I16=I17),E17&amp;"/"&amp;E16,IF(AND(F16+G16=F17+G17,OR(I16="",I17="")),"WPO4",IF(AND(F16+G16=F17+G17,I16&gt;I17),E16,E17))))))</f>
        <v>WPO4</v>
      </c>
      <c r="L17" s="151" t="str">
        <f>IF(AND(OR(F16="",F17="",G16="",G17="")),E17&amp;"/"&amp;E16,IF(F16+G16&gt;F17+G17,E16,IF(F16+G16&lt;F17+G17,E17,IF(AND(F16+G16=F17+G17,I16=I17),E17&amp;"/"&amp;E16,IF(AND(F16+G16=F17+G17,OR(I16="",I17="")),E17&amp;"/"&amp;E16,IF(AND(F16+G16=F17+G17,I16&gt;I17),E16,E17))))))</f>
        <v>13/14/19/20</v>
      </c>
      <c r="M17" s="126"/>
      <c r="N17" s="126"/>
      <c r="O17" s="121">
        <f>M17+N17</f>
        <v>0</v>
      </c>
      <c r="P17" s="140"/>
      <c r="Q17" s="124"/>
      <c r="W17" s="9"/>
      <c r="AE17" s="120"/>
      <c r="AM17" s="133"/>
    </row>
    <row r="18" spans="1:39" ht="17.100000000000001" thickTop="1">
      <c r="A18" s="531">
        <v>11</v>
      </c>
      <c r="B18" s="531" t="str">
        <f>IF(SUM(Calcs!$B$2:$B$37)=288,League!P12,"Clas."&amp;A18)</f>
        <v>Clas.11</v>
      </c>
      <c r="C18" s="147"/>
      <c r="D18"/>
      <c r="I18" s="125"/>
      <c r="K18" s="161" t="s">
        <v>127</v>
      </c>
      <c r="L18" s="129" t="s">
        <v>127</v>
      </c>
      <c r="M18" s="127"/>
      <c r="N18" s="127"/>
      <c r="O18" s="122">
        <f>M18+N18</f>
        <v>0</v>
      </c>
      <c r="P18" s="141"/>
      <c r="W18" s="9"/>
      <c r="AE18" s="120"/>
      <c r="AH18" s="116" t="s">
        <v>100</v>
      </c>
      <c r="AI18" s="125" t="s">
        <v>113</v>
      </c>
      <c r="AK18" s="116" t="s">
        <v>21</v>
      </c>
      <c r="AM18" s="133"/>
    </row>
    <row r="19" spans="1:39" ht="17.100000000000001" thickBot="1">
      <c r="A19" s="531">
        <v>12</v>
      </c>
      <c r="B19" s="531" t="str">
        <f>IF(SUM(Calcs!$B$2:$B$37)=288,League!P13,"Clas."&amp;A19)</f>
        <v>Clas.12</v>
      </c>
      <c r="C19" s="147"/>
      <c r="D19"/>
      <c r="F19" s="116" t="s">
        <v>110</v>
      </c>
      <c r="G19" s="116" t="s">
        <v>111</v>
      </c>
      <c r="H19" s="130" t="s">
        <v>112</v>
      </c>
      <c r="I19" s="125" t="s">
        <v>113</v>
      </c>
      <c r="J19" s="9"/>
      <c r="K19" s="9"/>
      <c r="P19" s="125"/>
      <c r="W19" s="9"/>
      <c r="AE19" s="120"/>
      <c r="AF19" s="142" t="str">
        <f>IF(AND(OR(AA11="",AA12="",AB11="",AB12="")),"WSF-1",IF(AA11+AB11&gt;AA12+AB12,Z11,IF(AA11+AB11&lt;AA12+AB12,Z12,IF(AND(AA11+AB11=AA12+AB12,AD11=AD12),"WSF-1",IF(AND(AA11+AB11=AA12+AB12,OR(AD11="",AD12="")),"WSF-1",IF(AND(AA11+AB11=AA12+AB12,AD11&gt;AD12),Z11,Z12))))))</f>
        <v>WSF-1</v>
      </c>
      <c r="AG19" s="128" t="str">
        <f>IF(AND(OR(AA11="",AA12="",AB11="",AB12="")),"WSF-1",IF(AA11+AB11&gt;AA12+AB12,Z11,IF(AA11+AB11&lt;AA12+AB12,Z12,IF(AND(AA11+AB11=AA12+AB12,AD11=AD12),"WSF-1",IF(AND(AA11+AB11=AA12+AB12,OR(AD11="",AD12="")),"WSF-1",IF(AND(AA11+AB11=AA12+AB12,AD11&gt;AD12),Z11,Z12))))))</f>
        <v>WSF-1</v>
      </c>
      <c r="AH19" s="138"/>
      <c r="AI19" s="140"/>
      <c r="AJ19" s="118"/>
      <c r="AK19" s="559" t="str">
        <f>IF(AND(OR(AH19="",AH20="")),"WF",IF(AH19&gt;AH20,AG19,IF(AH19&lt;AH20,AG20,IF(AND(AH19=AH20,AI19=AI20),"WF",IF(AND(AH19=AH20,OR(AI19="",AI20="")),"WF",IF(AND(AH19=AH20,AI19&gt;AI20),AG19,AG20))))))</f>
        <v>WF</v>
      </c>
      <c r="AM19" s="133"/>
    </row>
    <row r="20" spans="1:39" ht="18" thickTop="1" thickBot="1">
      <c r="A20" s="531">
        <v>13</v>
      </c>
      <c r="B20" s="531" t="str">
        <f>IF(SUM(Calcs!$B$2:$B$37)=288,League!P14,"Clas."&amp;A20)</f>
        <v>Clas.13</v>
      </c>
      <c r="C20" s="147" t="s">
        <v>128</v>
      </c>
      <c r="D20"/>
      <c r="E20" s="128" t="s">
        <v>128</v>
      </c>
      <c r="F20" s="126"/>
      <c r="G20" s="126"/>
      <c r="H20" s="121">
        <f>F20+G20</f>
        <v>0</v>
      </c>
      <c r="I20" s="141"/>
      <c r="J20" s="163"/>
      <c r="K20" s="9"/>
      <c r="M20" s="116" t="s">
        <v>110</v>
      </c>
      <c r="N20" s="116" t="s">
        <v>111</v>
      </c>
      <c r="O20" s="130" t="s">
        <v>112</v>
      </c>
      <c r="P20" s="125" t="s">
        <v>113</v>
      </c>
      <c r="W20" s="9"/>
      <c r="AE20" s="120"/>
      <c r="AF20" s="9" t="str">
        <f>IF(AND(OR(AA27="",AA28="",AB27="",AB28="")),"WSF-2",IF(AA27+AB27&gt;AA28+AB28,Z27,IF(AA27+AB27&lt;AA28+AB28,Z28,IF(AND(AA27+AB27=AA28+AB28,AD27=AD28),"WSF-3",IF(AND(AA27+AB27=AA28+AB28,OR(AD27="",AD28="")),"WSF-3",IF(AND(AA27+AB27=AA28+AB28,AD27&gt;AD28),Z27,Z28))))))</f>
        <v>WSF-2</v>
      </c>
      <c r="AG20" s="129" t="str">
        <f>IF(AND(OR(AA27="",AA28="",AB27="",AB28="")),"WSF-2",IF(AA27+AB27&gt;AA28+AB28,Z27,IF(AA27+AB27&lt;AA28+AB28,Z28,IF(AND(AA27+AB27=AA28+AB28,AD27=AD28),"WSF-3",IF(AND(AA27+AB27=AA28+AB28,OR(AD27="",AD28="")),"WSF-3",IF(AND(AA27+AB27=AA28+AB28,AD27&gt;AD28),Z27,Z28))))))</f>
        <v>WSF-2</v>
      </c>
      <c r="AH20" s="139"/>
      <c r="AI20" s="141"/>
      <c r="AJ20" s="117"/>
      <c r="AK20" s="560"/>
      <c r="AM20" s="133"/>
    </row>
    <row r="21" spans="1:39" ht="18" thickTop="1" thickBot="1">
      <c r="A21" s="531">
        <v>14</v>
      </c>
      <c r="B21" s="531" t="str">
        <f>IF(SUM(Calcs!$B$2:$B$37)=288,League!P15,"Clas."&amp;A21)</f>
        <v>Clas.14</v>
      </c>
      <c r="C21" s="147" t="s">
        <v>129</v>
      </c>
      <c r="D21"/>
      <c r="E21" s="129" t="s">
        <v>129</v>
      </c>
      <c r="F21" s="127"/>
      <c r="G21" s="127"/>
      <c r="H21" s="122">
        <f>F21+G21</f>
        <v>0</v>
      </c>
      <c r="I21" s="156"/>
      <c r="J21" s="164"/>
      <c r="K21" s="162" t="str">
        <f>IF(AND(OR(F20="",F21="",G20="",G21="")),"WPO5",IF(F20+G20&gt;F21+G21,E20,IF(F20+G20&lt;F21+G21,E21,IF(AND(F20+G20=F21+G21,I20=I21),E21&amp;"/"&amp;E20,IF(AND(F20+G20=F21+G21,OR(I20="",I21="")),"WPO5",IF(AND(F20+G20=F21+G21,I20&gt;I21),E20,E21))))))</f>
        <v>WPO5</v>
      </c>
      <c r="L21" s="151" t="str">
        <f>IF(AND(OR(F20="",F21="",G20="",G21="")),E21&amp;"/"&amp;E20,IF(F20+G20&gt;F21+G21,E20,IF(F20+G20&lt;F21+G21,E21,IF(AND(F20+G20=F21+G21,I20=I21),E21&amp;"/"&amp;E20,IF(AND(F20+G20=F21+G21,OR(I20="",I21="")),E21&amp;"/"&amp;E20,IF(AND(F20+G20=F21+G21,I20&gt;I21),E20,E21))))))</f>
        <v>14/13/20/19</v>
      </c>
      <c r="M21" s="126"/>
      <c r="N21" s="126"/>
      <c r="O21" s="121">
        <f>M21+N21</f>
        <v>0</v>
      </c>
      <c r="P21" s="140"/>
      <c r="Q21" s="123"/>
      <c r="W21" s="9"/>
      <c r="AE21" s="120"/>
      <c r="AM21" s="133"/>
    </row>
    <row r="22" spans="1:39" ht="17.100000000000001" thickTop="1">
      <c r="A22" s="531">
        <v>15</v>
      </c>
      <c r="B22" s="531" t="str">
        <f>IF(SUM(Calcs!$B$2:$B$37)=288,League!P16,"Clas."&amp;A22)</f>
        <v>Clas.15</v>
      </c>
      <c r="C22" s="147"/>
      <c r="D22"/>
      <c r="H22" s="153"/>
      <c r="I22" s="125"/>
      <c r="K22" s="131" t="s">
        <v>130</v>
      </c>
      <c r="L22" s="129" t="s">
        <v>130</v>
      </c>
      <c r="M22" s="127"/>
      <c r="N22" s="127"/>
      <c r="O22" s="122">
        <f>M22+N22</f>
        <v>0</v>
      </c>
      <c r="P22" s="141"/>
      <c r="Q22" s="120"/>
      <c r="T22" s="116" t="s">
        <v>110</v>
      </c>
      <c r="U22" s="116" t="s">
        <v>111</v>
      </c>
      <c r="V22" s="130" t="s">
        <v>112</v>
      </c>
      <c r="W22" s="125" t="s">
        <v>113</v>
      </c>
      <c r="AE22" s="120"/>
      <c r="AM22" s="133"/>
    </row>
    <row r="23" spans="1:39" ht="17.100000000000001" thickBot="1">
      <c r="A23" s="531">
        <v>16</v>
      </c>
      <c r="B23" s="531" t="str">
        <f>IF(SUM(Calcs!$B$2:$B$37)=288,League!P17,"Clas."&amp;A23)</f>
        <v>Clas.16</v>
      </c>
      <c r="C23" s="147"/>
      <c r="D23"/>
      <c r="F23" s="116" t="s">
        <v>110</v>
      </c>
      <c r="G23" s="116" t="s">
        <v>111</v>
      </c>
      <c r="H23" s="130" t="s">
        <v>112</v>
      </c>
      <c r="I23" s="125" t="s">
        <v>113</v>
      </c>
      <c r="J23" s="9"/>
      <c r="K23" s="9" t="s">
        <v>131</v>
      </c>
      <c r="P23" s="125"/>
      <c r="Q23" s="120"/>
      <c r="R23" s="132" t="str">
        <f>IF(AND(OR(M21="",M22="",N21="",N22="")),"WR16-5",IF(M21+N21&gt;M22+N22,L21,IF(M21+N21&lt;M22+N22,L22,IF(AND(M21+N21=M22+N22,P21=P22),"WR16-5",IF(AND(M21+N21=M22+N22,OR(P21="",P22="")),"WR16-5",IF(AND(M21+N21=M22+N22,P21&gt;P22),L21,L22))))))</f>
        <v>WR16-5</v>
      </c>
      <c r="S23" s="128" t="str">
        <f>IF(AND(OR(M21="",M22="",N21="",N22="")),"WR16-5",IF(M21+N21&gt;M22+N22,L21,IF(M21+N21&lt;M22+N22,L22,IF(AND(M21+N21=M22+N22,P21=P22),"WR16-5",IF(AND(M21+N21=M22+N22,OR(P21="",P22="")),"WR16-5",IF(AND(M21+N21=M22+N22,P21&gt;P22),L21,L22))))))</f>
        <v>WR16-5</v>
      </c>
      <c r="T23" s="126"/>
      <c r="U23" s="126"/>
      <c r="V23" s="121">
        <f>T23+U23</f>
        <v>0</v>
      </c>
      <c r="W23" s="140"/>
      <c r="X23" s="123"/>
      <c r="AE23" s="120"/>
      <c r="AM23" s="133"/>
    </row>
    <row r="24" spans="1:39" ht="18" thickTop="1" thickBot="1">
      <c r="A24" s="532">
        <v>17</v>
      </c>
      <c r="B24" s="532" t="str">
        <f>IF(SUM(Calcs!$B$2:$B$37)=288,League!P18,"Clas."&amp;A24)</f>
        <v>Clas.17</v>
      </c>
      <c r="C24" s="147" t="s">
        <v>132</v>
      </c>
      <c r="D24"/>
      <c r="E24" s="128" t="s">
        <v>132</v>
      </c>
      <c r="F24" s="126"/>
      <c r="G24" s="126"/>
      <c r="H24" s="121">
        <f>F24+G24</f>
        <v>0</v>
      </c>
      <c r="I24" s="141"/>
      <c r="J24" s="163"/>
      <c r="K24" s="9" t="s">
        <v>131</v>
      </c>
      <c r="M24" s="116" t="s">
        <v>110</v>
      </c>
      <c r="N24" s="116" t="s">
        <v>111</v>
      </c>
      <c r="O24" s="130" t="s">
        <v>112</v>
      </c>
      <c r="P24" s="125" t="s">
        <v>113</v>
      </c>
      <c r="Q24" s="120"/>
      <c r="R24" s="9" t="str">
        <f>IF(AND(OR(M25="",M26="",N25="",N26="")),"WR16-6",IF(M25+N25&gt;M26+N26,L25,IF(M25+N25&lt;M26+N26,L26,IF(AND(M25+N25=M26+N26,P25=P26),"WR16-6",IF(AND(M25+N25=M26+N26,OR(P25="",P26="")),"WR16-6",IF(AND(M25+N25=M26+N26,P25&gt;P26),L25,L26))))))</f>
        <v>WR16-6</v>
      </c>
      <c r="S24" s="129" t="str">
        <f>IF(AND(OR(M25="",M26="",N25="",N26="")),"WR16-6",IF(M25+N25&gt;M26+N26,L25,IF(M25+N25&lt;M26+N26,L26,IF(AND(M25+N25=M26+N26,P25=P26),"WR16-6",IF(AND(M25+N25=M26+N26,OR(P25="",P26="")),"WR16-6",IF(AND(M25+N25=M26+N26,P25&gt;P26),L25,L26))))))</f>
        <v>WR16-6</v>
      </c>
      <c r="T24" s="127"/>
      <c r="U24" s="127"/>
      <c r="V24" s="122">
        <f>T24+U24</f>
        <v>0</v>
      </c>
      <c r="W24" s="141"/>
      <c r="X24" s="120"/>
      <c r="AE24" s="120"/>
      <c r="AM24" s="133"/>
    </row>
    <row r="25" spans="1:39" ht="18" thickTop="1" thickBot="1">
      <c r="A25" s="532">
        <v>18</v>
      </c>
      <c r="B25" s="532" t="str">
        <f>IF(SUM(Calcs!$B$2:$B$37)=288,League!P19,"Clas."&amp;A25)</f>
        <v>Clas.18</v>
      </c>
      <c r="C25" s="148" t="s">
        <v>133</v>
      </c>
      <c r="D25"/>
      <c r="E25" s="129" t="s">
        <v>133</v>
      </c>
      <c r="F25" s="127"/>
      <c r="G25" s="127"/>
      <c r="H25" s="122">
        <f>F25+G25</f>
        <v>0</v>
      </c>
      <c r="I25" s="156"/>
      <c r="J25" s="164"/>
      <c r="K25" s="162" t="str">
        <f>IF(AND(OR(F24="",F25="",G24="",G25="")),"WPO6",IF(F24+G24&gt;F25+G25,E24,IF(F24+G24&lt;F25+G25,E25,IF(AND(F24+G24=F25+G25,I24=I25),E25&amp;"/"&amp;E24,IF(AND(F24+G24=F25+G25,OR(I24="",I25="")),"WPO6",IF(AND(F24+G24=F25+G25,I24&gt;I25),E24,E25))))))</f>
        <v>WPO6</v>
      </c>
      <c r="L25" s="151" t="str">
        <f>IF(AND(OR(F24="",F25="",G24="",G25="")),E25&amp;"/"&amp;E24,IF(F24+G24&gt;F25+G25,E24,IF(F24+G24&lt;F25+G25,E25,IF(AND(F24+G24=F25+G25,I24=I25),E25&amp;"/"&amp;E24,IF(AND(F24+G24=F25+G25,OR(I24="",I25="")),E25&amp;"/"&amp;E24,IF(AND(F24+G24=F25+G25,I24&gt;I25),E24,E25))))))</f>
        <v>12/11/22/21</v>
      </c>
      <c r="M25" s="126"/>
      <c r="N25" s="126"/>
      <c r="O25" s="121">
        <f>M25+N25</f>
        <v>0</v>
      </c>
      <c r="P25" s="140"/>
      <c r="Q25" s="124"/>
      <c r="W25" s="9"/>
      <c r="X25" s="120"/>
      <c r="AE25" s="120"/>
      <c r="AM25" s="133"/>
    </row>
    <row r="26" spans="1:39" ht="17.100000000000001" thickTop="1">
      <c r="A26" s="532">
        <v>19</v>
      </c>
      <c r="B26" s="532" t="str">
        <f>IF(SUM(Calcs!$B$2:$B$37)=288,League!P20,"Clas."&amp;A26)</f>
        <v>Clas.19</v>
      </c>
      <c r="C26" s="147"/>
      <c r="D26"/>
      <c r="H26" s="153"/>
      <c r="I26" s="125"/>
      <c r="K26" s="131" t="s">
        <v>134</v>
      </c>
      <c r="L26" s="129" t="s">
        <v>134</v>
      </c>
      <c r="M26" s="127"/>
      <c r="N26" s="127"/>
      <c r="O26" s="122">
        <f>M26+N26</f>
        <v>0</v>
      </c>
      <c r="P26" s="141"/>
      <c r="W26" s="9"/>
      <c r="X26" s="120"/>
      <c r="AA26" s="116" t="s">
        <v>110</v>
      </c>
      <c r="AB26" s="116" t="s">
        <v>111</v>
      </c>
      <c r="AC26" s="130" t="s">
        <v>112</v>
      </c>
      <c r="AD26" s="125" t="s">
        <v>113</v>
      </c>
      <c r="AE26" s="120"/>
      <c r="AM26" s="133"/>
    </row>
    <row r="27" spans="1:39" ht="17.100000000000001" thickBot="1">
      <c r="A27" s="532">
        <v>20</v>
      </c>
      <c r="B27" s="532" t="str">
        <f>IF(SUM(Calcs!$B$2:$B$37)=288,League!P21,"Clas."&amp;A27)</f>
        <v>Clas.20</v>
      </c>
      <c r="C27" s="147"/>
      <c r="D27"/>
      <c r="F27" s="116" t="s">
        <v>110</v>
      </c>
      <c r="G27" s="116" t="s">
        <v>111</v>
      </c>
      <c r="H27" s="130" t="s">
        <v>112</v>
      </c>
      <c r="I27" s="125" t="s">
        <v>113</v>
      </c>
      <c r="J27" s="9"/>
      <c r="K27" s="9" t="s">
        <v>131</v>
      </c>
      <c r="P27" s="125"/>
      <c r="W27" s="9"/>
      <c r="X27" s="120"/>
      <c r="Y27" s="143" t="str">
        <f>IF(AND(OR(T23="",T24="",U23="",U24="")),"WQF-3",IF(T23+U23&gt;T24+U24,S23,IF(T23+U23&lt;T24+U24,S24,IF(AND(T23+U23=T24+U24,W23=W24),"WQF-3",IF(AND(T23+U23=T24+U24,OR(W23="",W24="")),"WQF-3",IF(AND(T23+U23=T24+U24,W23&gt;W24),S23,S24))))))</f>
        <v>WQF-3</v>
      </c>
      <c r="Z27" s="128" t="str">
        <f>IF(AND(OR(T23="",T24="",U23="",U24="")),"WQF-3",IF(T23+U23&gt;T24+U24,S23,IF(T23+U23&lt;T24+U24,S24,IF(AND(T23+U23=T24+U24,W23=W24),"WQF-3",IF(AND(T23+U23=T24+U24,OR(W23="",W24="")),"WQF-3",IF(AND(T23+U23=T24+U24,W23&gt;W24),S23,S24))))))</f>
        <v>WQF-3</v>
      </c>
      <c r="AA27" s="126"/>
      <c r="AB27" s="126"/>
      <c r="AC27" s="121">
        <f>AA27+AB27</f>
        <v>0</v>
      </c>
      <c r="AD27" s="140"/>
      <c r="AE27" s="124"/>
      <c r="AM27" s="133"/>
    </row>
    <row r="28" spans="1:39" ht="18" thickTop="1" thickBot="1">
      <c r="A28" s="532">
        <v>21</v>
      </c>
      <c r="B28" s="532" t="str">
        <f>IF(SUM(Calcs!$B$2:$B$37)=288,League!P22,"Clas."&amp;A28)</f>
        <v>Clas.21</v>
      </c>
      <c r="C28" s="147" t="s">
        <v>135</v>
      </c>
      <c r="D28"/>
      <c r="E28" s="128" t="s">
        <v>135</v>
      </c>
      <c r="F28" s="126"/>
      <c r="G28" s="126"/>
      <c r="H28" s="121">
        <f>F28+G28</f>
        <v>0</v>
      </c>
      <c r="I28" s="157"/>
      <c r="J28" s="9"/>
      <c r="K28" s="9" t="s">
        <v>131</v>
      </c>
      <c r="M28" s="116" t="s">
        <v>110</v>
      </c>
      <c r="N28" s="116" t="s">
        <v>111</v>
      </c>
      <c r="O28" s="130" t="s">
        <v>112</v>
      </c>
      <c r="P28" s="125" t="s">
        <v>113</v>
      </c>
      <c r="W28" s="9"/>
      <c r="X28" s="120"/>
      <c r="Y28" s="9" t="str">
        <f>IF(AND(OR(T31="",T32="",U31="",U32="")),"WQF-4",IF(T31+U31&gt;T32+U32,S31,IF(T31+U31&lt;T32+U32,S32,IF(AND(T31+U31=T32+U32,W31=W32),"WQF-4",IF(AND(T31+U31=T32+U32,OR(W31="",W32="")),"WQF-4",IF(AND(T31+U31=T32+U32,W31&gt;W32),S31,S32))))))</f>
        <v>WQF-4</v>
      </c>
      <c r="Z28" s="129" t="str">
        <f>IF(AND(OR(T31="",T32="",U31="",U32="")),"WQF-4",IF(T31+U31&gt;T32+U32,S31,IF(T31+U31&lt;T32+U32,S32,IF(AND(T31+U31=T32+U32,W31=W32),"WQF-4",IF(AND(T31+U31=T32+U32,OR(W31="",W32="")),"WQF-4",IF(AND(T31+U31=T32+U32,W31&gt;W32),S31,S32))))))</f>
        <v>WQF-4</v>
      </c>
      <c r="AA28" s="127"/>
      <c r="AB28" s="127"/>
      <c r="AC28" s="122">
        <f>AA28+AB28</f>
        <v>0</v>
      </c>
      <c r="AD28" s="141"/>
      <c r="AM28" s="133"/>
    </row>
    <row r="29" spans="1:39" ht="18" thickTop="1" thickBot="1">
      <c r="A29" s="532">
        <v>22</v>
      </c>
      <c r="B29" s="532" t="str">
        <f>IF(SUM(Calcs!$B$2:$B$37)=288,League!P23,"Clas."&amp;A29)</f>
        <v>Clas.22</v>
      </c>
      <c r="C29" s="148" t="s">
        <v>136</v>
      </c>
      <c r="D29"/>
      <c r="E29" s="129" t="s">
        <v>136</v>
      </c>
      <c r="F29" s="127"/>
      <c r="G29" s="127"/>
      <c r="H29" s="122">
        <f>F29+G29</f>
        <v>0</v>
      </c>
      <c r="I29" s="152"/>
      <c r="J29" s="164"/>
      <c r="K29" s="162" t="str">
        <f>IF(AND(OR(F28="",F29="",G28="",G29="")),"WPO7",IF(F28+G28&gt;F29+G29,E28,IF(F28+G28&lt;F29+G29,E29,IF(AND(F28+G28=F29+G29,I28=I29),E29&amp;"/"&amp;E28,IF(AND(F28+G28=F29+G29,OR(I28="",I29="")),"WPO7",IF(AND(F28+G28=F29+G29,I28&gt;I29),E28,E29))))))</f>
        <v>WPO7</v>
      </c>
      <c r="L29" s="151" t="str">
        <f>IF(AND(OR(F28="",F29="",G28="",G29="")),E29&amp;"/"&amp;E28,IF(F28+G28&gt;F29+G29,E28,IF(F28+G28&lt;F29+G29,E29,IF(AND(F28+G28=F29+G29,I28=I29),E29&amp;"/"&amp;E28,IF(AND(F28+G28=F29+G29,OR(I28="",I29="")),E29&amp;"/"&amp;E28,IF(AND(F28+G28=F29+G29,I28&gt;I29),E28,E29))))))</f>
        <v>10/9/24/23</v>
      </c>
      <c r="M29" s="126"/>
      <c r="N29" s="126"/>
      <c r="O29" s="121">
        <f>M29+N29</f>
        <v>0</v>
      </c>
      <c r="P29" s="140"/>
      <c r="Q29" s="123"/>
      <c r="W29" s="9"/>
      <c r="X29" s="120"/>
      <c r="AM29" s="133"/>
    </row>
    <row r="30" spans="1:39" ht="17.100000000000001" thickTop="1">
      <c r="A30" s="532">
        <v>23</v>
      </c>
      <c r="B30" s="532" t="str">
        <f>IF(SUM(Calcs!$B$2:$B$37)=288,League!P24,"Clas."&amp;A30)</f>
        <v>Clas.23</v>
      </c>
      <c r="C30" s="147"/>
      <c r="D30"/>
      <c r="I30" s="125"/>
      <c r="K30" s="131" t="s">
        <v>137</v>
      </c>
      <c r="L30" s="129" t="s">
        <v>137</v>
      </c>
      <c r="M30" s="127"/>
      <c r="N30" s="127"/>
      <c r="O30" s="122">
        <f>M30+N30</f>
        <v>0</v>
      </c>
      <c r="P30" s="141"/>
      <c r="Q30" s="120"/>
      <c r="T30" s="116" t="s">
        <v>110</v>
      </c>
      <c r="U30" s="116" t="s">
        <v>111</v>
      </c>
      <c r="V30" s="130" t="s">
        <v>112</v>
      </c>
      <c r="W30" s="125" t="s">
        <v>113</v>
      </c>
      <c r="X30" s="120"/>
      <c r="AM30" s="133"/>
    </row>
    <row r="31" spans="1:39" ht="17.100000000000001" thickBot="1">
      <c r="A31" s="532">
        <v>24</v>
      </c>
      <c r="B31" s="532" t="str">
        <f>IF(SUM(Calcs!$B$2:$B$37)=288,League!P25,"Clas."&amp;A31)</f>
        <v>Clas.24</v>
      </c>
      <c r="C31" s="147"/>
      <c r="D31"/>
      <c r="F31" s="116" t="s">
        <v>110</v>
      </c>
      <c r="G31" s="116" t="s">
        <v>111</v>
      </c>
      <c r="H31" s="130" t="s">
        <v>112</v>
      </c>
      <c r="I31" s="125" t="s">
        <v>113</v>
      </c>
      <c r="J31" s="9"/>
      <c r="K31" s="9"/>
      <c r="P31" s="125"/>
      <c r="Q31" s="120"/>
      <c r="R31" s="132" t="str">
        <f>IF(AND(OR(M29="",M30="",N29="",N30="")),"WR16-7",IF(M29+N29&gt;M30+N30,L29,IF(M29+N29&lt;M30+N30,L30,IF(AND(M29+N29=M30+N30,P29=P30),"WR16-7",IF(AND(M29+N29=M30+N30,OR(P29="",P30="")),"WR16-7",IF(AND(M29+N29=M30+N30,P29&gt;P30),L29,L30))))))</f>
        <v>WR16-7</v>
      </c>
      <c r="S31" s="128" t="str">
        <f>IF(AND(OR(M29="",M30="",N29="",N30="")),"WR16-7",IF(M29+N29&gt;M30+N30,L29,IF(M29+N29&lt;M30+N30,L30,IF(AND(M29+N29=M30+N30,P29=P30),"WR16-7",IF(AND(M29+N29=M30+N30,OR(P29="",P30="")),"WR16-7",IF(AND(M29+N29=M30+N30,P29&gt;P30),L29,L30))))))</f>
        <v>WR16-7</v>
      </c>
      <c r="T31" s="126"/>
      <c r="U31" s="126"/>
      <c r="V31" s="121">
        <f>T31+U31</f>
        <v>0</v>
      </c>
      <c r="W31" s="140"/>
      <c r="X31" s="124"/>
      <c r="AM31" s="133"/>
    </row>
    <row r="32" spans="1:39" ht="18" thickTop="1" thickBot="1">
      <c r="C32" s="147" t="s">
        <v>138</v>
      </c>
      <c r="D32"/>
      <c r="E32" s="128" t="s">
        <v>138</v>
      </c>
      <c r="F32" s="126"/>
      <c r="G32" s="126"/>
      <c r="H32" s="121">
        <f>F32+G32</f>
        <v>0</v>
      </c>
      <c r="I32" s="141"/>
      <c r="J32" s="9"/>
      <c r="K32" s="9"/>
      <c r="M32" s="116" t="s">
        <v>110</v>
      </c>
      <c r="N32" s="116" t="s">
        <v>111</v>
      </c>
      <c r="O32" s="130" t="s">
        <v>112</v>
      </c>
      <c r="P32" s="125" t="s">
        <v>113</v>
      </c>
      <c r="Q32" s="120"/>
      <c r="R32" s="9" t="str">
        <f>IF(AND(OR(M33="",M34="",N33="",N34="")),"WR16-8",IF(M33+N33&gt;M34+N34,L33,IF(M33+N33&lt;M34+N34,L34,IF(AND(M33+N33=M34+N34,P33=P34),"WR16-8",IF(AND(M33+N33=M34+N34,OR(P33="",P34="")),"WR16-8",IF(AND(M33+N33=M34+N34,P33&gt;P34),L33,L34))))))</f>
        <v>WR16-8</v>
      </c>
      <c r="S32" s="129" t="str">
        <f>IF(AND(OR(M33="",M34="",N33="",N34="")),"WR16-8",IF(M33+N33&gt;M34+N34,L33,IF(M33+N33&lt;M34+N34,L34,IF(AND(M33+N33=M34+N34,P33=P34),"WR16-8",IF(AND(M33+N33=M34+N34,OR(P33="",P34="")),"WR16-8",IF(AND(M33+N33=M34+N34,P33&gt;P34),L33,L34))))))</f>
        <v>WR16-8</v>
      </c>
      <c r="T32" s="127"/>
      <c r="U32" s="127"/>
      <c r="V32" s="122">
        <f>T32+U32</f>
        <v>0</v>
      </c>
      <c r="W32" s="141"/>
      <c r="AM32" s="133"/>
    </row>
    <row r="33" spans="3:39" ht="18" thickTop="1" thickBot="1">
      <c r="C33" s="147" t="s">
        <v>139</v>
      </c>
      <c r="D33"/>
      <c r="E33" s="129" t="s">
        <v>139</v>
      </c>
      <c r="F33" s="127"/>
      <c r="G33" s="127"/>
      <c r="H33" s="122">
        <f>F33+G33</f>
        <v>0</v>
      </c>
      <c r="I33" s="156"/>
      <c r="J33" s="164"/>
      <c r="K33" s="162" t="str">
        <f>IF(AND(OR(F32="",F33="",G32="",G33="")),"WPO8",IF(F32+G32&gt;F33+G33,E32,IF(F32+G32&lt;F33+G33,E33,IF(AND(F32+G32=F33+G33,I32=I33),E33&amp;"/"&amp;E32,IF(AND(F32+G32=F33+G33,OR(I32="",I33="")),"WPO8",IF(AND(F32+G32=F33+G33,I32&gt;I33),E32,E33))))))</f>
        <v>WPO8</v>
      </c>
      <c r="L33" s="151" t="str">
        <f>IF(AND(OR(F32="",F33="",G32="",G33="")),E33&amp;"/"&amp;E32,IF(F32+G32&gt;F33+G33,E32,IF(F32+G32&lt;F33+G33,E33,IF(AND(F32+G32=F33+G33,I32=I33),E33&amp;"/"&amp;E32,IF(AND(F32+G32=F33+G33,OR(I32="",I33="")),E33&amp;"/"&amp;E32,IF(AND(F32+G32=F33+G33,I32&gt;I33),E32,E33))))))</f>
        <v>16/15/18/17</v>
      </c>
      <c r="M33" s="126"/>
      <c r="N33" s="126"/>
      <c r="O33" s="121">
        <f>M33+N33</f>
        <v>0</v>
      </c>
      <c r="P33" s="140"/>
      <c r="Q33" s="124"/>
      <c r="AM33" s="133"/>
    </row>
    <row r="34" spans="3:39" ht="17.100000000000001" thickTop="1">
      <c r="C34" s="147"/>
      <c r="K34" s="131" t="s">
        <v>140</v>
      </c>
      <c r="L34" s="129" t="s">
        <v>140</v>
      </c>
      <c r="M34" s="127"/>
      <c r="N34" s="127"/>
      <c r="O34" s="122">
        <f>M34+N34</f>
        <v>0</v>
      </c>
      <c r="P34" s="141"/>
      <c r="AM34" s="133"/>
    </row>
    <row r="35" spans="3:39" ht="15.95" customHeight="1">
      <c r="C35" s="147"/>
      <c r="D35"/>
      <c r="AM35" s="133"/>
    </row>
    <row r="36" spans="3:39">
      <c r="C36" s="135"/>
      <c r="D36" s="135"/>
      <c r="E36" s="133"/>
      <c r="F36" s="134"/>
      <c r="G36" s="134"/>
      <c r="H36" s="134"/>
      <c r="I36" s="134"/>
      <c r="J36" s="133"/>
      <c r="K36" s="133"/>
      <c r="L36" s="133"/>
      <c r="M36" s="134"/>
      <c r="N36" s="134"/>
      <c r="O36" s="134"/>
      <c r="P36" s="134"/>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3"/>
    </row>
  </sheetData>
  <sheetProtection selectLockedCells="1" selectUnlockedCells="1"/>
  <mergeCells count="1">
    <mergeCell ref="AK19:AK20"/>
  </mergeCells>
  <phoneticPr fontId="8" type="noConversion"/>
  <conditionalFormatting sqref="E4:E33">
    <cfRule type="duplicateValues" dxfId="29" priority="2"/>
  </conditionalFormatting>
  <conditionalFormatting sqref="I3">
    <cfRule type="expression" dxfId="28" priority="172">
      <formula>IF(AND(F4&lt;&gt;"",G4&lt;&gt;"",F5&lt;&gt;"",G5&lt;&gt;"",H4=H5),1,0)</formula>
    </cfRule>
  </conditionalFormatting>
  <conditionalFormatting sqref="I4">
    <cfRule type="expression" dxfId="27" priority="180" stopIfTrue="1">
      <formula>IF(AND(F4&lt;&gt;"",G4&lt;&gt;"",F5&lt;&gt;"",G5&lt;&gt;"",H4=H5),1,0)</formula>
    </cfRule>
  </conditionalFormatting>
  <conditionalFormatting sqref="I5">
    <cfRule type="expression" dxfId="26" priority="188">
      <formula>IF(AND(F4&lt;&gt;"",G4&lt;&gt;"",F5&lt;&gt;"",G5&lt;&gt;"",H4=H5),1,0)</formula>
    </cfRule>
  </conditionalFormatting>
  <conditionalFormatting sqref="L5:L34">
    <cfRule type="duplicateValues" dxfId="25" priority="1"/>
  </conditionalFormatting>
  <conditionalFormatting sqref="P4 W6 I7 P8 AD10 I11 P12 W14 I15 P16 I19 P20 W22 I23 P24 AD26 I27 P28 W30 I31 P32">
    <cfRule type="expression" dxfId="24" priority="31">
      <formula>IF(AND(F5&lt;&gt;"",G5&lt;&gt;"",F6&lt;&gt;"",G6&lt;&gt;"",H5=H6),1,0)</formula>
    </cfRule>
  </conditionalFormatting>
  <conditionalFormatting sqref="P5 W7 I8 P9 AD11 I12 P13 W15 I16 P17 I20 P21 W23 I24 P25 AD27 I28 P29 W31 I32 P33">
    <cfRule type="expression" dxfId="23" priority="121" stopIfTrue="1">
      <formula>IF(AND(F5&lt;&gt;"",G5&lt;&gt;"",F6&lt;&gt;"",G6&lt;&gt;"",H5=H6),1,0)</formula>
    </cfRule>
  </conditionalFormatting>
  <conditionalFormatting sqref="P6 W8 I9 P10 AD12 I13 P14 W16 I17 P18 I21 P22 W24 I25 P26 AD28 I29 P30 W32 I33 P34">
    <cfRule type="expression" dxfId="22" priority="120">
      <formula>IF(AND(F5&lt;&gt;"",G5&lt;&gt;"",F6&lt;&gt;"",G6&lt;&gt;"",H5=H6),1,0)</formula>
    </cfRule>
  </conditionalFormatting>
  <conditionalFormatting sqref="AI18">
    <cfRule type="expression" dxfId="21" priority="171">
      <formula>IF(AND(AH19&lt;&gt;"",AH20&lt;&gt;"",$AH$19=$AH$20),1,0)</formula>
    </cfRule>
  </conditionalFormatting>
  <conditionalFormatting sqref="AI19">
    <cfRule type="expression" dxfId="20" priority="169">
      <formula>IF(AND(AH19&lt;&gt;"",AH20&lt;&gt;"",$AH$19=$AH$20),1,0)</formula>
    </cfRule>
  </conditionalFormatting>
  <conditionalFormatting sqref="AI20">
    <cfRule type="expression" dxfId="19" priority="170" stopIfTrue="1">
      <formula>IF(AND(AH19&lt;&gt;"",AH20&lt;&gt;"",$AH$19=$AH$20),1,0)</formula>
    </cfRule>
  </conditionalFormatting>
  <dataValidations count="8">
    <dataValidation type="list" allowBlank="1" showInputMessage="1" showErrorMessage="1" sqref="S7:S8" xr:uid="{B9AB1FA2-AE03-6145-8425-3B7D4A325C0E}">
      <formula1>$R$7:$R$8</formula1>
    </dataValidation>
    <dataValidation type="list" allowBlank="1" showInputMessage="1" showErrorMessage="1" sqref="S15:S16" xr:uid="{45B9217C-D6C9-9D45-87A4-0439DA31F0B0}">
      <formula1>$R$15:$R$16</formula1>
    </dataValidation>
    <dataValidation type="list" allowBlank="1" showInputMessage="1" showErrorMessage="1" sqref="S23:S24" xr:uid="{B8630CDE-2117-CA4A-BBB9-DDE76971474A}">
      <formula1>$R$23:$R$24</formula1>
    </dataValidation>
    <dataValidation type="list" allowBlank="1" showInputMessage="1" showErrorMessage="1" sqref="S31:S32" xr:uid="{377D3933-CA82-6548-83DA-415AB080615A}">
      <formula1>$R$31:$R$32</formula1>
    </dataValidation>
    <dataValidation type="list" allowBlank="1" showInputMessage="1" showErrorMessage="1" sqref="Z11:Z12" xr:uid="{6CE79149-593D-DA4E-BAAC-984113A7471B}">
      <formula1>$Y$11:$Y$12</formula1>
    </dataValidation>
    <dataValidation type="list" allowBlank="1" showInputMessage="1" showErrorMessage="1" sqref="Z27:Z28" xr:uid="{9DF17368-BA94-044B-9F8B-CE35476D3580}">
      <formula1>$Y$27:$Y$28</formula1>
    </dataValidation>
    <dataValidation type="list" allowBlank="1" showInputMessage="1" showErrorMessage="1" sqref="AG19:AG20" xr:uid="{354B589C-DE57-584A-BCA0-A636898328DA}">
      <formula1>$AF$19:$AF$20</formula1>
    </dataValidation>
    <dataValidation type="whole" allowBlank="1" showInputMessage="1" showErrorMessage="1" errorTitle="Introduce a number" error="0-100" sqref="AH19:AI20 AD11:AD12 AD27:AD28 AA27:AB28 AA11:AB12 W7:W8 T7:U8 T15:U16 W15:W16 W23:W24 T23:U24 T31:U32 W31:W32 P5:P6 P9:P10 P13:P14 P17:P18 P21:P22 P25:P26 P29:P30 P33:P34 M33:N34 M29:N30 M25:N26 M21:N22 M17:N18 M13:N14 M9:N10 M5:N6 I4:I5 I8:I9 I12:I13 I16:I17 I20:I21 I24:I25 I28:I29 I32:I33 F32:G33 F28:G29 F24:G25 F20:G21 F16:G17 F12:G13 F8:G9 F4:G5" xr:uid="{394AAF90-2990-D54B-906B-C05818D67B62}">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4">
        <x14:dataValidation type="list" allowBlank="1" showInputMessage="1" showErrorMessage="1" xr:uid="{6B1D69F6-D924-0345-BF63-94587AE534A7}">
          <x14:formula1>
            <xm:f>IF(SUM(Calcs!$B$2:$B$37)=288,League!$P$18:$P$19,C4)</xm:f>
          </x14:formula1>
          <xm:sqref>E4 E32</xm:sqref>
        </x14:dataValidation>
        <x14:dataValidation type="list" allowBlank="1" showInputMessage="1" showErrorMessage="1" xr:uid="{F034531D-6648-2C4F-9716-9562C8DA10EC}">
          <x14:formula1>
            <xm:f>IF(SUM(Calcs!$B$2:$B$37)=288,League!$P$16:$P$17,C5)</xm:f>
          </x14:formula1>
          <xm:sqref>E5 E33</xm:sqref>
        </x14:dataValidation>
        <x14:dataValidation type="list" allowBlank="1" showInputMessage="1" showErrorMessage="1" xr:uid="{3D294853-24A4-3A46-B7A7-AEF7337DED3F}">
          <x14:formula1>
            <xm:f>IF(SUM(Calcs!$B$2:$B$37)=288,League!$P$24:$P$25,C8)</xm:f>
          </x14:formula1>
          <xm:sqref>E8 E28</xm:sqref>
        </x14:dataValidation>
        <x14:dataValidation type="list" allowBlank="1" showInputMessage="1" showErrorMessage="1" xr:uid="{AE92E534-02E9-5741-9043-BA4E03554C97}">
          <x14:formula1>
            <xm:f>IF(SUM(Calcs!$B$2:$B$37)=288,League!$P$10:$P$11,C9)</xm:f>
          </x14:formula1>
          <xm:sqref>E9 E29</xm:sqref>
        </x14:dataValidation>
        <x14:dataValidation type="list" allowBlank="1" showInputMessage="1" showErrorMessage="1" xr:uid="{EB495B86-AE38-E248-9C6D-C2667E92E651}">
          <x14:formula1>
            <xm:f>IF(SUM(Calcs!$B$2:$B$37)=288,League!$P$22:$P$23,C12)</xm:f>
          </x14:formula1>
          <xm:sqref>E12 E24</xm:sqref>
        </x14:dataValidation>
        <x14:dataValidation type="list" allowBlank="1" showInputMessage="1" showErrorMessage="1" xr:uid="{93D2B2EB-24A9-EB4F-9DA5-C5D96F7A3EC5}">
          <x14:formula1>
            <xm:f>IF(SUM(Calcs!$B$2:$B$37)=288,League!$P$12:$P$13,C13)</xm:f>
          </x14:formula1>
          <xm:sqref>E13 E25</xm:sqref>
        </x14:dataValidation>
        <x14:dataValidation type="list" allowBlank="1" showInputMessage="1" showErrorMessage="1" xr:uid="{3BD385A5-BF04-7540-B360-F37BDABA9FA9}">
          <x14:formula1>
            <xm:f>IF(SUM(Calcs!$B$2:$B$37)=288,League!$P$20:$P$21,C16)</xm:f>
          </x14:formula1>
          <xm:sqref>E16 E20</xm:sqref>
        </x14:dataValidation>
        <x14:dataValidation type="list" allowBlank="1" showInputMessage="1" showErrorMessage="1" xr:uid="{3E22B851-A935-F74F-9774-B406469338C3}">
          <x14:formula1>
            <xm:f>IF(SUM(Calcs!$B$2:$B$37)=288,League!$P$14:$P$15,C17)</xm:f>
          </x14:formula1>
          <xm:sqref>E17 E21</xm:sqref>
        </x14:dataValidation>
        <x14:dataValidation type="list" allowBlank="1" showInputMessage="1" showErrorMessage="1" xr:uid="{7623C04A-3597-294C-A9E6-0F4C44B2DC56}">
          <x14:formula1>
            <xm:f>IF(SUM(Calcs!$B$2:$B$37)=288,League!$P$2:$P$3,K6)</xm:f>
          </x14:formula1>
          <xm:sqref>L6</xm:sqref>
        </x14:dataValidation>
        <x14:dataValidation type="list" allowBlank="1" showInputMessage="1" showErrorMessage="1" xr:uid="{5528A7C8-3B7A-7F43-9423-9A19544C29EE}">
          <x14:formula1>
            <xm:f>IF(SUM(Calcs!$B$2:$B$37)=288,League!$P$8:$P$9,K10)</xm:f>
          </x14:formula1>
          <xm:sqref>L10 L30</xm:sqref>
        </x14:dataValidation>
        <x14:dataValidation type="list" allowBlank="1" showInputMessage="1" showErrorMessage="1" xr:uid="{84E1737C-5FC2-704A-8005-8AD3730A3EF3}">
          <x14:formula1>
            <xm:f>IF(SUM(Calcs!$B$2:$B$37)=288,League!$P$6:$P$7,K14)</xm:f>
          </x14:formula1>
          <xm:sqref>L14 L26</xm:sqref>
        </x14:dataValidation>
        <x14:dataValidation type="list" allowBlank="1" showInputMessage="1" showErrorMessage="1" xr:uid="{BF66B524-57CB-7E4E-B723-188831C3CA53}">
          <x14:formula1>
            <xm:f>IF(SUM(Calcs!$B$2:$B$37)=288,League!$P$4:$P$5,K18)</xm:f>
          </x14:formula1>
          <xm:sqref>L18 L22</xm:sqref>
        </x14:dataValidation>
        <x14:dataValidation type="list" allowBlank="1" showInputMessage="1" showErrorMessage="1" xr:uid="{677D9647-69B3-614D-975A-FB207C3AE863}">
          <x14:formula1>
            <xm:f>IF(SUM(Calcs!$B$2:$B$37)=288,League!P$2:P$3,K34)</xm:f>
          </x14:formula1>
          <xm:sqref>L34</xm:sqref>
        </x14:dataValidation>
        <x14:dataValidation type="list" allowBlank="1" showInputMessage="1" showErrorMessage="1" xr:uid="{DBBE590A-79FD-1D4C-8CEA-39F575A75CF7}">
          <x14:formula1>
            <xm:f>IF(SUM(Calcs!$B$2:$B$37)=288,League!R19:R20,C4)</xm:f>
          </x14:formula1>
          <xm:sqref>C3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0124-FA42-C04B-BFC1-C7BF67181F36}">
  <sheetPr codeName="Hoja14"/>
  <dimension ref="A1:FE345"/>
  <sheetViews>
    <sheetView showGridLines="0" showRowColHeaders="0" topLeftCell="P73" zoomScale="101" zoomScaleNormal="100" workbookViewId="0">
      <selection activeCell="AN98" sqref="AN98"/>
    </sheetView>
  </sheetViews>
  <sheetFormatPr defaultColWidth="0" defaultRowHeight="15"/>
  <cols>
    <col min="1" max="1" width="3.125" style="231" customWidth="1"/>
    <col min="2" max="2" width="2.5" style="231" customWidth="1"/>
    <col min="3" max="3" width="44.125" style="231" customWidth="1"/>
    <col min="4" max="4" width="8.5" style="231" bestFit="1" customWidth="1"/>
    <col min="5" max="5" width="2.875" style="231" customWidth="1"/>
    <col min="6" max="6" width="10.875" style="369" customWidth="1"/>
    <col min="7" max="7" width="29.875" style="369" bestFit="1" customWidth="1"/>
    <col min="8" max="8" width="15.875" style="231" bestFit="1" customWidth="1"/>
    <col min="9" max="9" width="1.375" style="231" customWidth="1"/>
    <col min="10" max="10" width="25.875" style="231" customWidth="1"/>
    <col min="11" max="11" width="6" style="231" customWidth="1"/>
    <col min="12" max="12" width="1" style="312" customWidth="1"/>
    <col min="13" max="13" width="25.875" style="231" customWidth="1"/>
    <col min="14" max="14" width="6" style="231" customWidth="1"/>
    <col min="15" max="15" width="1.375" style="312" customWidth="1"/>
    <col min="16" max="16" width="25.875" style="231" customWidth="1"/>
    <col min="17" max="17" width="6" style="231" customWidth="1"/>
    <col min="18" max="18" width="1.375" style="312" customWidth="1"/>
    <col min="19" max="19" width="25.875" style="231" customWidth="1"/>
    <col min="20" max="20" width="6" style="231" customWidth="1"/>
    <col min="21" max="21" width="1.375" style="312" customWidth="1"/>
    <col min="22" max="22" width="25.875" style="231" customWidth="1"/>
    <col min="23" max="23" width="6" style="231" customWidth="1"/>
    <col min="24" max="24" width="1.375" style="312" customWidth="1"/>
    <col min="25" max="25" width="25.875" style="231" customWidth="1"/>
    <col min="26" max="26" width="6" style="231" customWidth="1"/>
    <col min="27" max="27" width="1.375" style="312" customWidth="1"/>
    <col min="28" max="28" width="25.875" style="231" customWidth="1"/>
    <col min="29" max="29" width="6" style="231" customWidth="1"/>
    <col min="30" max="30" width="1.375" style="312" customWidth="1"/>
    <col min="31" max="31" width="25.875" style="231" customWidth="1"/>
    <col min="32" max="32" width="6" style="231" customWidth="1"/>
    <col min="33" max="33" width="1.375" style="312" customWidth="1"/>
    <col min="34" max="34" width="25.875" style="231" customWidth="1"/>
    <col min="35" max="35" width="6" style="231" customWidth="1"/>
    <col min="36" max="36" width="1.375" style="312" customWidth="1"/>
    <col min="37" max="37" width="25.875" style="231" customWidth="1"/>
    <col min="38" max="38" width="6" style="231" customWidth="1"/>
    <col min="39" max="39" width="1.375" style="312" customWidth="1"/>
    <col min="40" max="40" width="25.875" style="231" customWidth="1"/>
    <col min="41" max="41" width="6" style="231" customWidth="1"/>
    <col min="42" max="42" width="1.375" style="312" customWidth="1"/>
    <col min="43" max="43" width="25.875" style="231" customWidth="1"/>
    <col min="44" max="44" width="6" style="231" customWidth="1"/>
    <col min="45" max="45" width="1.375" style="312" customWidth="1"/>
    <col min="46" max="46" width="25.875" style="231" customWidth="1"/>
    <col min="47" max="47" width="6" style="231" customWidth="1"/>
    <col min="48" max="48" width="1.375" style="312" customWidth="1"/>
    <col min="49" max="49" width="25.875" style="231" customWidth="1"/>
    <col min="50" max="50" width="6" style="231" customWidth="1"/>
    <col min="51" max="51" width="1.375" style="312" customWidth="1"/>
    <col min="52" max="52" width="25.875" style="231" customWidth="1"/>
    <col min="53" max="53" width="6" style="231" customWidth="1"/>
    <col min="54" max="54" width="1.375" style="312" customWidth="1"/>
    <col min="55" max="55" width="25.875" style="231" customWidth="1"/>
    <col min="56" max="56" width="6" style="231" customWidth="1"/>
    <col min="57" max="57" width="1.375" style="312" customWidth="1"/>
    <col min="58" max="58" width="25.875" style="231" customWidth="1"/>
    <col min="59" max="59" width="6" style="231" customWidth="1"/>
    <col min="60" max="60" width="1.375" style="312" customWidth="1"/>
    <col min="61" max="61" width="25.875" style="231" customWidth="1"/>
    <col min="62" max="62" width="6" style="231" customWidth="1"/>
    <col min="63" max="63" width="1.375" style="312" customWidth="1"/>
    <col min="64" max="64" width="25.875" style="231" customWidth="1"/>
    <col min="65" max="65" width="6" style="231" customWidth="1"/>
    <col min="66" max="66" width="1.375" style="312" customWidth="1"/>
    <col min="67" max="67" width="25.875" style="231" customWidth="1"/>
    <col min="68" max="68" width="6" style="231" customWidth="1"/>
    <col min="69" max="69" width="1.375" style="312" customWidth="1"/>
    <col min="70" max="70" width="25.875" style="231" customWidth="1"/>
    <col min="71" max="71" width="6" style="231" customWidth="1"/>
    <col min="72" max="72" width="1.375" style="312" customWidth="1"/>
    <col min="73" max="73" width="25.875" style="231" customWidth="1"/>
    <col min="74" max="74" width="6" style="231" customWidth="1"/>
    <col min="75" max="75" width="1.375" style="312" customWidth="1"/>
    <col min="76" max="76" width="25.875" style="231" customWidth="1"/>
    <col min="77" max="77" width="6" style="231" customWidth="1"/>
    <col min="78" max="78" width="1.375" style="312" customWidth="1"/>
    <col min="79" max="79" width="25.875" style="231" customWidth="1"/>
    <col min="80" max="80" width="6" style="231" customWidth="1"/>
    <col min="81" max="81" width="1.375" style="312" customWidth="1"/>
    <col min="82" max="82" width="25.875" style="231" customWidth="1"/>
    <col min="83" max="83" width="6" style="231" customWidth="1"/>
    <col min="84" max="84" width="1.375" style="312" customWidth="1"/>
    <col min="85" max="86" width="1.875" style="231" customWidth="1"/>
    <col min="87" max="161" width="0" style="231" hidden="1" customWidth="1"/>
    <col min="162" max="16384" width="10.875" style="231" hidden="1"/>
  </cols>
  <sheetData>
    <row r="1" spans="1:86" s="312" customFormat="1">
      <c r="A1" s="251"/>
      <c r="B1" s="251"/>
      <c r="C1" s="251"/>
      <c r="D1" s="251"/>
      <c r="E1" s="251"/>
      <c r="F1" s="251"/>
      <c r="G1" s="251"/>
      <c r="H1" s="251"/>
      <c r="I1" s="251"/>
      <c r="J1" s="251">
        <f ca="1">RANK(J2,OFFSET($J$2,0,0,1,$D$5*3),0)</f>
        <v>13</v>
      </c>
      <c r="K1" s="251"/>
      <c r="L1" s="251"/>
      <c r="M1" s="251">
        <f t="shared" ref="M1" ca="1" si="0">RANK(M2,OFFSET($J$2,0,0,1,$D$5*3),0)</f>
        <v>10</v>
      </c>
      <c r="N1" s="251"/>
      <c r="O1" s="251"/>
      <c r="P1" s="251">
        <f t="shared" ref="P1" ca="1" si="1">RANK(P2,OFFSET($J$2,0,0,1,$D$5*3),0)</f>
        <v>6</v>
      </c>
      <c r="Q1" s="251"/>
      <c r="R1" s="251"/>
      <c r="S1" s="251">
        <f t="shared" ref="S1" ca="1" si="2">RANK(S2,OFFSET($J$2,0,0,1,$D$5*3),0)</f>
        <v>4</v>
      </c>
      <c r="T1" s="251"/>
      <c r="U1" s="251"/>
      <c r="V1" s="251">
        <f t="shared" ref="V1" ca="1" si="3">RANK(V2,OFFSET($J$2,0,0,1,$D$5*3),0)</f>
        <v>15</v>
      </c>
      <c r="W1" s="251"/>
      <c r="X1" s="251"/>
      <c r="Y1" s="251">
        <f t="shared" ref="Y1" ca="1" si="4">RANK(Y2,OFFSET($J$2,0,0,1,$D$5*3),0)</f>
        <v>1</v>
      </c>
      <c r="Z1" s="251"/>
      <c r="AA1" s="251"/>
      <c r="AB1" s="251">
        <f t="shared" ref="AB1" ca="1" si="5">RANK(AB2,OFFSET($J$2,0,0,1,$D$5*3),0)</f>
        <v>7</v>
      </c>
      <c r="AC1" s="251"/>
      <c r="AD1" s="251"/>
      <c r="AE1" s="251">
        <f t="shared" ref="AE1" ca="1" si="6">RANK(AE2,OFFSET($J$2,0,0,1,$D$5*3),0)</f>
        <v>11</v>
      </c>
      <c r="AF1" s="251"/>
      <c r="AG1" s="251"/>
      <c r="AH1" s="251">
        <f t="shared" ref="AH1" ca="1" si="7">RANK(AH2,OFFSET($J$2,0,0,1,$D$5*3),0)</f>
        <v>3</v>
      </c>
      <c r="AI1" s="251"/>
      <c r="AJ1" s="251"/>
      <c r="AK1" s="251">
        <f t="shared" ref="AK1" ca="1" si="8">RANK(AK2,OFFSET($J$2,0,0,1,$D$5*3),0)</f>
        <v>2</v>
      </c>
      <c r="AL1" s="251"/>
      <c r="AM1" s="251"/>
      <c r="AN1" s="251">
        <f t="shared" ref="AN1" ca="1" si="9">RANK(AN2,OFFSET($J$2,0,0,1,$D$5*3),0)</f>
        <v>14</v>
      </c>
      <c r="AO1" s="251"/>
      <c r="AP1" s="251"/>
      <c r="AQ1" s="251">
        <f t="shared" ref="AQ1" ca="1" si="10">RANK(AQ2,OFFSET($J$2,0,0,1,$D$5*3),0)</f>
        <v>9</v>
      </c>
      <c r="AR1" s="251"/>
      <c r="AS1" s="251"/>
      <c r="AT1" s="251">
        <f t="shared" ref="AT1" ca="1" si="11">RANK(AT2,OFFSET($J$2,0,0,1,$D$5*3),0)</f>
        <v>16</v>
      </c>
      <c r="AU1" s="251"/>
      <c r="AV1" s="251"/>
      <c r="AW1" s="251">
        <f t="shared" ref="AW1" ca="1" si="12">RANK(AW2,OFFSET($J$2,0,0,1,$D$5*3),0)</f>
        <v>5</v>
      </c>
      <c r="AX1" s="251"/>
      <c r="AY1" s="251"/>
      <c r="AZ1" s="251">
        <f t="shared" ref="AZ1" ca="1" si="13">RANK(AZ2,OFFSET($J$2,0,0,1,$D$5*3),0)</f>
        <v>8</v>
      </c>
      <c r="BA1" s="251"/>
      <c r="BB1" s="251"/>
      <c r="BC1" s="251">
        <f t="shared" ref="BC1" ca="1" si="14">RANK(BC2,OFFSET($J$2,0,0,1,$D$5*3),0)</f>
        <v>12</v>
      </c>
      <c r="BD1" s="251"/>
      <c r="BE1" s="251"/>
      <c r="BF1" s="251" t="e">
        <f t="shared" ref="BF1" ca="1" si="15">RANK(BF2,OFFSET($J$2,0,0,1,$D$5*3),0)</f>
        <v>#N/A</v>
      </c>
      <c r="BG1" s="251"/>
      <c r="BH1" s="251"/>
      <c r="BI1" s="251" t="e">
        <f t="shared" ref="BI1" ca="1" si="16">RANK(BI2,OFFSET($J$2,0,0,1,$D$5*3),0)</f>
        <v>#N/A</v>
      </c>
      <c r="BJ1" s="251"/>
      <c r="BK1" s="251"/>
      <c r="BL1" s="251" t="e">
        <f t="shared" ref="BL1" ca="1" si="17">RANK(BL2,OFFSET($J$2,0,0,1,$D$5*3),0)</f>
        <v>#N/A</v>
      </c>
      <c r="BM1" s="251"/>
      <c r="BN1" s="251"/>
      <c r="BO1" s="251" t="e">
        <f t="shared" ref="BO1" ca="1" si="18">RANK(BO2,OFFSET($J$2,0,0,1,$D$5*3),0)</f>
        <v>#N/A</v>
      </c>
      <c r="BP1" s="251"/>
      <c r="BQ1" s="251"/>
      <c r="BR1" s="251" t="e">
        <f t="shared" ref="BR1" ca="1" si="19">RANK(BR2,OFFSET($J$2,0,0,1,$D$5*3),0)</f>
        <v>#N/A</v>
      </c>
      <c r="BS1" s="251"/>
      <c r="BT1" s="251"/>
      <c r="BU1" s="251" t="e">
        <f t="shared" ref="BU1" ca="1" si="20">RANK(BU2,OFFSET($J$2,0,0,1,$D$5*3),0)</f>
        <v>#N/A</v>
      </c>
      <c r="BV1" s="251"/>
      <c r="BW1" s="251"/>
      <c r="BX1" s="251" t="e">
        <f t="shared" ref="BX1" ca="1" si="21">RANK(BX2,OFFSET($J$2,0,0,1,$D$5*3),0)</f>
        <v>#N/A</v>
      </c>
      <c r="BY1" s="251"/>
      <c r="BZ1" s="251"/>
      <c r="CA1" s="251" t="e">
        <f t="shared" ref="CA1" ca="1" si="22">RANK(CA2,OFFSET($J$2,0,0,1,$D$5*3),0)</f>
        <v>#N/A</v>
      </c>
      <c r="CB1" s="251"/>
      <c r="CC1" s="251"/>
      <c r="CD1" s="251" t="e">
        <f t="shared" ref="CD1" ca="1" si="23">RANK(CD2,OFFSET($J$2,0,0,1,$D$5*3),0)</f>
        <v>#N/A</v>
      </c>
      <c r="CE1" s="251"/>
      <c r="CF1" s="251"/>
      <c r="CG1" s="251"/>
      <c r="CH1" s="251"/>
    </row>
    <row r="2" spans="1:86" s="312" customFormat="1" hidden="1">
      <c r="A2" s="251"/>
      <c r="B2" s="251"/>
      <c r="C2" s="251"/>
      <c r="D2" s="251"/>
      <c r="E2" s="251"/>
      <c r="F2" s="251"/>
      <c r="G2" s="251"/>
      <c r="H2" s="251"/>
      <c r="I2" s="251"/>
      <c r="J2" s="251">
        <f>J4-(COLUMN()/10000)</f>
        <v>148.999</v>
      </c>
      <c r="K2" s="251"/>
      <c r="L2" s="251"/>
      <c r="M2" s="251">
        <f t="shared" ref="M2" si="24">M4-(COLUMN()/10000)</f>
        <v>152.99870000000001</v>
      </c>
      <c r="N2" s="251"/>
      <c r="O2" s="251"/>
      <c r="P2" s="251">
        <f t="shared" ref="P2" si="25">P4-(COLUMN()/10000)</f>
        <v>159.9984</v>
      </c>
      <c r="Q2" s="251"/>
      <c r="R2" s="251"/>
      <c r="S2" s="251">
        <f t="shared" ref="S2" si="26">S4-(COLUMN()/10000)</f>
        <v>165.99809999999999</v>
      </c>
      <c r="T2" s="251"/>
      <c r="U2" s="251"/>
      <c r="V2" s="251">
        <f t="shared" ref="V2" si="27">V4-(COLUMN()/10000)</f>
        <v>143.99780000000001</v>
      </c>
      <c r="W2" s="251"/>
      <c r="X2" s="251"/>
      <c r="Y2" s="251">
        <f t="shared" ref="Y2" si="28">Y4-(COLUMN()/10000)</f>
        <v>189.9975</v>
      </c>
      <c r="Z2" s="251"/>
      <c r="AA2" s="251"/>
      <c r="AB2" s="251">
        <f t="shared" ref="AB2" si="29">AB4-(COLUMN()/10000)</f>
        <v>157.99719999999999</v>
      </c>
      <c r="AC2" s="251"/>
      <c r="AD2" s="251"/>
      <c r="AE2" s="251">
        <f t="shared" ref="AE2" si="30">AE4-(COLUMN()/10000)</f>
        <v>152.99690000000001</v>
      </c>
      <c r="AF2" s="251"/>
      <c r="AG2" s="251"/>
      <c r="AH2" s="251">
        <f t="shared" ref="AH2" si="31">AH4-(COLUMN()/10000)</f>
        <v>169.9966</v>
      </c>
      <c r="AI2" s="251"/>
      <c r="AJ2" s="251"/>
      <c r="AK2" s="251">
        <f t="shared" ref="AK2" si="32">AK4-(COLUMN()/10000)</f>
        <v>172.99629999999999</v>
      </c>
      <c r="AL2" s="251"/>
      <c r="AM2" s="251"/>
      <c r="AN2" s="251">
        <f t="shared" ref="AN2" si="33">AN4-(COLUMN()/10000)</f>
        <v>146.99600000000001</v>
      </c>
      <c r="AO2" s="251"/>
      <c r="AP2" s="251"/>
      <c r="AQ2" s="251">
        <f t="shared" ref="AQ2" si="34">AQ4-(COLUMN()/10000)</f>
        <v>154.9957</v>
      </c>
      <c r="AR2" s="251"/>
      <c r="AS2" s="251"/>
      <c r="AT2" s="251">
        <f t="shared" ref="AT2" si="35">AT4-(COLUMN()/10000)</f>
        <v>122.9954</v>
      </c>
      <c r="AU2" s="251"/>
      <c r="AV2" s="251"/>
      <c r="AW2" s="251">
        <f t="shared" ref="AW2" si="36">AW4-(COLUMN()/10000)</f>
        <v>162.99510000000001</v>
      </c>
      <c r="AX2" s="251"/>
      <c r="AY2" s="251"/>
      <c r="AZ2" s="251">
        <f t="shared" ref="AZ2" si="37">AZ4-(COLUMN()/10000)</f>
        <v>157.9948</v>
      </c>
      <c r="BA2" s="251"/>
      <c r="BB2" s="251"/>
      <c r="BC2" s="251">
        <f t="shared" ref="BC2" si="38">BC4-(COLUMN()/10000)</f>
        <v>150.99449999999999</v>
      </c>
      <c r="BD2" s="251"/>
      <c r="BE2" s="251"/>
      <c r="BF2" s="251">
        <f t="shared" ref="BF2" si="39">BF4-(COLUMN()/10000)</f>
        <v>-5.7999999999999996E-3</v>
      </c>
      <c r="BG2" s="251"/>
      <c r="BH2" s="251"/>
      <c r="BI2" s="251">
        <f t="shared" ref="BI2" si="40">BI4-(COLUMN()/10000)</f>
        <v>-6.1000000000000004E-3</v>
      </c>
      <c r="BJ2" s="251"/>
      <c r="BK2" s="251"/>
      <c r="BL2" s="251">
        <f t="shared" ref="BL2" si="41">BL4-(COLUMN()/10000)</f>
        <v>-6.4000000000000003E-3</v>
      </c>
      <c r="BM2" s="251"/>
      <c r="BN2" s="251"/>
      <c r="BO2" s="251">
        <f t="shared" ref="BO2" si="42">BO4-(COLUMN()/10000)</f>
        <v>-6.7000000000000002E-3</v>
      </c>
      <c r="BP2" s="251"/>
      <c r="BQ2" s="251"/>
      <c r="BR2" s="251">
        <f t="shared" ref="BR2" si="43">BR4-(COLUMN()/10000)</f>
        <v>-7.0000000000000001E-3</v>
      </c>
      <c r="BS2" s="251"/>
      <c r="BT2" s="251"/>
      <c r="BU2" s="251">
        <f t="shared" ref="BU2" si="44">BU4-(COLUMN()/10000)</f>
        <v>-7.3000000000000001E-3</v>
      </c>
      <c r="BV2" s="251"/>
      <c r="BW2" s="251"/>
      <c r="BX2" s="251">
        <f t="shared" ref="BX2" si="45">BX4-(COLUMN()/10000)</f>
        <v>-7.6E-3</v>
      </c>
      <c r="BY2" s="251"/>
      <c r="BZ2" s="251"/>
      <c r="CA2" s="251">
        <f t="shared" ref="CA2" si="46">CA4-(COLUMN()/10000)</f>
        <v>-7.9000000000000008E-3</v>
      </c>
      <c r="CB2" s="251"/>
      <c r="CC2" s="251"/>
      <c r="CD2" s="251">
        <f t="shared" ref="CD2" si="47">CD4-(COLUMN()/10000)</f>
        <v>-8.2000000000000007E-3</v>
      </c>
      <c r="CE2" s="251"/>
      <c r="CF2" s="251"/>
      <c r="CG2" s="251"/>
      <c r="CH2" s="251"/>
    </row>
    <row r="3" spans="1:86" s="312" customFormat="1" hidden="1">
      <c r="A3" s="251"/>
      <c r="B3" s="251"/>
      <c r="C3" s="251"/>
      <c r="D3" s="251"/>
      <c r="E3" s="251"/>
      <c r="F3" s="251"/>
      <c r="G3" s="251"/>
      <c r="H3" s="251"/>
      <c r="I3" s="251"/>
      <c r="J3" s="251">
        <f ca="1">RANK(J4,OFFSET($J$4,0,0,1,$D$5*3),0)</f>
        <v>13</v>
      </c>
      <c r="K3" s="251"/>
      <c r="L3" s="251"/>
      <c r="M3" s="251">
        <f t="shared" ref="M3" ca="1" si="48">RANK(M4,OFFSET($J$4,0,0,1,$D$5*3),0)</f>
        <v>10</v>
      </c>
      <c r="N3" s="251"/>
      <c r="O3" s="251"/>
      <c r="P3" s="251">
        <f t="shared" ref="P3" ca="1" si="49">RANK(P4,OFFSET($J$4,0,0,1,$D$5*3),0)</f>
        <v>6</v>
      </c>
      <c r="Q3" s="251"/>
      <c r="R3" s="251"/>
      <c r="S3" s="251">
        <f t="shared" ref="S3" ca="1" si="50">RANK(S4,OFFSET($J$4,0,0,1,$D$5*3),0)</f>
        <v>4</v>
      </c>
      <c r="T3" s="251"/>
      <c r="U3" s="251"/>
      <c r="V3" s="251">
        <f t="shared" ref="V3" ca="1" si="51">RANK(V4,OFFSET($J$4,0,0,1,$D$5*3),0)</f>
        <v>15</v>
      </c>
      <c r="W3" s="251"/>
      <c r="X3" s="251"/>
      <c r="Y3" s="251">
        <f t="shared" ref="Y3" ca="1" si="52">RANK(Y4,OFFSET($J$4,0,0,1,$D$5*3),0)</f>
        <v>1</v>
      </c>
      <c r="Z3" s="251"/>
      <c r="AA3" s="251"/>
      <c r="AB3" s="251">
        <f t="shared" ref="AB3" ca="1" si="53">RANK(AB4,OFFSET($J$4,0,0,1,$D$5*3),0)</f>
        <v>7</v>
      </c>
      <c r="AC3" s="251"/>
      <c r="AD3" s="251"/>
      <c r="AE3" s="251">
        <f t="shared" ref="AE3" ca="1" si="54">RANK(AE4,OFFSET($J$4,0,0,1,$D$5*3),0)</f>
        <v>10</v>
      </c>
      <c r="AF3" s="251"/>
      <c r="AG3" s="251"/>
      <c r="AH3" s="251">
        <f t="shared" ref="AH3" ca="1" si="55">RANK(AH4,OFFSET($J$4,0,0,1,$D$5*3),0)</f>
        <v>3</v>
      </c>
      <c r="AI3" s="251"/>
      <c r="AJ3" s="251"/>
      <c r="AK3" s="251">
        <f t="shared" ref="AK3" ca="1" si="56">RANK(AK4,OFFSET($J$4,0,0,1,$D$5*3),0)</f>
        <v>2</v>
      </c>
      <c r="AL3" s="251"/>
      <c r="AM3" s="251"/>
      <c r="AN3" s="251">
        <f t="shared" ref="AN3" ca="1" si="57">RANK(AN4,OFFSET($J$4,0,0,1,$D$5*3),0)</f>
        <v>14</v>
      </c>
      <c r="AO3" s="251"/>
      <c r="AP3" s="251"/>
      <c r="AQ3" s="251">
        <f t="shared" ref="AQ3" ca="1" si="58">RANK(AQ4,OFFSET($J$4,0,0,1,$D$5*3),0)</f>
        <v>9</v>
      </c>
      <c r="AR3" s="251"/>
      <c r="AS3" s="251"/>
      <c r="AT3" s="251">
        <f t="shared" ref="AT3" ca="1" si="59">RANK(AT4,OFFSET($J$4,0,0,1,$D$5*3),0)</f>
        <v>16</v>
      </c>
      <c r="AU3" s="251"/>
      <c r="AV3" s="251"/>
      <c r="AW3" s="251">
        <f t="shared" ref="AW3" ca="1" si="60">RANK(AW4,OFFSET($J$4,0,0,1,$D$5*3),0)</f>
        <v>5</v>
      </c>
      <c r="AX3" s="251"/>
      <c r="AY3" s="251"/>
      <c r="AZ3" s="251">
        <f t="shared" ref="AZ3" ca="1" si="61">RANK(AZ4,OFFSET($J$4,0,0,1,$D$5*3),0)</f>
        <v>7</v>
      </c>
      <c r="BA3" s="251"/>
      <c r="BB3" s="251"/>
      <c r="BC3" s="251">
        <f t="shared" ref="BC3" ca="1" si="62">RANK(BC4,OFFSET($J$4,0,0,1,$D$5*3),0)</f>
        <v>12</v>
      </c>
      <c r="BD3" s="251"/>
      <c r="BE3" s="251"/>
      <c r="BF3" s="251" t="e">
        <f t="shared" ref="BF3" ca="1" si="63">RANK(BF4,OFFSET($J$4,0,0,1,$D$5*3),0)</f>
        <v>#N/A</v>
      </c>
      <c r="BG3" s="251"/>
      <c r="BH3" s="251"/>
      <c r="BI3" s="251" t="e">
        <f t="shared" ref="BI3" ca="1" si="64">RANK(BI4,OFFSET($J$4,0,0,1,$D$5*3),0)</f>
        <v>#N/A</v>
      </c>
      <c r="BJ3" s="251"/>
      <c r="BK3" s="251"/>
      <c r="BL3" s="251" t="e">
        <f t="shared" ref="BL3" ca="1" si="65">RANK(BL4,OFFSET($J$4,0,0,1,$D$5*3),0)</f>
        <v>#N/A</v>
      </c>
      <c r="BM3" s="251"/>
      <c r="BN3" s="251"/>
      <c r="BO3" s="251" t="e">
        <f t="shared" ref="BO3" ca="1" si="66">RANK(BO4,OFFSET($J$4,0,0,1,$D$5*3),0)</f>
        <v>#N/A</v>
      </c>
      <c r="BP3" s="251"/>
      <c r="BQ3" s="251"/>
      <c r="BR3" s="251" t="e">
        <f t="shared" ref="BR3" ca="1" si="67">RANK(BR4,OFFSET($J$4,0,0,1,$D$5*3),0)</f>
        <v>#N/A</v>
      </c>
      <c r="BS3" s="251"/>
      <c r="BT3" s="251"/>
      <c r="BU3" s="251" t="e">
        <f t="shared" ref="BU3" ca="1" si="68">RANK(BU4,OFFSET($J$4,0,0,1,$D$5*3),0)</f>
        <v>#N/A</v>
      </c>
      <c r="BV3" s="251"/>
      <c r="BW3" s="251"/>
      <c r="BX3" s="251" t="e">
        <f t="shared" ref="BX3" ca="1" si="69">RANK(BX4,OFFSET($J$4,0,0,1,$D$5*3),0)</f>
        <v>#N/A</v>
      </c>
      <c r="BY3" s="251"/>
      <c r="BZ3" s="251"/>
      <c r="CA3" s="251" t="e">
        <f t="shared" ref="CA3" ca="1" si="70">RANK(CA4,OFFSET($J$4,0,0,1,$D$5*3),0)</f>
        <v>#N/A</v>
      </c>
      <c r="CB3" s="251"/>
      <c r="CC3" s="251"/>
      <c r="CD3" s="251" t="e">
        <f t="shared" ref="CD3" ca="1" si="71">RANK(CD4,OFFSET($J$4,0,0,1,$D$5*3),0)</f>
        <v>#N/A</v>
      </c>
      <c r="CE3" s="251"/>
      <c r="CF3" s="251"/>
      <c r="CG3" s="251"/>
      <c r="CH3" s="251"/>
    </row>
    <row r="4" spans="1:86" ht="15.95" thickBot="1">
      <c r="A4" s="219"/>
      <c r="B4" s="219"/>
      <c r="C4" s="219"/>
      <c r="D4" s="219"/>
      <c r="E4" s="219"/>
      <c r="F4" s="265"/>
      <c r="G4" s="265"/>
      <c r="H4" s="313" t="str">
        <f>+Idiomas!D187&amp;" -&gt;"</f>
        <v>Puntos -&gt;</v>
      </c>
      <c r="I4" s="219"/>
      <c r="J4" s="217">
        <f>SUM(K6:K343)</f>
        <v>149</v>
      </c>
      <c r="K4" s="314"/>
      <c r="L4" s="251"/>
      <c r="M4" s="217">
        <f t="shared" ref="M4" si="72">SUM(N6:N343)</f>
        <v>153</v>
      </c>
      <c r="N4" s="314"/>
      <c r="O4" s="251"/>
      <c r="P4" s="217">
        <f t="shared" ref="P4" si="73">SUM(Q6:Q343)</f>
        <v>160</v>
      </c>
      <c r="Q4" s="314"/>
      <c r="R4" s="251"/>
      <c r="S4" s="217">
        <f t="shared" ref="S4" si="74">SUM(T6:T343)</f>
        <v>166</v>
      </c>
      <c r="T4" s="314"/>
      <c r="U4" s="251"/>
      <c r="V4" s="217">
        <f t="shared" ref="V4" si="75">SUM(W6:W343)</f>
        <v>144</v>
      </c>
      <c r="W4" s="314"/>
      <c r="X4" s="251"/>
      <c r="Y4" s="217">
        <f t="shared" ref="Y4" si="76">SUM(Z6:Z343)</f>
        <v>190</v>
      </c>
      <c r="Z4" s="314"/>
      <c r="AA4" s="251"/>
      <c r="AB4" s="217">
        <f t="shared" ref="AB4" si="77">SUM(AC6:AC343)</f>
        <v>158</v>
      </c>
      <c r="AC4" s="314"/>
      <c r="AD4" s="251"/>
      <c r="AE4" s="217">
        <f t="shared" ref="AE4" si="78">SUM(AF6:AF343)</f>
        <v>153</v>
      </c>
      <c r="AF4" s="314"/>
      <c r="AG4" s="251"/>
      <c r="AH4" s="217">
        <f t="shared" ref="AH4" si="79">SUM(AI6:AI343)</f>
        <v>170</v>
      </c>
      <c r="AI4" s="314"/>
      <c r="AJ4" s="251"/>
      <c r="AK4" s="217">
        <f t="shared" ref="AK4" si="80">SUM(AL6:AL343)</f>
        <v>173</v>
      </c>
      <c r="AL4" s="314"/>
      <c r="AM4" s="251"/>
      <c r="AN4" s="217">
        <f t="shared" ref="AN4" si="81">SUM(AO6:AO343)</f>
        <v>147</v>
      </c>
      <c r="AO4" s="314"/>
      <c r="AP4" s="251"/>
      <c r="AQ4" s="217">
        <f t="shared" ref="AQ4" si="82">SUM(AR6:AR343)</f>
        <v>155</v>
      </c>
      <c r="AR4" s="314"/>
      <c r="AS4" s="251"/>
      <c r="AT4" s="217">
        <f t="shared" ref="AT4" si="83">SUM(AU6:AU343)</f>
        <v>123</v>
      </c>
      <c r="AU4" s="314"/>
      <c r="AV4" s="251"/>
      <c r="AW4" s="217">
        <f t="shared" ref="AW4" si="84">SUM(AX6:AX343)</f>
        <v>163</v>
      </c>
      <c r="AX4" s="314"/>
      <c r="AY4" s="251"/>
      <c r="AZ4" s="217">
        <f t="shared" ref="AZ4" si="85">SUM(BA6:BA343)</f>
        <v>158</v>
      </c>
      <c r="BA4" s="314"/>
      <c r="BB4" s="251"/>
      <c r="BC4" s="217">
        <f t="shared" ref="BC4" si="86">SUM(BD6:BD343)</f>
        <v>151</v>
      </c>
      <c r="BD4" s="314"/>
      <c r="BE4" s="251"/>
      <c r="BF4" s="217">
        <f t="shared" ref="BF4" si="87">SUM(BG6:BG343)</f>
        <v>0</v>
      </c>
      <c r="BG4" s="314"/>
      <c r="BH4" s="251"/>
      <c r="BI4" s="217">
        <f t="shared" ref="BI4" si="88">SUM(BJ6:BJ343)</f>
        <v>0</v>
      </c>
      <c r="BJ4" s="314"/>
      <c r="BK4" s="251"/>
      <c r="BL4" s="217">
        <f t="shared" ref="BL4" si="89">SUM(BM6:BM343)</f>
        <v>0</v>
      </c>
      <c r="BM4" s="314"/>
      <c r="BN4" s="251"/>
      <c r="BO4" s="217">
        <f t="shared" ref="BO4" si="90">SUM(BP6:BP343)</f>
        <v>0</v>
      </c>
      <c r="BP4" s="314"/>
      <c r="BQ4" s="251"/>
      <c r="BR4" s="217">
        <f t="shared" ref="BR4" si="91">SUM(BS6:BS343)</f>
        <v>0</v>
      </c>
      <c r="BS4" s="314"/>
      <c r="BT4" s="251"/>
      <c r="BU4" s="217">
        <f t="shared" ref="BU4" si="92">SUM(BV6:BV343)</f>
        <v>0</v>
      </c>
      <c r="BV4" s="314"/>
      <c r="BW4" s="251"/>
      <c r="BX4" s="217">
        <f t="shared" ref="BX4" si="93">SUM(BY6:BY343)</f>
        <v>0</v>
      </c>
      <c r="BY4" s="314"/>
      <c r="BZ4" s="251"/>
      <c r="CA4" s="217">
        <f t="shared" ref="CA4" si="94">SUM(CB6:CB343)</f>
        <v>0</v>
      </c>
      <c r="CB4" s="314"/>
      <c r="CC4" s="251"/>
      <c r="CD4" s="217">
        <f t="shared" ref="CD4" si="95">SUM(CE6:CE343)</f>
        <v>0</v>
      </c>
      <c r="CE4" s="314"/>
      <c r="CF4" s="251"/>
      <c r="CG4" s="251"/>
      <c r="CH4" s="251"/>
    </row>
    <row r="5" spans="1:86" ht="21">
      <c r="A5" s="219"/>
      <c r="B5" s="219"/>
      <c r="C5" s="315" t="str">
        <f>+Idiomas!D184&amp;" -&gt;"</f>
        <v>Selecciona el Nº de Jugadores -&gt;</v>
      </c>
      <c r="D5" s="216">
        <v>16</v>
      </c>
      <c r="E5" s="219"/>
      <c r="F5" s="265"/>
      <c r="G5" s="316" t="str">
        <f>+Idiomas!D107</f>
        <v>FASE DE LIGA</v>
      </c>
      <c r="H5" s="317" t="str">
        <f>+Idiomas!D295&amp;" -&gt;"</f>
        <v>Jugador -&gt;</v>
      </c>
      <c r="I5" s="219"/>
      <c r="J5" s="218" t="s">
        <v>141</v>
      </c>
      <c r="K5" s="318"/>
      <c r="L5" s="251">
        <v>1</v>
      </c>
      <c r="M5" s="218" t="s">
        <v>142</v>
      </c>
      <c r="N5" s="318"/>
      <c r="O5" s="251">
        <v>2</v>
      </c>
      <c r="P5" s="218" t="s">
        <v>143</v>
      </c>
      <c r="Q5" s="318"/>
      <c r="R5" s="251">
        <v>3</v>
      </c>
      <c r="S5" s="218" t="s">
        <v>144</v>
      </c>
      <c r="T5" s="318"/>
      <c r="U5" s="251">
        <v>4</v>
      </c>
      <c r="V5" s="218" t="s">
        <v>145</v>
      </c>
      <c r="W5" s="318"/>
      <c r="X5" s="251">
        <v>5</v>
      </c>
      <c r="Y5" s="218" t="s">
        <v>146</v>
      </c>
      <c r="Z5" s="318"/>
      <c r="AA5" s="251">
        <v>6</v>
      </c>
      <c r="AB5" s="218" t="s">
        <v>147</v>
      </c>
      <c r="AC5" s="318"/>
      <c r="AD5" s="251">
        <v>7</v>
      </c>
      <c r="AE5" s="218" t="s">
        <v>148</v>
      </c>
      <c r="AF5" s="318"/>
      <c r="AG5" s="251">
        <v>8</v>
      </c>
      <c r="AH5" s="218" t="s">
        <v>149</v>
      </c>
      <c r="AI5" s="318"/>
      <c r="AJ5" s="251">
        <v>9</v>
      </c>
      <c r="AK5" s="218" t="s">
        <v>150</v>
      </c>
      <c r="AL5" s="318"/>
      <c r="AM5" s="251">
        <v>10</v>
      </c>
      <c r="AN5" s="218" t="s">
        <v>151</v>
      </c>
      <c r="AO5" s="318"/>
      <c r="AP5" s="251">
        <v>11</v>
      </c>
      <c r="AQ5" s="218" t="s">
        <v>152</v>
      </c>
      <c r="AR5" s="318"/>
      <c r="AS5" s="251">
        <v>12</v>
      </c>
      <c r="AT5" s="218" t="s">
        <v>153</v>
      </c>
      <c r="AU5" s="318"/>
      <c r="AV5" s="251">
        <v>13</v>
      </c>
      <c r="AW5" s="218" t="s">
        <v>154</v>
      </c>
      <c r="AX5" s="318"/>
      <c r="AY5" s="251">
        <v>14</v>
      </c>
      <c r="AZ5" s="218" t="s">
        <v>155</v>
      </c>
      <c r="BA5" s="318"/>
      <c r="BB5" s="251">
        <v>15</v>
      </c>
      <c r="BC5" s="218" t="s">
        <v>156</v>
      </c>
      <c r="BD5" s="318"/>
      <c r="BE5" s="251">
        <v>16</v>
      </c>
      <c r="BF5" s="218" t="str">
        <f>+Idiomas!$D$237&amp;BH5</f>
        <v>Nombre J17</v>
      </c>
      <c r="BG5" s="318"/>
      <c r="BH5" s="251">
        <v>17</v>
      </c>
      <c r="BI5" s="218" t="str">
        <f>+Idiomas!$D$237&amp;BK5</f>
        <v>Nombre J18</v>
      </c>
      <c r="BJ5" s="318"/>
      <c r="BK5" s="251">
        <v>18</v>
      </c>
      <c r="BL5" s="218" t="str">
        <f>+Idiomas!$D$237&amp;BN5</f>
        <v>Nombre J19</v>
      </c>
      <c r="BM5" s="318"/>
      <c r="BN5" s="251">
        <v>19</v>
      </c>
      <c r="BO5" s="218" t="str">
        <f>+Idiomas!$D$237&amp;BQ5</f>
        <v>Nombre J20</v>
      </c>
      <c r="BP5" s="318"/>
      <c r="BQ5" s="251">
        <v>20</v>
      </c>
      <c r="BR5" s="218" t="str">
        <f>+Idiomas!$D$237&amp;BT5</f>
        <v>Nombre J21</v>
      </c>
      <c r="BS5" s="318"/>
      <c r="BT5" s="251">
        <v>21</v>
      </c>
      <c r="BU5" s="218" t="str">
        <f>+Idiomas!$D$237&amp;BW5</f>
        <v>Nombre J22</v>
      </c>
      <c r="BV5" s="318"/>
      <c r="BW5" s="251">
        <v>22</v>
      </c>
      <c r="BX5" s="218" t="str">
        <f>+Idiomas!$D$237&amp;BZ5</f>
        <v>Nombre J23</v>
      </c>
      <c r="BY5" s="318"/>
      <c r="BZ5" s="251">
        <v>23</v>
      </c>
      <c r="CA5" s="218" t="str">
        <f>+Idiomas!$D$237&amp;CC5</f>
        <v>Nombre J24</v>
      </c>
      <c r="CB5" s="318"/>
      <c r="CC5" s="251">
        <v>24</v>
      </c>
      <c r="CD5" s="218" t="str">
        <f>+Idiomas!$D$237&amp;CF5</f>
        <v>Nombre J25</v>
      </c>
      <c r="CE5" s="318"/>
      <c r="CF5" s="251">
        <v>25</v>
      </c>
      <c r="CG5" s="251"/>
      <c r="CH5" s="251"/>
    </row>
    <row r="6" spans="1:86" ht="15" customHeight="1">
      <c r="A6" s="219"/>
      <c r="B6" s="219"/>
      <c r="C6" s="219"/>
      <c r="D6" s="219"/>
      <c r="E6" s="219"/>
      <c r="F6" s="562" t="str">
        <f>+Idiomas!D99</f>
        <v>J1</v>
      </c>
      <c r="G6" s="319" t="str">
        <f>CONCATENATE(League!D2,"-",League!K2)</f>
        <v>Athletic Bilbao-Arsenal</v>
      </c>
      <c r="H6" s="320" t="str">
        <f>CONCATENATE(IF(League!G2&gt;League!H2,1,IF(League!G2&lt;League!H2,2,IF(AND(League!G2=League!H2,League!G2&lt;&gt;"",League!H2&lt;&gt;""),"X",0))),"|",League!G2,"-",League!H2)</f>
        <v>2|0-2</v>
      </c>
      <c r="I6" s="219"/>
      <c r="J6" s="451" t="s">
        <v>157</v>
      </c>
      <c r="K6" s="322">
        <f t="shared" ref="K6:K37" si="96">IFERROR(SUM(IF($H6=J6,$D$10),IF(LEFT($H6,1)=LEFT(J6,1),$D$8),IF(MID($H6,FIND("|",$H6)+1,FIND("-",$H6)-FIND("|",$H6)-1)-MID($H6,FIND("-",$H6)+1,11)=MID(J6,FIND("|",J6)+1,FIND("-",J6)-FIND("|",J6)-1)-MID(J6,FIND("-",J6)+1,11),$D$9)),)</f>
        <v>2</v>
      </c>
      <c r="L6" s="251"/>
      <c r="M6" s="321" t="s">
        <v>158</v>
      </c>
      <c r="N6" s="322">
        <f t="shared" ref="N6:BY17" si="97">IFERROR(SUM(IF($H6=M6,$D$10),IF(LEFT($H6,1)=LEFT(M6,1),$D$8),IF(MID($H6,FIND("|",$H6)+1,FIND("-",$H6)-FIND("|",$H6)-1)-MID($H6,FIND("-",$H6)+1,11)=MID(M6,FIND("|",M6)+1,FIND("-",M6)-FIND("|",M6)-1)-MID(M6,FIND("-",M6)+1,11),$D$9)),)</f>
        <v>0</v>
      </c>
      <c r="O6" s="251"/>
      <c r="P6" s="321" t="s">
        <v>159</v>
      </c>
      <c r="Q6" s="322">
        <f t="shared" si="97"/>
        <v>2</v>
      </c>
      <c r="R6" s="251"/>
      <c r="S6" s="321" t="s">
        <v>157</v>
      </c>
      <c r="T6" s="322">
        <f t="shared" si="97"/>
        <v>2</v>
      </c>
      <c r="U6" s="251"/>
      <c r="V6" s="321" t="s">
        <v>158</v>
      </c>
      <c r="W6" s="322">
        <f t="shared" si="97"/>
        <v>0</v>
      </c>
      <c r="X6" s="251"/>
      <c r="Y6" s="321" t="s">
        <v>159</v>
      </c>
      <c r="Z6" s="322">
        <f t="shared" si="97"/>
        <v>2</v>
      </c>
      <c r="AA6" s="251"/>
      <c r="AB6" s="321" t="s">
        <v>160</v>
      </c>
      <c r="AC6" s="322">
        <f t="shared" si="97"/>
        <v>0</v>
      </c>
      <c r="AD6" s="251"/>
      <c r="AE6" s="321" t="s">
        <v>161</v>
      </c>
      <c r="AF6" s="322">
        <f t="shared" si="97"/>
        <v>2</v>
      </c>
      <c r="AG6" s="251"/>
      <c r="AH6" s="321" t="s">
        <v>157</v>
      </c>
      <c r="AI6" s="322">
        <f t="shared" si="97"/>
        <v>2</v>
      </c>
      <c r="AJ6" s="251"/>
      <c r="AK6" s="321" t="s">
        <v>159</v>
      </c>
      <c r="AL6" s="322">
        <f t="shared" si="97"/>
        <v>2</v>
      </c>
      <c r="AM6" s="251"/>
      <c r="AN6" s="321" t="s">
        <v>161</v>
      </c>
      <c r="AO6" s="322">
        <f t="shared" si="97"/>
        <v>2</v>
      </c>
      <c r="AP6" s="251"/>
      <c r="AQ6" s="321" t="s">
        <v>161</v>
      </c>
      <c r="AR6" s="322">
        <f t="shared" si="97"/>
        <v>2</v>
      </c>
      <c r="AS6" s="251"/>
      <c r="AT6" s="321" t="s">
        <v>161</v>
      </c>
      <c r="AU6" s="322">
        <f t="shared" si="97"/>
        <v>2</v>
      </c>
      <c r="AV6" s="251"/>
      <c r="AW6" s="321" t="s">
        <v>161</v>
      </c>
      <c r="AX6" s="322">
        <f t="shared" si="97"/>
        <v>2</v>
      </c>
      <c r="AY6" s="251"/>
      <c r="AZ6" s="533" t="s">
        <v>162</v>
      </c>
      <c r="BA6" s="322">
        <f t="shared" si="97"/>
        <v>5</v>
      </c>
      <c r="BB6" s="251"/>
      <c r="BC6" s="321" t="s">
        <v>161</v>
      </c>
      <c r="BD6" s="322">
        <f t="shared" si="97"/>
        <v>2</v>
      </c>
      <c r="BE6" s="251"/>
      <c r="BF6" s="321" t="str">
        <f>+Idiomas!$D$238</f>
        <v>Pegar Valores (J1)</v>
      </c>
      <c r="BG6" s="322">
        <f t="shared" si="97"/>
        <v>0</v>
      </c>
      <c r="BH6" s="251"/>
      <c r="BI6" s="321" t="str">
        <f>+Idiomas!$D$238</f>
        <v>Pegar Valores (J1)</v>
      </c>
      <c r="BJ6" s="322">
        <f t="shared" si="97"/>
        <v>0</v>
      </c>
      <c r="BK6" s="251"/>
      <c r="BL6" s="321" t="str">
        <f>+Idiomas!$D$238</f>
        <v>Pegar Valores (J1)</v>
      </c>
      <c r="BM6" s="322">
        <f t="shared" si="97"/>
        <v>0</v>
      </c>
      <c r="BN6" s="251"/>
      <c r="BO6" s="321" t="str">
        <f>+Idiomas!$D$238</f>
        <v>Pegar Valores (J1)</v>
      </c>
      <c r="BP6" s="322">
        <f t="shared" si="97"/>
        <v>0</v>
      </c>
      <c r="BQ6" s="251"/>
      <c r="BR6" s="321" t="str">
        <f>+Idiomas!$D$238</f>
        <v>Pegar Valores (J1)</v>
      </c>
      <c r="BS6" s="322">
        <f t="shared" si="97"/>
        <v>0</v>
      </c>
      <c r="BT6" s="251"/>
      <c r="BU6" s="321" t="str">
        <f>+Idiomas!$D$238</f>
        <v>Pegar Valores (J1)</v>
      </c>
      <c r="BV6" s="322">
        <f t="shared" si="97"/>
        <v>0</v>
      </c>
      <c r="BW6" s="251"/>
      <c r="BX6" s="321" t="str">
        <f>+Idiomas!$D$238</f>
        <v>Pegar Valores (J1)</v>
      </c>
      <c r="BY6" s="322">
        <f t="shared" si="97"/>
        <v>0</v>
      </c>
      <c r="BZ6" s="251"/>
      <c r="CA6" s="321" t="str">
        <f>+Idiomas!$D$238</f>
        <v>Pegar Valores (J1)</v>
      </c>
      <c r="CB6" s="322">
        <f t="shared" ref="CB6:CE16" si="98">IFERROR(SUM(IF($H6=CA6,$D$10),IF(LEFT($H6,1)=LEFT(CA6,1),$D$8),IF(MID($H6,FIND("|",$H6)+1,FIND("-",$H6)-FIND("|",$H6)-1)-MID($H6,FIND("-",$H6)+1,11)=MID(CA6,FIND("|",CA6)+1,FIND("-",CA6)-FIND("|",CA6)-1)-MID(CA6,FIND("-",CA6)+1,11),$D$9)),)</f>
        <v>0</v>
      </c>
      <c r="CC6" s="251"/>
      <c r="CD6" s="321" t="str">
        <f>+Idiomas!$D$238</f>
        <v>Pegar Valores (J1)</v>
      </c>
      <c r="CE6" s="322">
        <f t="shared" si="98"/>
        <v>0</v>
      </c>
      <c r="CF6" s="251"/>
      <c r="CG6" s="251"/>
      <c r="CH6" s="251"/>
    </row>
    <row r="7" spans="1:86" ht="15" customHeight="1">
      <c r="A7" s="323"/>
      <c r="B7" s="219"/>
      <c r="C7" s="324" t="str">
        <f>+Idiomas!D186</f>
        <v>Regla*</v>
      </c>
      <c r="D7" s="325" t="str">
        <f>+Idiomas!D187</f>
        <v>Puntos</v>
      </c>
      <c r="E7" s="219"/>
      <c r="F7" s="562"/>
      <c r="G7" s="319" t="str">
        <f>CONCATENATE(League!D3,"-",League!K3)</f>
        <v>PSV Eindhoven-Union Saint-Gilloise</v>
      </c>
      <c r="H7" s="320" t="str">
        <f>CONCATENATE(IF(League!G3&gt;League!H3,1,IF(League!G3&lt;League!H3,2,IF(AND(League!G3=League!H3,League!G3&lt;&gt;"",League!H3&lt;&gt;""),"X",0))),"|",League!G3,"-",League!H3)</f>
        <v>2|1-3</v>
      </c>
      <c r="I7" s="219"/>
      <c r="J7" s="452" t="s">
        <v>163</v>
      </c>
      <c r="K7" s="322">
        <f t="shared" si="96"/>
        <v>0</v>
      </c>
      <c r="L7" s="251"/>
      <c r="M7" s="326" t="s">
        <v>164</v>
      </c>
      <c r="N7" s="322">
        <f t="shared" si="97"/>
        <v>0</v>
      </c>
      <c r="O7" s="251"/>
      <c r="P7" s="326" t="s">
        <v>165</v>
      </c>
      <c r="Q7" s="322">
        <f t="shared" si="97"/>
        <v>0</v>
      </c>
      <c r="R7" s="251"/>
      <c r="S7" s="326" t="s">
        <v>166</v>
      </c>
      <c r="T7" s="322">
        <f t="shared" si="97"/>
        <v>0</v>
      </c>
      <c r="U7" s="251"/>
      <c r="V7" s="326" t="s">
        <v>166</v>
      </c>
      <c r="W7" s="322">
        <f t="shared" si="97"/>
        <v>0</v>
      </c>
      <c r="X7" s="251"/>
      <c r="Y7" s="326" t="s">
        <v>166</v>
      </c>
      <c r="Z7" s="322">
        <f t="shared" si="97"/>
        <v>0</v>
      </c>
      <c r="AA7" s="251"/>
      <c r="AB7" s="326" t="s">
        <v>165</v>
      </c>
      <c r="AC7" s="322">
        <f t="shared" si="97"/>
        <v>0</v>
      </c>
      <c r="AD7" s="251"/>
      <c r="AE7" s="326" t="s">
        <v>167</v>
      </c>
      <c r="AF7" s="322">
        <f t="shared" si="97"/>
        <v>0</v>
      </c>
      <c r="AG7" s="251"/>
      <c r="AH7" s="326" t="s">
        <v>167</v>
      </c>
      <c r="AI7" s="322">
        <f t="shared" si="97"/>
        <v>0</v>
      </c>
      <c r="AJ7" s="251"/>
      <c r="AK7" s="326" t="s">
        <v>167</v>
      </c>
      <c r="AL7" s="322">
        <f t="shared" si="97"/>
        <v>0</v>
      </c>
      <c r="AM7" s="251"/>
      <c r="AN7" s="326" t="s">
        <v>167</v>
      </c>
      <c r="AO7" s="322">
        <f t="shared" si="97"/>
        <v>0</v>
      </c>
      <c r="AP7" s="251"/>
      <c r="AQ7" s="326" t="s">
        <v>166</v>
      </c>
      <c r="AR7" s="322">
        <f t="shared" si="97"/>
        <v>0</v>
      </c>
      <c r="AS7" s="251"/>
      <c r="AT7" s="326" t="s">
        <v>167</v>
      </c>
      <c r="AU7" s="322">
        <f t="shared" si="97"/>
        <v>0</v>
      </c>
      <c r="AV7" s="251"/>
      <c r="AW7" s="326" t="s">
        <v>166</v>
      </c>
      <c r="AX7" s="322">
        <f t="shared" si="97"/>
        <v>0</v>
      </c>
      <c r="AY7" s="251"/>
      <c r="AZ7" s="534" t="s">
        <v>164</v>
      </c>
      <c r="BA7" s="322">
        <f t="shared" si="97"/>
        <v>0</v>
      </c>
      <c r="BB7" s="251"/>
      <c r="BC7" s="326" t="s">
        <v>167</v>
      </c>
      <c r="BD7" s="322">
        <f t="shared" si="97"/>
        <v>0</v>
      </c>
      <c r="BE7" s="251"/>
      <c r="BF7" s="326"/>
      <c r="BG7" s="322">
        <f t="shared" si="97"/>
        <v>0</v>
      </c>
      <c r="BH7" s="251"/>
      <c r="BI7" s="326"/>
      <c r="BJ7" s="322">
        <f t="shared" si="97"/>
        <v>0</v>
      </c>
      <c r="BK7" s="251"/>
      <c r="BL7" s="326"/>
      <c r="BM7" s="322">
        <f t="shared" si="97"/>
        <v>0</v>
      </c>
      <c r="BN7" s="251"/>
      <c r="BO7" s="326"/>
      <c r="BP7" s="322">
        <f t="shared" si="97"/>
        <v>0</v>
      </c>
      <c r="BQ7" s="251"/>
      <c r="BR7" s="326"/>
      <c r="BS7" s="322">
        <f t="shared" si="97"/>
        <v>0</v>
      </c>
      <c r="BT7" s="251"/>
      <c r="BU7" s="326"/>
      <c r="BV7" s="322">
        <f t="shared" si="97"/>
        <v>0</v>
      </c>
      <c r="BW7" s="251"/>
      <c r="BX7" s="326"/>
      <c r="BY7" s="322">
        <f t="shared" si="97"/>
        <v>0</v>
      </c>
      <c r="BZ7" s="251"/>
      <c r="CA7" s="326"/>
      <c r="CB7" s="322">
        <f t="shared" si="98"/>
        <v>0</v>
      </c>
      <c r="CC7" s="251"/>
      <c r="CD7" s="326"/>
      <c r="CE7" s="322">
        <f t="shared" si="98"/>
        <v>0</v>
      </c>
      <c r="CF7" s="251"/>
      <c r="CG7" s="251"/>
      <c r="CH7" s="251"/>
    </row>
    <row r="8" spans="1:86" ht="15" customHeight="1">
      <c r="A8" s="219"/>
      <c r="B8" s="219"/>
      <c r="C8" s="327" t="str">
        <f>+Idiomas!D188</f>
        <v>FASE DE LIGA - Signo 1X2* (local, empate, visitante)</v>
      </c>
      <c r="D8" s="268">
        <v>2</v>
      </c>
      <c r="E8" s="219"/>
      <c r="F8" s="562"/>
      <c r="G8" s="328" t="str">
        <f>CONCATENATE(League!D4,"-",League!K4)</f>
        <v>Juventus-Borussia Dortmund</v>
      </c>
      <c r="H8" s="320" t="str">
        <f>CONCATENATE(IF(League!G4&gt;League!H4,1,IF(League!G4&lt;League!H4,2,IF(AND(League!G4=League!H4,League!G4&lt;&gt;"",League!H4&lt;&gt;""),"X",0))),"|",League!G4,"-",League!H4)</f>
        <v>X|4-4</v>
      </c>
      <c r="I8" s="219"/>
      <c r="J8" s="453" t="s">
        <v>158</v>
      </c>
      <c r="K8" s="322">
        <f t="shared" si="96"/>
        <v>2</v>
      </c>
      <c r="L8" s="251"/>
      <c r="M8" s="329" t="s">
        <v>161</v>
      </c>
      <c r="N8" s="322">
        <f t="shared" si="97"/>
        <v>0</v>
      </c>
      <c r="O8" s="251"/>
      <c r="P8" s="329" t="s">
        <v>166</v>
      </c>
      <c r="Q8" s="322">
        <f t="shared" si="97"/>
        <v>0</v>
      </c>
      <c r="R8" s="251"/>
      <c r="S8" s="329" t="s">
        <v>160</v>
      </c>
      <c r="T8" s="322">
        <f t="shared" si="97"/>
        <v>2</v>
      </c>
      <c r="U8" s="251"/>
      <c r="V8" s="329" t="s">
        <v>168</v>
      </c>
      <c r="W8" s="322">
        <f t="shared" si="97"/>
        <v>2</v>
      </c>
      <c r="X8" s="251"/>
      <c r="Y8" s="329" t="s">
        <v>158</v>
      </c>
      <c r="Z8" s="322">
        <f t="shared" si="97"/>
        <v>2</v>
      </c>
      <c r="AA8" s="251"/>
      <c r="AB8" s="329" t="s">
        <v>161</v>
      </c>
      <c r="AC8" s="322">
        <f t="shared" si="97"/>
        <v>0</v>
      </c>
      <c r="AD8" s="251"/>
      <c r="AE8" s="329" t="s">
        <v>169</v>
      </c>
      <c r="AF8" s="322">
        <f t="shared" si="97"/>
        <v>0</v>
      </c>
      <c r="AG8" s="251"/>
      <c r="AH8" s="329" t="s">
        <v>158</v>
      </c>
      <c r="AI8" s="322">
        <f t="shared" si="97"/>
        <v>2</v>
      </c>
      <c r="AJ8" s="251"/>
      <c r="AK8" s="329" t="s">
        <v>166</v>
      </c>
      <c r="AL8" s="322">
        <f t="shared" si="97"/>
        <v>0</v>
      </c>
      <c r="AM8" s="251"/>
      <c r="AN8" s="329" t="s">
        <v>161</v>
      </c>
      <c r="AO8" s="322">
        <f t="shared" si="97"/>
        <v>0</v>
      </c>
      <c r="AP8" s="251"/>
      <c r="AQ8" s="329" t="s">
        <v>161</v>
      </c>
      <c r="AR8" s="322">
        <f t="shared" si="97"/>
        <v>0</v>
      </c>
      <c r="AS8" s="251"/>
      <c r="AT8" s="329" t="s">
        <v>158</v>
      </c>
      <c r="AU8" s="322">
        <f t="shared" si="97"/>
        <v>2</v>
      </c>
      <c r="AV8" s="251"/>
      <c r="AW8" s="329" t="s">
        <v>166</v>
      </c>
      <c r="AX8" s="322">
        <f t="shared" si="97"/>
        <v>0</v>
      </c>
      <c r="AY8" s="251"/>
      <c r="AZ8" s="535" t="s">
        <v>160</v>
      </c>
      <c r="BA8" s="322">
        <f t="shared" si="97"/>
        <v>2</v>
      </c>
      <c r="BB8" s="251"/>
      <c r="BC8" s="329" t="s">
        <v>160</v>
      </c>
      <c r="BD8" s="322">
        <f t="shared" si="97"/>
        <v>2</v>
      </c>
      <c r="BE8" s="251"/>
      <c r="BF8" s="329"/>
      <c r="BG8" s="322">
        <f t="shared" si="97"/>
        <v>0</v>
      </c>
      <c r="BH8" s="251"/>
      <c r="BI8" s="329"/>
      <c r="BJ8" s="322">
        <f t="shared" si="97"/>
        <v>0</v>
      </c>
      <c r="BK8" s="251"/>
      <c r="BL8" s="329"/>
      <c r="BM8" s="322">
        <f t="shared" si="97"/>
        <v>0</v>
      </c>
      <c r="BN8" s="251"/>
      <c r="BO8" s="329"/>
      <c r="BP8" s="322">
        <f t="shared" si="97"/>
        <v>0</v>
      </c>
      <c r="BQ8" s="251"/>
      <c r="BR8" s="329"/>
      <c r="BS8" s="322">
        <f t="shared" si="97"/>
        <v>0</v>
      </c>
      <c r="BT8" s="251"/>
      <c r="BU8" s="329"/>
      <c r="BV8" s="322">
        <f t="shared" si="97"/>
        <v>0</v>
      </c>
      <c r="BW8" s="251"/>
      <c r="BX8" s="329"/>
      <c r="BY8" s="322">
        <f t="shared" si="97"/>
        <v>0</v>
      </c>
      <c r="BZ8" s="251"/>
      <c r="CA8" s="329"/>
      <c r="CB8" s="322">
        <f t="shared" si="98"/>
        <v>0</v>
      </c>
      <c r="CC8" s="251"/>
      <c r="CD8" s="329"/>
      <c r="CE8" s="322">
        <f t="shared" si="98"/>
        <v>0</v>
      </c>
      <c r="CF8" s="251"/>
      <c r="CG8" s="251"/>
      <c r="CH8" s="251"/>
    </row>
    <row r="9" spans="1:86" ht="15" customHeight="1">
      <c r="A9" s="219"/>
      <c r="B9" s="219"/>
      <c r="C9" s="330" t="str">
        <f>+Idiomas!D189</f>
        <v>FASE DE LIGA -Diferencia de goles</v>
      </c>
      <c r="D9" s="269">
        <v>0</v>
      </c>
      <c r="E9" s="219"/>
      <c r="F9" s="562"/>
      <c r="G9" s="319" t="str">
        <f>CONCATENATE(League!D5,"-",League!K5)</f>
        <v>Real Madrid-Marseille</v>
      </c>
      <c r="H9" s="320" t="str">
        <f>CONCATENATE(IF(League!G5&gt;League!H5,1,IF(League!G5&lt;League!H5,2,IF(AND(League!G5=League!H5,League!G5&lt;&gt;"",League!H5&lt;&gt;""),"X",0))),"|",League!G5,"-",League!H5)</f>
        <v>1|2-1</v>
      </c>
      <c r="I9" s="219"/>
      <c r="J9" s="454" t="s">
        <v>170</v>
      </c>
      <c r="K9" s="322">
        <f t="shared" si="96"/>
        <v>2</v>
      </c>
      <c r="L9" s="251"/>
      <c r="M9" s="331" t="s">
        <v>164</v>
      </c>
      <c r="N9" s="322">
        <f t="shared" si="97"/>
        <v>2</v>
      </c>
      <c r="O9" s="251"/>
      <c r="P9" s="331" t="s">
        <v>171</v>
      </c>
      <c r="Q9" s="322">
        <f t="shared" si="97"/>
        <v>2</v>
      </c>
      <c r="R9" s="251"/>
      <c r="S9" s="331" t="s">
        <v>167</v>
      </c>
      <c r="T9" s="322">
        <f t="shared" si="97"/>
        <v>2</v>
      </c>
      <c r="U9" s="251"/>
      <c r="V9" s="331" t="s">
        <v>170</v>
      </c>
      <c r="W9" s="322">
        <f t="shared" si="97"/>
        <v>2</v>
      </c>
      <c r="X9" s="251"/>
      <c r="Y9" s="331" t="s">
        <v>166</v>
      </c>
      <c r="Z9" s="322">
        <f t="shared" si="97"/>
        <v>5</v>
      </c>
      <c r="AA9" s="251"/>
      <c r="AB9" s="331" t="s">
        <v>170</v>
      </c>
      <c r="AC9" s="322">
        <f t="shared" si="97"/>
        <v>2</v>
      </c>
      <c r="AD9" s="251"/>
      <c r="AE9" s="331" t="s">
        <v>170</v>
      </c>
      <c r="AF9" s="322">
        <f t="shared" si="97"/>
        <v>2</v>
      </c>
      <c r="AG9" s="251"/>
      <c r="AH9" s="331" t="s">
        <v>167</v>
      </c>
      <c r="AI9" s="322">
        <f t="shared" si="97"/>
        <v>2</v>
      </c>
      <c r="AJ9" s="251"/>
      <c r="AK9" s="331" t="s">
        <v>163</v>
      </c>
      <c r="AL9" s="322">
        <f t="shared" si="97"/>
        <v>2</v>
      </c>
      <c r="AM9" s="251"/>
      <c r="AN9" s="331" t="s">
        <v>170</v>
      </c>
      <c r="AO9" s="322">
        <f t="shared" si="97"/>
        <v>2</v>
      </c>
      <c r="AP9" s="251"/>
      <c r="AQ9" s="331" t="s">
        <v>170</v>
      </c>
      <c r="AR9" s="322">
        <f t="shared" si="97"/>
        <v>2</v>
      </c>
      <c r="AS9" s="251"/>
      <c r="AT9" s="331" t="s">
        <v>170</v>
      </c>
      <c r="AU9" s="322">
        <f t="shared" si="97"/>
        <v>2</v>
      </c>
      <c r="AV9" s="251"/>
      <c r="AW9" s="331" t="s">
        <v>170</v>
      </c>
      <c r="AX9" s="322">
        <f t="shared" si="97"/>
        <v>2</v>
      </c>
      <c r="AY9" s="251"/>
      <c r="AZ9" s="536" t="s">
        <v>166</v>
      </c>
      <c r="BA9" s="322">
        <f t="shared" si="97"/>
        <v>5</v>
      </c>
      <c r="BB9" s="251"/>
      <c r="BC9" s="331" t="s">
        <v>165</v>
      </c>
      <c r="BD9" s="322">
        <f t="shared" si="97"/>
        <v>2</v>
      </c>
      <c r="BE9" s="251"/>
      <c r="BF9" s="331"/>
      <c r="BG9" s="322">
        <f t="shared" si="97"/>
        <v>0</v>
      </c>
      <c r="BH9" s="251"/>
      <c r="BI9" s="331"/>
      <c r="BJ9" s="322">
        <f t="shared" si="97"/>
        <v>0</v>
      </c>
      <c r="BK9" s="251"/>
      <c r="BL9" s="331"/>
      <c r="BM9" s="322">
        <f t="shared" si="97"/>
        <v>0</v>
      </c>
      <c r="BN9" s="251"/>
      <c r="BO9" s="331"/>
      <c r="BP9" s="322">
        <f t="shared" si="97"/>
        <v>0</v>
      </c>
      <c r="BQ9" s="251"/>
      <c r="BR9" s="331"/>
      <c r="BS9" s="322">
        <f t="shared" si="97"/>
        <v>0</v>
      </c>
      <c r="BT9" s="251"/>
      <c r="BU9" s="331"/>
      <c r="BV9" s="322">
        <f t="shared" si="97"/>
        <v>0</v>
      </c>
      <c r="BW9" s="251"/>
      <c r="BX9" s="331"/>
      <c r="BY9" s="322">
        <f t="shared" si="97"/>
        <v>0</v>
      </c>
      <c r="BZ9" s="251"/>
      <c r="CA9" s="331"/>
      <c r="CB9" s="322">
        <f t="shared" si="98"/>
        <v>0</v>
      </c>
      <c r="CC9" s="251"/>
      <c r="CD9" s="331"/>
      <c r="CE9" s="322">
        <f t="shared" si="98"/>
        <v>0</v>
      </c>
      <c r="CF9" s="251"/>
      <c r="CG9" s="251"/>
      <c r="CH9" s="251"/>
    </row>
    <row r="10" spans="1:86" ht="15" customHeight="1">
      <c r="A10" s="219"/>
      <c r="B10" s="219"/>
      <c r="C10" s="327" t="str">
        <f>+Idiomas!D190</f>
        <v>FASE DE LIGA - Resultado exacto</v>
      </c>
      <c r="D10" s="268">
        <v>3</v>
      </c>
      <c r="E10" s="219"/>
      <c r="F10" s="562"/>
      <c r="G10" s="328" t="str">
        <f>CONCATENATE(League!D6,"-",League!K6)</f>
        <v>Benfica-Qarabağ</v>
      </c>
      <c r="H10" s="320" t="str">
        <f>CONCATENATE(IF(League!G6&gt;League!H6,1,IF(League!G6&lt;League!H6,2,IF(AND(League!G6=League!H6,League!G6&lt;&gt;"",League!H6&lt;&gt;""),"X",0))),"|",League!G6,"-",League!H6)</f>
        <v>2|2-3</v>
      </c>
      <c r="I10" s="219"/>
      <c r="J10" s="452" t="s">
        <v>172</v>
      </c>
      <c r="K10" s="322">
        <f t="shared" si="96"/>
        <v>0</v>
      </c>
      <c r="L10" s="251"/>
      <c r="M10" s="326" t="s">
        <v>167</v>
      </c>
      <c r="N10" s="322">
        <f t="shared" si="97"/>
        <v>0</v>
      </c>
      <c r="O10" s="251"/>
      <c r="P10" s="326" t="s">
        <v>167</v>
      </c>
      <c r="Q10" s="322">
        <f t="shared" si="97"/>
        <v>0</v>
      </c>
      <c r="R10" s="251"/>
      <c r="S10" s="326" t="s">
        <v>164</v>
      </c>
      <c r="T10" s="322">
        <f t="shared" si="97"/>
        <v>0</v>
      </c>
      <c r="U10" s="251"/>
      <c r="V10" s="326" t="s">
        <v>160</v>
      </c>
      <c r="W10" s="322">
        <f t="shared" si="97"/>
        <v>0</v>
      </c>
      <c r="X10" s="251"/>
      <c r="Y10" s="326" t="s">
        <v>163</v>
      </c>
      <c r="Z10" s="322">
        <f t="shared" si="97"/>
        <v>0</v>
      </c>
      <c r="AA10" s="251"/>
      <c r="AB10" s="326" t="s">
        <v>165</v>
      </c>
      <c r="AC10" s="322">
        <f t="shared" si="97"/>
        <v>0</v>
      </c>
      <c r="AD10" s="251"/>
      <c r="AE10" s="326" t="s">
        <v>171</v>
      </c>
      <c r="AF10" s="322">
        <f t="shared" si="97"/>
        <v>0</v>
      </c>
      <c r="AG10" s="251"/>
      <c r="AH10" s="326" t="s">
        <v>163</v>
      </c>
      <c r="AI10" s="322">
        <f t="shared" si="97"/>
        <v>0</v>
      </c>
      <c r="AJ10" s="251"/>
      <c r="AK10" s="326" t="s">
        <v>165</v>
      </c>
      <c r="AL10" s="322">
        <f t="shared" si="97"/>
        <v>0</v>
      </c>
      <c r="AM10" s="251"/>
      <c r="AN10" s="326" t="s">
        <v>165</v>
      </c>
      <c r="AO10" s="322">
        <f t="shared" si="97"/>
        <v>0</v>
      </c>
      <c r="AP10" s="251"/>
      <c r="AQ10" s="326" t="s">
        <v>167</v>
      </c>
      <c r="AR10" s="322">
        <f t="shared" si="97"/>
        <v>0</v>
      </c>
      <c r="AS10" s="251"/>
      <c r="AT10" s="326" t="s">
        <v>167</v>
      </c>
      <c r="AU10" s="322">
        <f t="shared" si="97"/>
        <v>0</v>
      </c>
      <c r="AV10" s="251"/>
      <c r="AW10" s="326" t="s">
        <v>165</v>
      </c>
      <c r="AX10" s="322">
        <f t="shared" si="97"/>
        <v>0</v>
      </c>
      <c r="AY10" s="251"/>
      <c r="AZ10" s="534" t="s">
        <v>167</v>
      </c>
      <c r="BA10" s="322">
        <f t="shared" si="97"/>
        <v>0</v>
      </c>
      <c r="BB10" s="251"/>
      <c r="BC10" s="326" t="s">
        <v>167</v>
      </c>
      <c r="BD10" s="322">
        <f t="shared" si="97"/>
        <v>0</v>
      </c>
      <c r="BE10" s="251"/>
      <c r="BF10" s="326"/>
      <c r="BG10" s="322">
        <f t="shared" si="97"/>
        <v>0</v>
      </c>
      <c r="BH10" s="251"/>
      <c r="BI10" s="326"/>
      <c r="BJ10" s="322">
        <f t="shared" si="97"/>
        <v>0</v>
      </c>
      <c r="BK10" s="251"/>
      <c r="BL10" s="326"/>
      <c r="BM10" s="322">
        <f t="shared" si="97"/>
        <v>0</v>
      </c>
      <c r="BN10" s="251"/>
      <c r="BO10" s="326"/>
      <c r="BP10" s="322">
        <f t="shared" si="97"/>
        <v>0</v>
      </c>
      <c r="BQ10" s="251"/>
      <c r="BR10" s="326"/>
      <c r="BS10" s="322">
        <f t="shared" si="97"/>
        <v>0</v>
      </c>
      <c r="BT10" s="251"/>
      <c r="BU10" s="326"/>
      <c r="BV10" s="322">
        <f t="shared" si="97"/>
        <v>0</v>
      </c>
      <c r="BW10" s="251"/>
      <c r="BX10" s="326"/>
      <c r="BY10" s="322">
        <f t="shared" si="97"/>
        <v>0</v>
      </c>
      <c r="BZ10" s="251"/>
      <c r="CA10" s="326"/>
      <c r="CB10" s="322">
        <f t="shared" si="98"/>
        <v>0</v>
      </c>
      <c r="CC10" s="251"/>
      <c r="CD10" s="326"/>
      <c r="CE10" s="322">
        <f t="shared" si="98"/>
        <v>0</v>
      </c>
      <c r="CF10" s="251"/>
      <c r="CG10" s="251"/>
      <c r="CH10" s="251"/>
    </row>
    <row r="11" spans="1:86" ht="15" customHeight="1">
      <c r="A11" s="219"/>
      <c r="B11" s="219"/>
      <c r="C11" s="330" t="str">
        <f>+Idiomas!D191</f>
        <v>FASE DE LIGA - Posición exacta</v>
      </c>
      <c r="D11" s="269">
        <v>5</v>
      </c>
      <c r="E11" s="219"/>
      <c r="F11" s="562"/>
      <c r="G11" s="319" t="str">
        <f>CONCATENATE(League!D7,"-",League!K7)</f>
        <v>Tottenham-Villarreal</v>
      </c>
      <c r="H11" s="320" t="str">
        <f>CONCATENATE(IF(League!G7&gt;League!H7,1,IF(League!G7&lt;League!H7,2,IF(AND(League!G7=League!H7,League!G7&lt;&gt;"",League!H7&lt;&gt;""),"X",0))),"|",League!G7,"-",League!H7)</f>
        <v>1|1-0</v>
      </c>
      <c r="I11" s="219"/>
      <c r="J11" s="452" t="s">
        <v>170</v>
      </c>
      <c r="K11" s="322">
        <f t="shared" si="96"/>
        <v>2</v>
      </c>
      <c r="L11" s="251"/>
      <c r="M11" s="326" t="s">
        <v>170</v>
      </c>
      <c r="N11" s="322">
        <f t="shared" si="97"/>
        <v>2</v>
      </c>
      <c r="O11" s="251"/>
      <c r="P11" s="326" t="s">
        <v>170</v>
      </c>
      <c r="Q11" s="322">
        <f t="shared" si="97"/>
        <v>2</v>
      </c>
      <c r="R11" s="251"/>
      <c r="S11" s="326" t="s">
        <v>173</v>
      </c>
      <c r="T11" s="322">
        <f t="shared" si="97"/>
        <v>0</v>
      </c>
      <c r="U11" s="251"/>
      <c r="V11" s="326" t="s">
        <v>157</v>
      </c>
      <c r="W11" s="322">
        <f t="shared" si="97"/>
        <v>0</v>
      </c>
      <c r="X11" s="251"/>
      <c r="Y11" s="326" t="s">
        <v>170</v>
      </c>
      <c r="Z11" s="322">
        <f t="shared" si="97"/>
        <v>2</v>
      </c>
      <c r="AA11" s="251"/>
      <c r="AB11" s="326" t="s">
        <v>166</v>
      </c>
      <c r="AC11" s="322">
        <f t="shared" si="97"/>
        <v>2</v>
      </c>
      <c r="AD11" s="251"/>
      <c r="AE11" s="326" t="s">
        <v>173</v>
      </c>
      <c r="AF11" s="322">
        <f t="shared" si="97"/>
        <v>0</v>
      </c>
      <c r="AG11" s="251"/>
      <c r="AH11" s="326" t="s">
        <v>170</v>
      </c>
      <c r="AI11" s="322">
        <f t="shared" si="97"/>
        <v>2</v>
      </c>
      <c r="AJ11" s="251"/>
      <c r="AK11" s="326" t="s">
        <v>167</v>
      </c>
      <c r="AL11" s="322">
        <f t="shared" si="97"/>
        <v>2</v>
      </c>
      <c r="AM11" s="251"/>
      <c r="AN11" s="326" t="s">
        <v>160</v>
      </c>
      <c r="AO11" s="322">
        <f t="shared" si="97"/>
        <v>0</v>
      </c>
      <c r="AP11" s="251"/>
      <c r="AQ11" s="326" t="s">
        <v>166</v>
      </c>
      <c r="AR11" s="322">
        <f t="shared" si="97"/>
        <v>2</v>
      </c>
      <c r="AS11" s="251"/>
      <c r="AT11" s="326" t="s">
        <v>160</v>
      </c>
      <c r="AU11" s="322">
        <f t="shared" si="97"/>
        <v>0</v>
      </c>
      <c r="AV11" s="251"/>
      <c r="AW11" s="326" t="s">
        <v>167</v>
      </c>
      <c r="AX11" s="322">
        <f t="shared" si="97"/>
        <v>2</v>
      </c>
      <c r="AY11" s="251"/>
      <c r="AZ11" s="534" t="s">
        <v>171</v>
      </c>
      <c r="BA11" s="322">
        <f t="shared" si="97"/>
        <v>2</v>
      </c>
      <c r="BB11" s="251"/>
      <c r="BC11" s="326" t="s">
        <v>160</v>
      </c>
      <c r="BD11" s="322">
        <f t="shared" si="97"/>
        <v>0</v>
      </c>
      <c r="BE11" s="251"/>
      <c r="BF11" s="326"/>
      <c r="BG11" s="322">
        <f t="shared" si="97"/>
        <v>0</v>
      </c>
      <c r="BH11" s="251"/>
      <c r="BI11" s="326"/>
      <c r="BJ11" s="322">
        <f t="shared" si="97"/>
        <v>0</v>
      </c>
      <c r="BK11" s="251"/>
      <c r="BL11" s="326"/>
      <c r="BM11" s="322">
        <f t="shared" si="97"/>
        <v>0</v>
      </c>
      <c r="BN11" s="251"/>
      <c r="BO11" s="326"/>
      <c r="BP11" s="322">
        <f t="shared" si="97"/>
        <v>0</v>
      </c>
      <c r="BQ11" s="251"/>
      <c r="BR11" s="326"/>
      <c r="BS11" s="322">
        <f t="shared" si="97"/>
        <v>0</v>
      </c>
      <c r="BT11" s="251"/>
      <c r="BU11" s="326"/>
      <c r="BV11" s="322">
        <f t="shared" si="97"/>
        <v>0</v>
      </c>
      <c r="BW11" s="251"/>
      <c r="BX11" s="326"/>
      <c r="BY11" s="322">
        <f t="shared" si="97"/>
        <v>0</v>
      </c>
      <c r="BZ11" s="251"/>
      <c r="CA11" s="326"/>
      <c r="CB11" s="322">
        <f t="shared" si="98"/>
        <v>0</v>
      </c>
      <c r="CC11" s="251"/>
      <c r="CD11" s="326"/>
      <c r="CE11" s="322">
        <f t="shared" si="98"/>
        <v>0</v>
      </c>
      <c r="CF11" s="251"/>
      <c r="CG11" s="251"/>
      <c r="CH11" s="251"/>
    </row>
    <row r="12" spans="1:86" ht="15" customHeight="1">
      <c r="A12" s="219"/>
      <c r="B12" s="219"/>
      <c r="C12" s="327" t="str">
        <f>+Idiomas!D193</f>
        <v>Equipo clasificado para OCTAVOS (Desde Fase de Liga)</v>
      </c>
      <c r="D12" s="268">
        <v>4</v>
      </c>
      <c r="E12" s="219"/>
      <c r="F12" s="562"/>
      <c r="G12" s="328" t="str">
        <f>CONCATENATE(League!D8,"-",League!K8)</f>
        <v>Olympiakos-Pafos</v>
      </c>
      <c r="H12" s="320" t="str">
        <f>CONCATENATE(IF(League!G8&gt;League!H8,1,IF(League!G8&lt;League!H8,2,IF(AND(League!G8=League!H8,League!G8&lt;&gt;"",League!H8&lt;&gt;""),"X",0))),"|",League!G8,"-",League!H8)</f>
        <v>X|0-0</v>
      </c>
      <c r="I12" s="219"/>
      <c r="J12" s="452" t="s">
        <v>167</v>
      </c>
      <c r="K12" s="322">
        <f t="shared" si="96"/>
        <v>0</v>
      </c>
      <c r="L12" s="251"/>
      <c r="M12" s="326" t="s">
        <v>168</v>
      </c>
      <c r="N12" s="322">
        <f t="shared" si="97"/>
        <v>5</v>
      </c>
      <c r="O12" s="251"/>
      <c r="P12" s="326" t="s">
        <v>170</v>
      </c>
      <c r="Q12" s="322">
        <f t="shared" si="97"/>
        <v>0</v>
      </c>
      <c r="R12" s="251"/>
      <c r="S12" s="326" t="s">
        <v>170</v>
      </c>
      <c r="T12" s="322">
        <f t="shared" si="97"/>
        <v>0</v>
      </c>
      <c r="U12" s="251"/>
      <c r="V12" s="326" t="s">
        <v>158</v>
      </c>
      <c r="W12" s="322">
        <f t="shared" si="97"/>
        <v>2</v>
      </c>
      <c r="X12" s="251"/>
      <c r="Y12" s="326" t="s">
        <v>165</v>
      </c>
      <c r="Z12" s="322">
        <f t="shared" si="97"/>
        <v>0</v>
      </c>
      <c r="AA12" s="251"/>
      <c r="AB12" s="326" t="s">
        <v>163</v>
      </c>
      <c r="AC12" s="322">
        <f t="shared" si="97"/>
        <v>0</v>
      </c>
      <c r="AD12" s="251"/>
      <c r="AE12" s="326" t="s">
        <v>160</v>
      </c>
      <c r="AF12" s="322">
        <f t="shared" si="97"/>
        <v>2</v>
      </c>
      <c r="AG12" s="251"/>
      <c r="AH12" s="326" t="s">
        <v>167</v>
      </c>
      <c r="AI12" s="322">
        <f t="shared" si="97"/>
        <v>0</v>
      </c>
      <c r="AJ12" s="251"/>
      <c r="AK12" s="326" t="s">
        <v>167</v>
      </c>
      <c r="AL12" s="322">
        <f t="shared" si="97"/>
        <v>0</v>
      </c>
      <c r="AM12" s="251"/>
      <c r="AN12" s="326" t="s">
        <v>166</v>
      </c>
      <c r="AO12" s="322">
        <f t="shared" si="97"/>
        <v>0</v>
      </c>
      <c r="AP12" s="251"/>
      <c r="AQ12" s="326" t="s">
        <v>165</v>
      </c>
      <c r="AR12" s="322">
        <f t="shared" si="97"/>
        <v>0</v>
      </c>
      <c r="AS12" s="251"/>
      <c r="AT12" s="326" t="s">
        <v>158</v>
      </c>
      <c r="AU12" s="322">
        <f t="shared" si="97"/>
        <v>2</v>
      </c>
      <c r="AV12" s="251"/>
      <c r="AW12" s="326" t="s">
        <v>167</v>
      </c>
      <c r="AX12" s="322">
        <f t="shared" si="97"/>
        <v>0</v>
      </c>
      <c r="AY12" s="251"/>
      <c r="AZ12" s="534" t="s">
        <v>165</v>
      </c>
      <c r="BA12" s="322">
        <f t="shared" si="97"/>
        <v>0</v>
      </c>
      <c r="BB12" s="251"/>
      <c r="BC12" s="326" t="s">
        <v>170</v>
      </c>
      <c r="BD12" s="322">
        <f t="shared" si="97"/>
        <v>0</v>
      </c>
      <c r="BE12" s="251"/>
      <c r="BF12" s="326"/>
      <c r="BG12" s="322">
        <f t="shared" si="97"/>
        <v>0</v>
      </c>
      <c r="BH12" s="251"/>
      <c r="BI12" s="326"/>
      <c r="BJ12" s="322">
        <f t="shared" si="97"/>
        <v>0</v>
      </c>
      <c r="BK12" s="251"/>
      <c r="BL12" s="326"/>
      <c r="BM12" s="322">
        <f t="shared" si="97"/>
        <v>0</v>
      </c>
      <c r="BN12" s="251"/>
      <c r="BO12" s="326"/>
      <c r="BP12" s="322">
        <f t="shared" si="97"/>
        <v>0</v>
      </c>
      <c r="BQ12" s="251"/>
      <c r="BR12" s="326"/>
      <c r="BS12" s="322">
        <f t="shared" si="97"/>
        <v>0</v>
      </c>
      <c r="BT12" s="251"/>
      <c r="BU12" s="326"/>
      <c r="BV12" s="322">
        <f t="shared" si="97"/>
        <v>0</v>
      </c>
      <c r="BW12" s="251"/>
      <c r="BX12" s="326"/>
      <c r="BY12" s="322">
        <f t="shared" si="97"/>
        <v>0</v>
      </c>
      <c r="BZ12" s="251"/>
      <c r="CA12" s="326"/>
      <c r="CB12" s="322">
        <f t="shared" si="98"/>
        <v>0</v>
      </c>
      <c r="CC12" s="251"/>
      <c r="CD12" s="326"/>
      <c r="CE12" s="322">
        <f t="shared" si="98"/>
        <v>0</v>
      </c>
      <c r="CF12" s="251"/>
      <c r="CG12" s="251"/>
      <c r="CH12" s="251"/>
    </row>
    <row r="13" spans="1:86" ht="15" customHeight="1">
      <c r="A13" s="219"/>
      <c r="B13" s="219"/>
      <c r="C13" s="332" t="str">
        <f>+Idiomas!D192</f>
        <v>Equipo clasificado para PLAYOFFS</v>
      </c>
      <c r="D13" s="270">
        <v>4</v>
      </c>
      <c r="E13" s="219"/>
      <c r="F13" s="562"/>
      <c r="G13" s="319" t="str">
        <f>CONCATENATE(League!D9,"-",League!K9)</f>
        <v>Slavia Praha-Bodø/Glimt</v>
      </c>
      <c r="H13" s="320" t="str">
        <f>CONCATENATE(IF(League!G9&gt;League!H9,1,IF(League!G9&lt;League!H9,2,IF(AND(League!G9=League!H9,League!G9&lt;&gt;"",League!H9&lt;&gt;""),"X",0))),"|",League!G9,"-",League!H9)</f>
        <v>X|2-2</v>
      </c>
      <c r="I13" s="219"/>
      <c r="J13" s="452" t="s">
        <v>160</v>
      </c>
      <c r="K13" s="322">
        <f t="shared" si="96"/>
        <v>5</v>
      </c>
      <c r="L13" s="251"/>
      <c r="M13" s="326" t="s">
        <v>161</v>
      </c>
      <c r="N13" s="322">
        <f t="shared" si="97"/>
        <v>0</v>
      </c>
      <c r="O13" s="251"/>
      <c r="P13" s="326" t="s">
        <v>167</v>
      </c>
      <c r="Q13" s="322">
        <f t="shared" si="97"/>
        <v>0</v>
      </c>
      <c r="R13" s="251"/>
      <c r="S13" s="326" t="s">
        <v>158</v>
      </c>
      <c r="T13" s="322">
        <f t="shared" si="97"/>
        <v>2</v>
      </c>
      <c r="U13" s="251"/>
      <c r="V13" s="326" t="s">
        <v>166</v>
      </c>
      <c r="W13" s="322">
        <f t="shared" si="97"/>
        <v>0</v>
      </c>
      <c r="X13" s="251"/>
      <c r="Y13" s="326" t="s">
        <v>160</v>
      </c>
      <c r="Z13" s="322">
        <f t="shared" si="97"/>
        <v>5</v>
      </c>
      <c r="AA13" s="251"/>
      <c r="AB13" s="326" t="s">
        <v>170</v>
      </c>
      <c r="AC13" s="322">
        <f t="shared" si="97"/>
        <v>0</v>
      </c>
      <c r="AD13" s="251"/>
      <c r="AE13" s="326" t="s">
        <v>162</v>
      </c>
      <c r="AF13" s="322">
        <f t="shared" si="97"/>
        <v>0</v>
      </c>
      <c r="AG13" s="251"/>
      <c r="AH13" s="326" t="s">
        <v>160</v>
      </c>
      <c r="AI13" s="322">
        <f t="shared" si="97"/>
        <v>5</v>
      </c>
      <c r="AJ13" s="251"/>
      <c r="AK13" s="326" t="s">
        <v>167</v>
      </c>
      <c r="AL13" s="322">
        <f t="shared" si="97"/>
        <v>0</v>
      </c>
      <c r="AM13" s="251"/>
      <c r="AN13" s="326" t="s">
        <v>161</v>
      </c>
      <c r="AO13" s="322">
        <f t="shared" si="97"/>
        <v>0</v>
      </c>
      <c r="AP13" s="251"/>
      <c r="AQ13" s="326" t="s">
        <v>158</v>
      </c>
      <c r="AR13" s="322">
        <f t="shared" si="97"/>
        <v>2</v>
      </c>
      <c r="AS13" s="251"/>
      <c r="AT13" s="326" t="s">
        <v>174</v>
      </c>
      <c r="AU13" s="322">
        <f t="shared" si="97"/>
        <v>0</v>
      </c>
      <c r="AV13" s="251"/>
      <c r="AW13" s="326" t="s">
        <v>158</v>
      </c>
      <c r="AX13" s="322">
        <f t="shared" si="97"/>
        <v>2</v>
      </c>
      <c r="AY13" s="251"/>
      <c r="AZ13" s="534" t="s">
        <v>167</v>
      </c>
      <c r="BA13" s="322">
        <f t="shared" si="97"/>
        <v>0</v>
      </c>
      <c r="BB13" s="251"/>
      <c r="BC13" s="326" t="s">
        <v>164</v>
      </c>
      <c r="BD13" s="322">
        <f t="shared" si="97"/>
        <v>0</v>
      </c>
      <c r="BE13" s="251"/>
      <c r="BF13" s="326"/>
      <c r="BG13" s="322">
        <f t="shared" si="97"/>
        <v>0</v>
      </c>
      <c r="BH13" s="251"/>
      <c r="BI13" s="326"/>
      <c r="BJ13" s="322">
        <f t="shared" si="97"/>
        <v>0</v>
      </c>
      <c r="BK13" s="251"/>
      <c r="BL13" s="326"/>
      <c r="BM13" s="322">
        <f t="shared" si="97"/>
        <v>0</v>
      </c>
      <c r="BN13" s="251"/>
      <c r="BO13" s="326"/>
      <c r="BP13" s="322">
        <f t="shared" si="97"/>
        <v>0</v>
      </c>
      <c r="BQ13" s="251"/>
      <c r="BR13" s="326"/>
      <c r="BS13" s="322">
        <f t="shared" si="97"/>
        <v>0</v>
      </c>
      <c r="BT13" s="251"/>
      <c r="BU13" s="326"/>
      <c r="BV13" s="322">
        <f t="shared" si="97"/>
        <v>0</v>
      </c>
      <c r="BW13" s="251"/>
      <c r="BX13" s="326"/>
      <c r="BY13" s="322">
        <f t="shared" si="97"/>
        <v>0</v>
      </c>
      <c r="BZ13" s="251"/>
      <c r="CA13" s="326"/>
      <c r="CB13" s="322">
        <f t="shared" si="98"/>
        <v>0</v>
      </c>
      <c r="CC13" s="251"/>
      <c r="CD13" s="326"/>
      <c r="CE13" s="322">
        <f t="shared" si="98"/>
        <v>0</v>
      </c>
      <c r="CF13" s="251"/>
      <c r="CG13" s="251"/>
      <c r="CH13" s="251"/>
    </row>
    <row r="14" spans="1:86" ht="15" customHeight="1">
      <c r="A14" s="219"/>
      <c r="B14" s="219"/>
      <c r="C14" s="327" t="str">
        <f>+Idiomas!D196</f>
        <v>PLAYOFFS - Signo 1X2  (local, empate, visitante)</v>
      </c>
      <c r="D14" s="268">
        <v>0</v>
      </c>
      <c r="E14" s="219"/>
      <c r="F14" s="562"/>
      <c r="G14" s="328" t="str">
        <f>CONCATENATE(League!D10,"-",League!K10)</f>
        <v>Ajax-Inter Milan</v>
      </c>
      <c r="H14" s="320" t="str">
        <f>CONCATENATE(IF(League!G10&gt;League!H10,1,IF(League!G10&lt;League!H10,2,IF(AND(League!G10=League!H10,League!G10&lt;&gt;"",League!H10&lt;&gt;""),"X",0))),"|",League!G10,"-",League!H10)</f>
        <v>2|0-2</v>
      </c>
      <c r="I14" s="219"/>
      <c r="J14" s="452" t="s">
        <v>158</v>
      </c>
      <c r="K14" s="322">
        <f t="shared" si="96"/>
        <v>0</v>
      </c>
      <c r="L14" s="251"/>
      <c r="M14" s="326" t="s">
        <v>157</v>
      </c>
      <c r="N14" s="322">
        <f t="shared" si="97"/>
        <v>2</v>
      </c>
      <c r="O14" s="251"/>
      <c r="P14" s="326" t="s">
        <v>157</v>
      </c>
      <c r="Q14" s="322">
        <f t="shared" si="97"/>
        <v>2</v>
      </c>
      <c r="R14" s="251"/>
      <c r="S14" s="326" t="s">
        <v>157</v>
      </c>
      <c r="T14" s="322">
        <f t="shared" si="97"/>
        <v>2</v>
      </c>
      <c r="U14" s="251"/>
      <c r="V14" s="326" t="s">
        <v>157</v>
      </c>
      <c r="W14" s="322">
        <f t="shared" si="97"/>
        <v>2</v>
      </c>
      <c r="X14" s="251"/>
      <c r="Y14" s="326" t="s">
        <v>161</v>
      </c>
      <c r="Z14" s="322">
        <f t="shared" si="97"/>
        <v>2</v>
      </c>
      <c r="AA14" s="251"/>
      <c r="AB14" s="326" t="s">
        <v>158</v>
      </c>
      <c r="AC14" s="322">
        <f t="shared" si="97"/>
        <v>0</v>
      </c>
      <c r="AD14" s="251"/>
      <c r="AE14" s="326" t="s">
        <v>175</v>
      </c>
      <c r="AF14" s="322">
        <f t="shared" si="97"/>
        <v>2</v>
      </c>
      <c r="AG14" s="251"/>
      <c r="AH14" s="326" t="s">
        <v>160</v>
      </c>
      <c r="AI14" s="322">
        <f t="shared" si="97"/>
        <v>0</v>
      </c>
      <c r="AJ14" s="251"/>
      <c r="AK14" s="326" t="s">
        <v>159</v>
      </c>
      <c r="AL14" s="322">
        <f t="shared" si="97"/>
        <v>2</v>
      </c>
      <c r="AM14" s="251"/>
      <c r="AN14" s="326" t="s">
        <v>161</v>
      </c>
      <c r="AO14" s="322">
        <f t="shared" si="97"/>
        <v>2</v>
      </c>
      <c r="AP14" s="251"/>
      <c r="AQ14" s="326" t="s">
        <v>161</v>
      </c>
      <c r="AR14" s="322">
        <f t="shared" si="97"/>
        <v>2</v>
      </c>
      <c r="AS14" s="251"/>
      <c r="AT14" s="326" t="s">
        <v>161</v>
      </c>
      <c r="AU14" s="322">
        <f t="shared" si="97"/>
        <v>2</v>
      </c>
      <c r="AV14" s="251"/>
      <c r="AW14" s="326" t="s">
        <v>161</v>
      </c>
      <c r="AX14" s="322">
        <f t="shared" si="97"/>
        <v>2</v>
      </c>
      <c r="AY14" s="251"/>
      <c r="AZ14" s="534" t="s">
        <v>161</v>
      </c>
      <c r="BA14" s="322">
        <f t="shared" si="97"/>
        <v>2</v>
      </c>
      <c r="BB14" s="251"/>
      <c r="BC14" s="326" t="s">
        <v>157</v>
      </c>
      <c r="BD14" s="322">
        <f t="shared" si="97"/>
        <v>2</v>
      </c>
      <c r="BE14" s="251"/>
      <c r="BF14" s="326"/>
      <c r="BG14" s="322">
        <f t="shared" si="97"/>
        <v>0</v>
      </c>
      <c r="BH14" s="251"/>
      <c r="BI14" s="326"/>
      <c r="BJ14" s="322">
        <f t="shared" si="97"/>
        <v>0</v>
      </c>
      <c r="BK14" s="251"/>
      <c r="BL14" s="326"/>
      <c r="BM14" s="322">
        <f t="shared" si="97"/>
        <v>0</v>
      </c>
      <c r="BN14" s="251"/>
      <c r="BO14" s="326"/>
      <c r="BP14" s="322">
        <f t="shared" si="97"/>
        <v>0</v>
      </c>
      <c r="BQ14" s="251"/>
      <c r="BR14" s="326"/>
      <c r="BS14" s="322">
        <f t="shared" si="97"/>
        <v>0</v>
      </c>
      <c r="BT14" s="251"/>
      <c r="BU14" s="326"/>
      <c r="BV14" s="322">
        <f t="shared" si="97"/>
        <v>0</v>
      </c>
      <c r="BW14" s="251"/>
      <c r="BX14" s="326"/>
      <c r="BY14" s="322">
        <f t="shared" si="97"/>
        <v>0</v>
      </c>
      <c r="BZ14" s="251"/>
      <c r="CA14" s="326"/>
      <c r="CB14" s="322">
        <f t="shared" si="98"/>
        <v>0</v>
      </c>
      <c r="CC14" s="251"/>
      <c r="CD14" s="326"/>
      <c r="CE14" s="322">
        <f t="shared" si="98"/>
        <v>0</v>
      </c>
      <c r="CF14" s="251"/>
      <c r="CG14" s="251"/>
      <c r="CH14" s="251"/>
    </row>
    <row r="15" spans="1:86" ht="15" customHeight="1">
      <c r="A15" s="219"/>
      <c r="B15" s="219"/>
      <c r="C15" s="330" t="str">
        <f>+Idiomas!D197</f>
        <v>PLAYOFFS -Diferencia de goles</v>
      </c>
      <c r="D15" s="269">
        <v>0</v>
      </c>
      <c r="E15" s="219"/>
      <c r="F15" s="562"/>
      <c r="G15" s="319" t="str">
        <f>CONCATENATE(League!D11,"-",League!K11)</f>
        <v>Bayern München-Chelsea</v>
      </c>
      <c r="H15" s="320" t="str">
        <f>CONCATENATE(IF(League!G11&gt;League!H11,1,IF(League!G11&lt;League!H11,2,IF(AND(League!G11=League!H11,League!G11&lt;&gt;"",League!H11&lt;&gt;""),"X",0))),"|",League!G11,"-",League!H11)</f>
        <v>1|3-1</v>
      </c>
      <c r="I15" s="219"/>
      <c r="J15" s="452" t="s">
        <v>176</v>
      </c>
      <c r="K15" s="322">
        <f t="shared" si="96"/>
        <v>0</v>
      </c>
      <c r="L15" s="251"/>
      <c r="M15" s="326" t="s">
        <v>169</v>
      </c>
      <c r="N15" s="322">
        <f t="shared" si="97"/>
        <v>2</v>
      </c>
      <c r="O15" s="251"/>
      <c r="P15" s="326" t="s">
        <v>167</v>
      </c>
      <c r="Q15" s="322">
        <f t="shared" si="97"/>
        <v>2</v>
      </c>
      <c r="R15" s="251"/>
      <c r="S15" s="326" t="s">
        <v>169</v>
      </c>
      <c r="T15" s="322">
        <f t="shared" si="97"/>
        <v>2</v>
      </c>
      <c r="U15" s="251"/>
      <c r="V15" s="326" t="s">
        <v>160</v>
      </c>
      <c r="W15" s="322">
        <f t="shared" si="97"/>
        <v>0</v>
      </c>
      <c r="X15" s="251"/>
      <c r="Y15" s="326" t="s">
        <v>166</v>
      </c>
      <c r="Z15" s="322">
        <f t="shared" si="97"/>
        <v>2</v>
      </c>
      <c r="AA15" s="251"/>
      <c r="AB15" s="326" t="s">
        <v>167</v>
      </c>
      <c r="AC15" s="322">
        <f t="shared" si="97"/>
        <v>2</v>
      </c>
      <c r="AD15" s="251"/>
      <c r="AE15" s="326" t="s">
        <v>173</v>
      </c>
      <c r="AF15" s="322">
        <f t="shared" si="97"/>
        <v>0</v>
      </c>
      <c r="AG15" s="251"/>
      <c r="AH15" s="326" t="s">
        <v>161</v>
      </c>
      <c r="AI15" s="322">
        <f t="shared" si="97"/>
        <v>0</v>
      </c>
      <c r="AJ15" s="251"/>
      <c r="AK15" s="326" t="s">
        <v>165</v>
      </c>
      <c r="AL15" s="322">
        <f t="shared" si="97"/>
        <v>2</v>
      </c>
      <c r="AM15" s="251"/>
      <c r="AN15" s="326" t="s">
        <v>170</v>
      </c>
      <c r="AO15" s="322">
        <f t="shared" si="97"/>
        <v>5</v>
      </c>
      <c r="AP15" s="251"/>
      <c r="AQ15" s="326" t="s">
        <v>160</v>
      </c>
      <c r="AR15" s="322">
        <f t="shared" si="97"/>
        <v>0</v>
      </c>
      <c r="AS15" s="251"/>
      <c r="AT15" s="326" t="s">
        <v>166</v>
      </c>
      <c r="AU15" s="322">
        <f t="shared" si="97"/>
        <v>2</v>
      </c>
      <c r="AV15" s="251"/>
      <c r="AW15" s="326" t="s">
        <v>166</v>
      </c>
      <c r="AX15" s="322">
        <f t="shared" si="97"/>
        <v>2</v>
      </c>
      <c r="AY15" s="251"/>
      <c r="AZ15" s="534" t="s">
        <v>160</v>
      </c>
      <c r="BA15" s="322">
        <f t="shared" si="97"/>
        <v>0</v>
      </c>
      <c r="BB15" s="251"/>
      <c r="BC15" s="326" t="s">
        <v>160</v>
      </c>
      <c r="BD15" s="322">
        <f t="shared" si="97"/>
        <v>0</v>
      </c>
      <c r="BE15" s="251"/>
      <c r="BF15" s="326"/>
      <c r="BG15" s="322">
        <f t="shared" si="97"/>
        <v>0</v>
      </c>
      <c r="BH15" s="251"/>
      <c r="BI15" s="326"/>
      <c r="BJ15" s="322">
        <f t="shared" si="97"/>
        <v>0</v>
      </c>
      <c r="BK15" s="251"/>
      <c r="BL15" s="326"/>
      <c r="BM15" s="322">
        <f t="shared" si="97"/>
        <v>0</v>
      </c>
      <c r="BN15" s="251"/>
      <c r="BO15" s="326"/>
      <c r="BP15" s="322">
        <f t="shared" si="97"/>
        <v>0</v>
      </c>
      <c r="BQ15" s="251"/>
      <c r="BR15" s="326"/>
      <c r="BS15" s="322">
        <f t="shared" si="97"/>
        <v>0</v>
      </c>
      <c r="BT15" s="251"/>
      <c r="BU15" s="326"/>
      <c r="BV15" s="322">
        <f t="shared" si="97"/>
        <v>0</v>
      </c>
      <c r="BW15" s="251"/>
      <c r="BX15" s="326"/>
      <c r="BY15" s="322">
        <f t="shared" si="97"/>
        <v>0</v>
      </c>
      <c r="BZ15" s="251"/>
      <c r="CA15" s="326"/>
      <c r="CB15" s="322">
        <f t="shared" si="98"/>
        <v>0</v>
      </c>
      <c r="CC15" s="251"/>
      <c r="CD15" s="326"/>
      <c r="CE15" s="322">
        <f t="shared" si="98"/>
        <v>0</v>
      </c>
      <c r="CF15" s="251"/>
      <c r="CG15" s="251"/>
      <c r="CH15" s="251"/>
    </row>
    <row r="16" spans="1:86" ht="15" customHeight="1">
      <c r="A16" s="219"/>
      <c r="B16" s="219"/>
      <c r="C16" s="327" t="str">
        <f>+Idiomas!D198</f>
        <v>PLAYOFFS - Resultado exacto</v>
      </c>
      <c r="D16" s="268">
        <v>0</v>
      </c>
      <c r="E16" s="219"/>
      <c r="F16" s="562"/>
      <c r="G16" s="328" t="str">
        <f>CONCATENATE(League!D12,"-",League!K12)</f>
        <v>Liverpool-Atlético Madrid</v>
      </c>
      <c r="H16" s="320" t="str">
        <f>CONCATENATE(IF(League!G12&gt;League!H12,1,IF(League!G12&lt;League!H12,2,IF(AND(League!G12=League!H12,League!G12&lt;&gt;"",League!H12&lt;&gt;""),"X",0))),"|",League!G12,"-",League!H12)</f>
        <v>1|3-2</v>
      </c>
      <c r="I16" s="219"/>
      <c r="J16" s="452" t="s">
        <v>171</v>
      </c>
      <c r="K16" s="322">
        <f t="shared" si="96"/>
        <v>2</v>
      </c>
      <c r="L16" s="251"/>
      <c r="M16" s="326" t="s">
        <v>158</v>
      </c>
      <c r="N16" s="322">
        <f t="shared" si="97"/>
        <v>0</v>
      </c>
      <c r="O16" s="251"/>
      <c r="P16" s="326" t="s">
        <v>158</v>
      </c>
      <c r="Q16" s="322">
        <f t="shared" si="97"/>
        <v>0</v>
      </c>
      <c r="R16" s="251"/>
      <c r="S16" s="326" t="s">
        <v>166</v>
      </c>
      <c r="T16" s="322">
        <f t="shared" si="97"/>
        <v>2</v>
      </c>
      <c r="U16" s="251"/>
      <c r="V16" s="326" t="s">
        <v>166</v>
      </c>
      <c r="W16" s="322">
        <f t="shared" si="97"/>
        <v>2</v>
      </c>
      <c r="X16" s="251"/>
      <c r="Y16" s="326" t="s">
        <v>166</v>
      </c>
      <c r="Z16" s="322">
        <f t="shared" si="97"/>
        <v>2</v>
      </c>
      <c r="AA16" s="251"/>
      <c r="AB16" s="326" t="s">
        <v>166</v>
      </c>
      <c r="AC16" s="322">
        <f t="shared" si="97"/>
        <v>2</v>
      </c>
      <c r="AD16" s="251"/>
      <c r="AE16" s="326" t="s">
        <v>166</v>
      </c>
      <c r="AF16" s="322">
        <f t="shared" si="97"/>
        <v>2</v>
      </c>
      <c r="AG16" s="251"/>
      <c r="AH16" s="326" t="s">
        <v>160</v>
      </c>
      <c r="AI16" s="322">
        <f t="shared" si="97"/>
        <v>0</v>
      </c>
      <c r="AJ16" s="251"/>
      <c r="AK16" s="326" t="s">
        <v>165</v>
      </c>
      <c r="AL16" s="322">
        <f t="shared" si="97"/>
        <v>2</v>
      </c>
      <c r="AM16" s="251"/>
      <c r="AN16" s="326" t="s">
        <v>166</v>
      </c>
      <c r="AO16" s="322">
        <f t="shared" si="97"/>
        <v>2</v>
      </c>
      <c r="AP16" s="251"/>
      <c r="AQ16" s="326" t="s">
        <v>161</v>
      </c>
      <c r="AR16" s="322">
        <f t="shared" si="97"/>
        <v>0</v>
      </c>
      <c r="AS16" s="251"/>
      <c r="AT16" s="326" t="s">
        <v>160</v>
      </c>
      <c r="AU16" s="322">
        <f t="shared" si="97"/>
        <v>0</v>
      </c>
      <c r="AV16" s="251"/>
      <c r="AW16" s="326" t="s">
        <v>166</v>
      </c>
      <c r="AX16" s="322">
        <f t="shared" si="97"/>
        <v>2</v>
      </c>
      <c r="AY16" s="251"/>
      <c r="AZ16" s="534" t="s">
        <v>160</v>
      </c>
      <c r="BA16" s="322">
        <f t="shared" si="97"/>
        <v>0</v>
      </c>
      <c r="BB16" s="251"/>
      <c r="BC16" s="326" t="s">
        <v>166</v>
      </c>
      <c r="BD16" s="322">
        <f t="shared" si="97"/>
        <v>2</v>
      </c>
      <c r="BE16" s="251"/>
      <c r="BF16" s="326"/>
      <c r="BG16" s="322">
        <f t="shared" si="97"/>
        <v>0</v>
      </c>
      <c r="BH16" s="251"/>
      <c r="BI16" s="326"/>
      <c r="BJ16" s="322">
        <f t="shared" si="97"/>
        <v>0</v>
      </c>
      <c r="BK16" s="251"/>
      <c r="BL16" s="326"/>
      <c r="BM16" s="322">
        <f t="shared" si="97"/>
        <v>0</v>
      </c>
      <c r="BN16" s="251"/>
      <c r="BO16" s="326"/>
      <c r="BP16" s="322">
        <f t="shared" si="97"/>
        <v>0</v>
      </c>
      <c r="BQ16" s="251"/>
      <c r="BR16" s="326"/>
      <c r="BS16" s="322">
        <f t="shared" si="97"/>
        <v>0</v>
      </c>
      <c r="BT16" s="251"/>
      <c r="BU16" s="326"/>
      <c r="BV16" s="322">
        <f t="shared" si="97"/>
        <v>0</v>
      </c>
      <c r="BW16" s="251"/>
      <c r="BX16" s="326"/>
      <c r="BY16" s="322">
        <f t="shared" si="97"/>
        <v>0</v>
      </c>
      <c r="BZ16" s="251"/>
      <c r="CA16" s="326"/>
      <c r="CB16" s="322">
        <f t="shared" si="98"/>
        <v>0</v>
      </c>
      <c r="CC16" s="251"/>
      <c r="CD16" s="326"/>
      <c r="CE16" s="322">
        <f t="shared" si="98"/>
        <v>0</v>
      </c>
      <c r="CF16" s="251"/>
      <c r="CG16" s="251"/>
      <c r="CH16" s="251"/>
    </row>
    <row r="17" spans="1:86" ht="15" customHeight="1">
      <c r="A17" s="219"/>
      <c r="B17" s="219"/>
      <c r="C17" s="332" t="str">
        <f>+Idiomas!D194</f>
        <v>Equipo clasificado para OCTAVOS (Desde Playoffs)</v>
      </c>
      <c r="D17" s="270">
        <v>0</v>
      </c>
      <c r="E17" s="219"/>
      <c r="F17" s="562"/>
      <c r="G17" s="319" t="str">
        <f>CONCATENATE(League!D13,"-",League!K13)</f>
        <v>PSG-Atalanta</v>
      </c>
      <c r="H17" s="320" t="str">
        <f>CONCATENATE(IF(League!G13&gt;League!H13,1,IF(League!G13&lt;League!H13,2,IF(AND(League!G13=League!H13,League!G13&lt;&gt;"",League!H13&lt;&gt;""),"X",0))),"|",League!G13,"-",League!H13)</f>
        <v>1|4-0</v>
      </c>
      <c r="I17" s="219"/>
      <c r="J17" s="452" t="s">
        <v>165</v>
      </c>
      <c r="K17" s="322">
        <f t="shared" si="96"/>
        <v>2</v>
      </c>
      <c r="L17" s="251"/>
      <c r="M17" s="326" t="s">
        <v>171</v>
      </c>
      <c r="N17" s="322">
        <f t="shared" si="97"/>
        <v>2</v>
      </c>
      <c r="O17" s="251"/>
      <c r="P17" s="326" t="s">
        <v>170</v>
      </c>
      <c r="Q17" s="322">
        <f t="shared" si="97"/>
        <v>2</v>
      </c>
      <c r="R17" s="251"/>
      <c r="S17" s="326" t="s">
        <v>170</v>
      </c>
      <c r="T17" s="322">
        <f t="shared" si="97"/>
        <v>2</v>
      </c>
      <c r="U17" s="251"/>
      <c r="V17" s="326" t="s">
        <v>167</v>
      </c>
      <c r="W17" s="322">
        <f t="shared" si="97"/>
        <v>2</v>
      </c>
      <c r="X17" s="251"/>
      <c r="Y17" s="326" t="s">
        <v>165</v>
      </c>
      <c r="Z17" s="322">
        <f t="shared" si="97"/>
        <v>2</v>
      </c>
      <c r="AA17" s="251"/>
      <c r="AB17" s="326" t="s">
        <v>167</v>
      </c>
      <c r="AC17" s="322">
        <f t="shared" si="97"/>
        <v>2</v>
      </c>
      <c r="AD17" s="251"/>
      <c r="AE17" s="326" t="s">
        <v>169</v>
      </c>
      <c r="AF17" s="322">
        <f t="shared" si="97"/>
        <v>2</v>
      </c>
      <c r="AG17" s="251"/>
      <c r="AH17" s="326" t="s">
        <v>164</v>
      </c>
      <c r="AI17" s="322">
        <f t="shared" si="97"/>
        <v>2</v>
      </c>
      <c r="AJ17" s="251"/>
      <c r="AK17" s="326" t="s">
        <v>165</v>
      </c>
      <c r="AL17" s="322">
        <f t="shared" si="97"/>
        <v>2</v>
      </c>
      <c r="AM17" s="251"/>
      <c r="AN17" s="326" t="s">
        <v>170</v>
      </c>
      <c r="AO17" s="322">
        <f t="shared" si="97"/>
        <v>2</v>
      </c>
      <c r="AP17" s="251"/>
      <c r="AQ17" s="326" t="s">
        <v>160</v>
      </c>
      <c r="AR17" s="322">
        <f t="shared" si="97"/>
        <v>0</v>
      </c>
      <c r="AS17" s="251"/>
      <c r="AT17" s="326" t="s">
        <v>158</v>
      </c>
      <c r="AU17" s="322">
        <f t="shared" si="97"/>
        <v>0</v>
      </c>
      <c r="AV17" s="251"/>
      <c r="AW17" s="326" t="s">
        <v>166</v>
      </c>
      <c r="AX17" s="322">
        <f t="shared" si="97"/>
        <v>2</v>
      </c>
      <c r="AY17" s="251"/>
      <c r="AZ17" s="534" t="s">
        <v>163</v>
      </c>
      <c r="BA17" s="322">
        <f t="shared" ref="BA17:CE28" si="99">IFERROR(SUM(IF($H17=AZ17,$D$10),IF(LEFT($H17,1)=LEFT(AZ17,1),$D$8),IF(MID($H17,FIND("|",$H17)+1,FIND("-",$H17)-FIND("|",$H17)-1)-MID($H17,FIND("-",$H17)+1,11)=MID(AZ17,FIND("|",AZ17)+1,FIND("-",AZ17)-FIND("|",AZ17)-1)-MID(AZ17,FIND("-",AZ17)+1,11),$D$9)),)</f>
        <v>5</v>
      </c>
      <c r="BB17" s="251"/>
      <c r="BC17" s="326" t="s">
        <v>170</v>
      </c>
      <c r="BD17" s="322">
        <f t="shared" si="99"/>
        <v>2</v>
      </c>
      <c r="BE17" s="251"/>
      <c r="BF17" s="326"/>
      <c r="BG17" s="322">
        <f t="shared" si="99"/>
        <v>0</v>
      </c>
      <c r="BH17" s="251"/>
      <c r="BI17" s="326"/>
      <c r="BJ17" s="322">
        <f t="shared" si="99"/>
        <v>0</v>
      </c>
      <c r="BK17" s="251"/>
      <c r="BL17" s="326"/>
      <c r="BM17" s="322">
        <f t="shared" si="99"/>
        <v>0</v>
      </c>
      <c r="BN17" s="251"/>
      <c r="BO17" s="326"/>
      <c r="BP17" s="322">
        <f t="shared" si="99"/>
        <v>0</v>
      </c>
      <c r="BQ17" s="251"/>
      <c r="BR17" s="326"/>
      <c r="BS17" s="322">
        <f t="shared" si="99"/>
        <v>0</v>
      </c>
      <c r="BT17" s="251"/>
      <c r="BU17" s="326"/>
      <c r="BV17" s="322">
        <f t="shared" si="99"/>
        <v>0</v>
      </c>
      <c r="BW17" s="251"/>
      <c r="BX17" s="326"/>
      <c r="BY17" s="322">
        <f t="shared" si="99"/>
        <v>0</v>
      </c>
      <c r="BZ17" s="251"/>
      <c r="CA17" s="326"/>
      <c r="CB17" s="322">
        <f t="shared" si="99"/>
        <v>0</v>
      </c>
      <c r="CC17" s="251"/>
      <c r="CD17" s="326"/>
      <c r="CE17" s="322">
        <f t="shared" si="99"/>
        <v>0</v>
      </c>
      <c r="CF17" s="251"/>
      <c r="CG17" s="251"/>
      <c r="CH17" s="251"/>
    </row>
    <row r="18" spans="1:86" ht="15" customHeight="1">
      <c r="A18" s="219"/>
      <c r="B18" s="219"/>
      <c r="C18" s="327" t="str">
        <f>+Idiomas!D199</f>
        <v>OCTAVOS - Signo 1X2  (local, empate, visitante)</v>
      </c>
      <c r="D18" s="268">
        <v>0</v>
      </c>
      <c r="E18" s="333"/>
      <c r="F18" s="562"/>
      <c r="G18" s="328" t="str">
        <f>CONCATENATE(League!D14,"-",League!K14)</f>
        <v>Brugge-Monaco</v>
      </c>
      <c r="H18" s="320" t="str">
        <f>CONCATENATE(IF(League!G14&gt;League!H14,1,IF(League!G14&lt;League!H14,2,IF(AND(League!G14=League!H14,League!G14&lt;&gt;"",League!H14&lt;&gt;""),"X",0))),"|",League!G14,"-",League!H14)</f>
        <v>1|4-1</v>
      </c>
      <c r="I18" s="219"/>
      <c r="J18" s="452" t="s">
        <v>162</v>
      </c>
      <c r="K18" s="322">
        <f t="shared" si="96"/>
        <v>0</v>
      </c>
      <c r="L18" s="251"/>
      <c r="M18" s="326" t="s">
        <v>160</v>
      </c>
      <c r="N18" s="322">
        <f t="shared" ref="N18:BY29" si="100">IFERROR(SUM(IF($H18=M18,$D$10),IF(LEFT($H18,1)=LEFT(M18,1),$D$8),IF(MID($H18,FIND("|",$H18)+1,FIND("-",$H18)-FIND("|",$H18)-1)-MID($H18,FIND("-",$H18)+1,11)=MID(M18,FIND("|",M18)+1,FIND("-",M18)-FIND("|",M18)-1)-MID(M18,FIND("-",M18)+1,11),$D$9)),)</f>
        <v>0</v>
      </c>
      <c r="O18" s="251"/>
      <c r="P18" s="326" t="s">
        <v>162</v>
      </c>
      <c r="Q18" s="322">
        <f t="shared" si="100"/>
        <v>0</v>
      </c>
      <c r="R18" s="251"/>
      <c r="S18" s="326" t="s">
        <v>162</v>
      </c>
      <c r="T18" s="322">
        <f t="shared" si="100"/>
        <v>0</v>
      </c>
      <c r="U18" s="251"/>
      <c r="V18" s="326" t="s">
        <v>158</v>
      </c>
      <c r="W18" s="322">
        <f t="shared" si="100"/>
        <v>0</v>
      </c>
      <c r="X18" s="251"/>
      <c r="Y18" s="326" t="s">
        <v>168</v>
      </c>
      <c r="Z18" s="322">
        <f t="shared" si="100"/>
        <v>0</v>
      </c>
      <c r="AA18" s="251"/>
      <c r="AB18" s="326" t="s">
        <v>158</v>
      </c>
      <c r="AC18" s="322">
        <f t="shared" si="100"/>
        <v>0</v>
      </c>
      <c r="AD18" s="251"/>
      <c r="AE18" s="326" t="s">
        <v>161</v>
      </c>
      <c r="AF18" s="322">
        <f t="shared" si="100"/>
        <v>0</v>
      </c>
      <c r="AG18" s="251"/>
      <c r="AH18" s="326" t="s">
        <v>161</v>
      </c>
      <c r="AI18" s="322">
        <f t="shared" si="100"/>
        <v>0</v>
      </c>
      <c r="AJ18" s="251"/>
      <c r="AK18" s="326" t="s">
        <v>162</v>
      </c>
      <c r="AL18" s="322">
        <f t="shared" si="100"/>
        <v>0</v>
      </c>
      <c r="AM18" s="251"/>
      <c r="AN18" s="326" t="s">
        <v>161</v>
      </c>
      <c r="AO18" s="322">
        <f t="shared" si="100"/>
        <v>0</v>
      </c>
      <c r="AP18" s="251"/>
      <c r="AQ18" s="326" t="s">
        <v>157</v>
      </c>
      <c r="AR18" s="322">
        <f t="shared" si="100"/>
        <v>0</v>
      </c>
      <c r="AS18" s="251"/>
      <c r="AT18" s="326" t="s">
        <v>161</v>
      </c>
      <c r="AU18" s="322">
        <f t="shared" si="100"/>
        <v>0</v>
      </c>
      <c r="AV18" s="251"/>
      <c r="AW18" s="326" t="s">
        <v>158</v>
      </c>
      <c r="AX18" s="322">
        <f t="shared" si="100"/>
        <v>0</v>
      </c>
      <c r="AY18" s="251"/>
      <c r="AZ18" s="534" t="s">
        <v>164</v>
      </c>
      <c r="BA18" s="322">
        <f t="shared" si="100"/>
        <v>2</v>
      </c>
      <c r="BB18" s="251"/>
      <c r="BC18" s="326" t="s">
        <v>160</v>
      </c>
      <c r="BD18" s="322">
        <f t="shared" si="100"/>
        <v>0</v>
      </c>
      <c r="BE18" s="251"/>
      <c r="BF18" s="326"/>
      <c r="BG18" s="322">
        <f t="shared" si="100"/>
        <v>0</v>
      </c>
      <c r="BH18" s="251"/>
      <c r="BI18" s="326"/>
      <c r="BJ18" s="322">
        <f t="shared" si="100"/>
        <v>0</v>
      </c>
      <c r="BK18" s="251"/>
      <c r="BL18" s="326"/>
      <c r="BM18" s="322">
        <f t="shared" si="100"/>
        <v>0</v>
      </c>
      <c r="BN18" s="251"/>
      <c r="BO18" s="326"/>
      <c r="BP18" s="322">
        <f t="shared" si="100"/>
        <v>0</v>
      </c>
      <c r="BQ18" s="251"/>
      <c r="BR18" s="326"/>
      <c r="BS18" s="322">
        <f t="shared" si="100"/>
        <v>0</v>
      </c>
      <c r="BT18" s="251"/>
      <c r="BU18" s="326"/>
      <c r="BV18" s="322">
        <f t="shared" si="100"/>
        <v>0</v>
      </c>
      <c r="BW18" s="251"/>
      <c r="BX18" s="326"/>
      <c r="BY18" s="322">
        <f t="shared" si="100"/>
        <v>0</v>
      </c>
      <c r="BZ18" s="251"/>
      <c r="CA18" s="326"/>
      <c r="CB18" s="322">
        <f t="shared" si="99"/>
        <v>0</v>
      </c>
      <c r="CC18" s="251"/>
      <c r="CD18" s="326"/>
      <c r="CE18" s="322">
        <f t="shared" si="99"/>
        <v>0</v>
      </c>
      <c r="CF18" s="251"/>
      <c r="CG18" s="251"/>
      <c r="CH18" s="251"/>
    </row>
    <row r="19" spans="1:86" ht="15" customHeight="1">
      <c r="A19" s="219"/>
      <c r="B19" s="219"/>
      <c r="C19" s="330" t="str">
        <f>+Idiomas!D200</f>
        <v>OCTAVOS -Diferencia de goles</v>
      </c>
      <c r="D19" s="269">
        <v>0</v>
      </c>
      <c r="E19" s="219"/>
      <c r="F19" s="562"/>
      <c r="G19" s="319" t="str">
        <f>CONCATENATE(League!D15,"-",League!K15)</f>
        <v>Copenhagen-Bayer Leverkusen</v>
      </c>
      <c r="H19" s="320" t="str">
        <f>CONCATENATE(IF(League!G15&gt;League!H15,1,IF(League!G15&lt;League!H15,2,IF(AND(League!G15=League!H15,League!G15&lt;&gt;"",League!H15&lt;&gt;""),"X",0))),"|",League!G15,"-",League!H15)</f>
        <v>X|2-2</v>
      </c>
      <c r="I19" s="219"/>
      <c r="J19" s="452" t="s">
        <v>174</v>
      </c>
      <c r="K19" s="322">
        <f t="shared" si="96"/>
        <v>0</v>
      </c>
      <c r="L19" s="251"/>
      <c r="M19" s="326" t="s">
        <v>161</v>
      </c>
      <c r="N19" s="322">
        <f t="shared" si="100"/>
        <v>0</v>
      </c>
      <c r="O19" s="251"/>
      <c r="P19" s="326" t="s">
        <v>161</v>
      </c>
      <c r="Q19" s="322">
        <f t="shared" si="100"/>
        <v>0</v>
      </c>
      <c r="R19" s="251"/>
      <c r="S19" s="326" t="s">
        <v>158</v>
      </c>
      <c r="T19" s="322">
        <f t="shared" si="100"/>
        <v>2</v>
      </c>
      <c r="U19" s="251"/>
      <c r="V19" s="326" t="s">
        <v>157</v>
      </c>
      <c r="W19" s="322">
        <f t="shared" si="100"/>
        <v>0</v>
      </c>
      <c r="X19" s="251"/>
      <c r="Y19" s="326" t="s">
        <v>157</v>
      </c>
      <c r="Z19" s="322">
        <f t="shared" si="100"/>
        <v>0</v>
      </c>
      <c r="AA19" s="251"/>
      <c r="AB19" s="326" t="s">
        <v>157</v>
      </c>
      <c r="AC19" s="322">
        <f t="shared" si="100"/>
        <v>0</v>
      </c>
      <c r="AD19" s="251"/>
      <c r="AE19" s="326" t="s">
        <v>170</v>
      </c>
      <c r="AF19" s="322">
        <f t="shared" si="100"/>
        <v>0</v>
      </c>
      <c r="AG19" s="251"/>
      <c r="AH19" s="326" t="s">
        <v>164</v>
      </c>
      <c r="AI19" s="322">
        <f t="shared" si="100"/>
        <v>0</v>
      </c>
      <c r="AJ19" s="251"/>
      <c r="AK19" s="326" t="s">
        <v>159</v>
      </c>
      <c r="AL19" s="322">
        <f t="shared" si="100"/>
        <v>0</v>
      </c>
      <c r="AM19" s="251"/>
      <c r="AN19" s="326" t="s">
        <v>161</v>
      </c>
      <c r="AO19" s="322">
        <f t="shared" si="100"/>
        <v>0</v>
      </c>
      <c r="AP19" s="251"/>
      <c r="AQ19" s="326" t="s">
        <v>162</v>
      </c>
      <c r="AR19" s="322">
        <f t="shared" si="100"/>
        <v>0</v>
      </c>
      <c r="AS19" s="251"/>
      <c r="AT19" s="326" t="s">
        <v>162</v>
      </c>
      <c r="AU19" s="322">
        <f t="shared" si="100"/>
        <v>0</v>
      </c>
      <c r="AV19" s="251"/>
      <c r="AW19" s="326" t="s">
        <v>161</v>
      </c>
      <c r="AX19" s="322">
        <f t="shared" si="100"/>
        <v>0</v>
      </c>
      <c r="AY19" s="251"/>
      <c r="AZ19" s="534" t="s">
        <v>159</v>
      </c>
      <c r="BA19" s="322">
        <f t="shared" si="100"/>
        <v>0</v>
      </c>
      <c r="BB19" s="251"/>
      <c r="BC19" s="326" t="s">
        <v>174</v>
      </c>
      <c r="BD19" s="322">
        <f t="shared" si="100"/>
        <v>0</v>
      </c>
      <c r="BE19" s="251"/>
      <c r="BF19" s="326"/>
      <c r="BG19" s="322">
        <f t="shared" si="100"/>
        <v>0</v>
      </c>
      <c r="BH19" s="251"/>
      <c r="BI19" s="326"/>
      <c r="BJ19" s="322">
        <f t="shared" si="100"/>
        <v>0</v>
      </c>
      <c r="BK19" s="251"/>
      <c r="BL19" s="326"/>
      <c r="BM19" s="322">
        <f t="shared" si="100"/>
        <v>0</v>
      </c>
      <c r="BN19" s="251"/>
      <c r="BO19" s="326"/>
      <c r="BP19" s="322">
        <f t="shared" si="100"/>
        <v>0</v>
      </c>
      <c r="BQ19" s="251"/>
      <c r="BR19" s="326"/>
      <c r="BS19" s="322">
        <f t="shared" si="100"/>
        <v>0</v>
      </c>
      <c r="BT19" s="251"/>
      <c r="BU19" s="326"/>
      <c r="BV19" s="322">
        <f t="shared" si="100"/>
        <v>0</v>
      </c>
      <c r="BW19" s="251"/>
      <c r="BX19" s="326"/>
      <c r="BY19" s="322">
        <f t="shared" si="100"/>
        <v>0</v>
      </c>
      <c r="BZ19" s="251"/>
      <c r="CA19" s="326"/>
      <c r="CB19" s="322">
        <f t="shared" si="99"/>
        <v>0</v>
      </c>
      <c r="CC19" s="251"/>
      <c r="CD19" s="326"/>
      <c r="CE19" s="322">
        <f t="shared" si="99"/>
        <v>0</v>
      </c>
      <c r="CF19" s="251"/>
      <c r="CG19" s="251"/>
      <c r="CH19" s="251"/>
    </row>
    <row r="20" spans="1:86" ht="15" customHeight="1">
      <c r="A20" s="219"/>
      <c r="B20" s="219"/>
      <c r="C20" s="327" t="str">
        <f>+Idiomas!D201</f>
        <v>OCTAVOS - Resultado exacto</v>
      </c>
      <c r="D20" s="268">
        <v>0</v>
      </c>
      <c r="E20" s="219"/>
      <c r="F20" s="562"/>
      <c r="G20" s="328" t="str">
        <f>CONCATENATE(League!D16,"-",League!K16)</f>
        <v>Eintracht Frankfurt-Galatasaray</v>
      </c>
      <c r="H20" s="320" t="str">
        <f>CONCATENATE(IF(League!G16&gt;League!H16,1,IF(League!G16&lt;League!H16,2,IF(AND(League!G16=League!H16,League!G16&lt;&gt;"",League!H16&lt;&gt;""),"X",0))),"|",League!G16,"-",League!H16)</f>
        <v>1|5-1</v>
      </c>
      <c r="I20" s="219"/>
      <c r="J20" s="452" t="s">
        <v>160</v>
      </c>
      <c r="K20" s="322">
        <f t="shared" si="96"/>
        <v>0</v>
      </c>
      <c r="L20" s="251"/>
      <c r="M20" s="326" t="s">
        <v>160</v>
      </c>
      <c r="N20" s="322">
        <f t="shared" si="100"/>
        <v>0</v>
      </c>
      <c r="O20" s="251"/>
      <c r="P20" s="326" t="s">
        <v>161</v>
      </c>
      <c r="Q20" s="322">
        <f t="shared" si="100"/>
        <v>0</v>
      </c>
      <c r="R20" s="251"/>
      <c r="S20" s="326" t="s">
        <v>166</v>
      </c>
      <c r="T20" s="322">
        <f t="shared" si="100"/>
        <v>2</v>
      </c>
      <c r="U20" s="251"/>
      <c r="V20" s="326" t="s">
        <v>160</v>
      </c>
      <c r="W20" s="322">
        <f t="shared" si="100"/>
        <v>0</v>
      </c>
      <c r="X20" s="251"/>
      <c r="Y20" s="326" t="s">
        <v>167</v>
      </c>
      <c r="Z20" s="322">
        <f t="shared" si="100"/>
        <v>2</v>
      </c>
      <c r="AA20" s="251"/>
      <c r="AB20" s="326" t="s">
        <v>167</v>
      </c>
      <c r="AC20" s="322">
        <f t="shared" si="100"/>
        <v>2</v>
      </c>
      <c r="AD20" s="251"/>
      <c r="AE20" s="326" t="s">
        <v>174</v>
      </c>
      <c r="AF20" s="322">
        <f t="shared" si="100"/>
        <v>0</v>
      </c>
      <c r="AG20" s="251"/>
      <c r="AH20" s="326" t="s">
        <v>160</v>
      </c>
      <c r="AI20" s="322">
        <f t="shared" si="100"/>
        <v>0</v>
      </c>
      <c r="AJ20" s="251"/>
      <c r="AK20" s="326" t="s">
        <v>167</v>
      </c>
      <c r="AL20" s="322">
        <f t="shared" si="100"/>
        <v>2</v>
      </c>
      <c r="AM20" s="251"/>
      <c r="AN20" s="326" t="s">
        <v>166</v>
      </c>
      <c r="AO20" s="322">
        <f t="shared" si="100"/>
        <v>2</v>
      </c>
      <c r="AP20" s="251"/>
      <c r="AQ20" s="326" t="s">
        <v>160</v>
      </c>
      <c r="AR20" s="322">
        <f t="shared" si="100"/>
        <v>0</v>
      </c>
      <c r="AS20" s="251"/>
      <c r="AT20" s="326" t="s">
        <v>166</v>
      </c>
      <c r="AU20" s="322">
        <f t="shared" si="100"/>
        <v>2</v>
      </c>
      <c r="AV20" s="251"/>
      <c r="AW20" s="326" t="s">
        <v>166</v>
      </c>
      <c r="AX20" s="322">
        <f t="shared" si="100"/>
        <v>2</v>
      </c>
      <c r="AY20" s="251"/>
      <c r="AZ20" s="534" t="s">
        <v>158</v>
      </c>
      <c r="BA20" s="322">
        <f t="shared" si="100"/>
        <v>0</v>
      </c>
      <c r="BB20" s="251"/>
      <c r="BC20" s="326" t="s">
        <v>158</v>
      </c>
      <c r="BD20" s="322">
        <f t="shared" si="100"/>
        <v>0</v>
      </c>
      <c r="BE20" s="251"/>
      <c r="BF20" s="326"/>
      <c r="BG20" s="322">
        <f t="shared" si="100"/>
        <v>0</v>
      </c>
      <c r="BH20" s="251"/>
      <c r="BI20" s="326"/>
      <c r="BJ20" s="322">
        <f t="shared" si="100"/>
        <v>0</v>
      </c>
      <c r="BK20" s="251"/>
      <c r="BL20" s="326"/>
      <c r="BM20" s="322">
        <f t="shared" si="100"/>
        <v>0</v>
      </c>
      <c r="BN20" s="251"/>
      <c r="BO20" s="326"/>
      <c r="BP20" s="322">
        <f t="shared" si="100"/>
        <v>0</v>
      </c>
      <c r="BQ20" s="251"/>
      <c r="BR20" s="326"/>
      <c r="BS20" s="322">
        <f t="shared" si="100"/>
        <v>0</v>
      </c>
      <c r="BT20" s="251"/>
      <c r="BU20" s="326"/>
      <c r="BV20" s="322">
        <f t="shared" si="100"/>
        <v>0</v>
      </c>
      <c r="BW20" s="251"/>
      <c r="BX20" s="326"/>
      <c r="BY20" s="322">
        <f t="shared" si="100"/>
        <v>0</v>
      </c>
      <c r="BZ20" s="251"/>
      <c r="CA20" s="326"/>
      <c r="CB20" s="322">
        <f t="shared" si="99"/>
        <v>0</v>
      </c>
      <c r="CC20" s="251"/>
      <c r="CD20" s="326"/>
      <c r="CE20" s="322">
        <f t="shared" si="99"/>
        <v>0</v>
      </c>
      <c r="CF20" s="251"/>
      <c r="CG20" s="251"/>
      <c r="CH20" s="251"/>
    </row>
    <row r="21" spans="1:86" ht="15" customHeight="1">
      <c r="A21" s="219"/>
      <c r="B21" s="219"/>
      <c r="C21" s="332" t="str">
        <f>+Idiomas!D202</f>
        <v>Equipo clasificado para CUARTOS</v>
      </c>
      <c r="D21" s="270">
        <v>0</v>
      </c>
      <c r="E21" s="219"/>
      <c r="F21" s="562"/>
      <c r="G21" s="319" t="str">
        <f>CONCATENATE(League!D17,"-",League!K17)</f>
        <v>Manchester City-Napoli</v>
      </c>
      <c r="H21" s="320" t="str">
        <f>CONCATENATE(IF(League!G17&gt;League!H17,1,IF(League!G17&lt;League!H17,2,IF(AND(League!G17=League!H17,League!G17&lt;&gt;"",League!H17&lt;&gt;""),"X",0))),"|",League!G17,"-",League!H17)</f>
        <v>1|2-0</v>
      </c>
      <c r="I21" s="219"/>
      <c r="J21" s="452" t="s">
        <v>169</v>
      </c>
      <c r="K21" s="322">
        <f t="shared" si="96"/>
        <v>2</v>
      </c>
      <c r="L21" s="251"/>
      <c r="M21" s="326" t="s">
        <v>170</v>
      </c>
      <c r="N21" s="322">
        <f t="shared" si="100"/>
        <v>2</v>
      </c>
      <c r="O21" s="251"/>
      <c r="P21" s="326" t="s">
        <v>165</v>
      </c>
      <c r="Q21" s="322">
        <f t="shared" si="100"/>
        <v>2</v>
      </c>
      <c r="R21" s="251"/>
      <c r="S21" s="326" t="s">
        <v>165</v>
      </c>
      <c r="T21" s="322">
        <f t="shared" si="100"/>
        <v>2</v>
      </c>
      <c r="U21" s="251"/>
      <c r="V21" s="326" t="s">
        <v>166</v>
      </c>
      <c r="W21" s="322">
        <f t="shared" si="100"/>
        <v>2</v>
      </c>
      <c r="X21" s="251"/>
      <c r="Y21" s="326" t="s">
        <v>160</v>
      </c>
      <c r="Z21" s="322">
        <f t="shared" si="100"/>
        <v>0</v>
      </c>
      <c r="AA21" s="251"/>
      <c r="AB21" s="326" t="s">
        <v>170</v>
      </c>
      <c r="AC21" s="322">
        <f t="shared" si="100"/>
        <v>2</v>
      </c>
      <c r="AD21" s="251"/>
      <c r="AE21" s="326" t="s">
        <v>167</v>
      </c>
      <c r="AF21" s="322">
        <f t="shared" si="100"/>
        <v>5</v>
      </c>
      <c r="AG21" s="251"/>
      <c r="AH21" s="326" t="s">
        <v>160</v>
      </c>
      <c r="AI21" s="322">
        <f t="shared" si="100"/>
        <v>0</v>
      </c>
      <c r="AJ21" s="251"/>
      <c r="AK21" s="326" t="s">
        <v>165</v>
      </c>
      <c r="AL21" s="322">
        <f t="shared" si="100"/>
        <v>2</v>
      </c>
      <c r="AM21" s="251"/>
      <c r="AN21" s="326" t="s">
        <v>170</v>
      </c>
      <c r="AO21" s="322">
        <f t="shared" si="100"/>
        <v>2</v>
      </c>
      <c r="AP21" s="251"/>
      <c r="AQ21" s="326" t="s">
        <v>160</v>
      </c>
      <c r="AR21" s="322">
        <f t="shared" si="100"/>
        <v>0</v>
      </c>
      <c r="AS21" s="251"/>
      <c r="AT21" s="326" t="s">
        <v>170</v>
      </c>
      <c r="AU21" s="322">
        <f t="shared" si="100"/>
        <v>2</v>
      </c>
      <c r="AV21" s="251"/>
      <c r="AW21" s="326" t="s">
        <v>170</v>
      </c>
      <c r="AX21" s="322">
        <f t="shared" si="100"/>
        <v>2</v>
      </c>
      <c r="AY21" s="251"/>
      <c r="AZ21" s="534" t="s">
        <v>161</v>
      </c>
      <c r="BA21" s="322">
        <f t="shared" si="100"/>
        <v>0</v>
      </c>
      <c r="BB21" s="251"/>
      <c r="BC21" s="326" t="s">
        <v>169</v>
      </c>
      <c r="BD21" s="322">
        <f t="shared" si="100"/>
        <v>2</v>
      </c>
      <c r="BE21" s="251"/>
      <c r="BF21" s="326"/>
      <c r="BG21" s="322">
        <f t="shared" si="100"/>
        <v>0</v>
      </c>
      <c r="BH21" s="251"/>
      <c r="BI21" s="326"/>
      <c r="BJ21" s="322">
        <f t="shared" si="100"/>
        <v>0</v>
      </c>
      <c r="BK21" s="251"/>
      <c r="BL21" s="326"/>
      <c r="BM21" s="322">
        <f t="shared" si="100"/>
        <v>0</v>
      </c>
      <c r="BN21" s="251"/>
      <c r="BO21" s="326"/>
      <c r="BP21" s="322">
        <f t="shared" si="100"/>
        <v>0</v>
      </c>
      <c r="BQ21" s="251"/>
      <c r="BR21" s="326"/>
      <c r="BS21" s="322">
        <f t="shared" si="100"/>
        <v>0</v>
      </c>
      <c r="BT21" s="251"/>
      <c r="BU21" s="326"/>
      <c r="BV21" s="322">
        <f t="shared" si="100"/>
        <v>0</v>
      </c>
      <c r="BW21" s="251"/>
      <c r="BX21" s="326"/>
      <c r="BY21" s="322">
        <f t="shared" si="100"/>
        <v>0</v>
      </c>
      <c r="BZ21" s="251"/>
      <c r="CA21" s="326"/>
      <c r="CB21" s="322">
        <f t="shared" si="99"/>
        <v>0</v>
      </c>
      <c r="CC21" s="251"/>
      <c r="CD21" s="326"/>
      <c r="CE21" s="322">
        <f t="shared" si="99"/>
        <v>0</v>
      </c>
      <c r="CF21" s="251"/>
      <c r="CG21" s="251"/>
      <c r="CH21" s="251"/>
    </row>
    <row r="22" spans="1:86" ht="15" customHeight="1">
      <c r="A22" s="219"/>
      <c r="B22" s="219"/>
      <c r="C22" s="327" t="str">
        <f>+Idiomas!D203</f>
        <v>CUARTOS - Signo 1X2  (local, empate, visitante)</v>
      </c>
      <c r="D22" s="268">
        <v>0</v>
      </c>
      <c r="E22" s="219"/>
      <c r="F22" s="562"/>
      <c r="G22" s="328" t="str">
        <f>CONCATENATE(League!D18,"-",League!K18)</f>
        <v>Newcastle-Barcelona</v>
      </c>
      <c r="H22" s="320" t="str">
        <f>CONCATENATE(IF(League!G18&gt;League!H18,1,IF(League!G18&lt;League!H18,2,IF(AND(League!G18=League!H18,League!G18&lt;&gt;"",League!H18&lt;&gt;""),"X",0))),"|",League!G18,"-",League!H18)</f>
        <v>2|1-2</v>
      </c>
      <c r="I22" s="219"/>
      <c r="J22" s="452" t="s">
        <v>161</v>
      </c>
      <c r="K22" s="322">
        <f t="shared" si="96"/>
        <v>5</v>
      </c>
      <c r="L22" s="251"/>
      <c r="M22" s="326" t="s">
        <v>177</v>
      </c>
      <c r="N22" s="322">
        <f t="shared" si="100"/>
        <v>2</v>
      </c>
      <c r="O22" s="251"/>
      <c r="P22" s="326" t="s">
        <v>157</v>
      </c>
      <c r="Q22" s="322">
        <f t="shared" si="100"/>
        <v>2</v>
      </c>
      <c r="R22" s="251"/>
      <c r="S22" s="326" t="s">
        <v>157</v>
      </c>
      <c r="T22" s="322">
        <f t="shared" si="100"/>
        <v>2</v>
      </c>
      <c r="U22" s="251"/>
      <c r="V22" s="326" t="s">
        <v>157</v>
      </c>
      <c r="W22" s="322">
        <f t="shared" si="100"/>
        <v>2</v>
      </c>
      <c r="X22" s="251"/>
      <c r="Y22" s="326" t="s">
        <v>177</v>
      </c>
      <c r="Z22" s="322">
        <f t="shared" si="100"/>
        <v>2</v>
      </c>
      <c r="AA22" s="251"/>
      <c r="AB22" s="326" t="s">
        <v>161</v>
      </c>
      <c r="AC22" s="322">
        <f t="shared" si="100"/>
        <v>5</v>
      </c>
      <c r="AD22" s="251"/>
      <c r="AE22" s="326" t="s">
        <v>157</v>
      </c>
      <c r="AF22" s="322">
        <f t="shared" si="100"/>
        <v>2</v>
      </c>
      <c r="AG22" s="251"/>
      <c r="AH22" s="326" t="s">
        <v>166</v>
      </c>
      <c r="AI22" s="322">
        <f t="shared" si="100"/>
        <v>0</v>
      </c>
      <c r="AJ22" s="251"/>
      <c r="AK22" s="326" t="s">
        <v>159</v>
      </c>
      <c r="AL22" s="322">
        <f t="shared" si="100"/>
        <v>2</v>
      </c>
      <c r="AM22" s="251"/>
      <c r="AN22" s="326" t="s">
        <v>166</v>
      </c>
      <c r="AO22" s="322">
        <f t="shared" si="100"/>
        <v>0</v>
      </c>
      <c r="AP22" s="251"/>
      <c r="AQ22" s="326" t="s">
        <v>157</v>
      </c>
      <c r="AR22" s="322">
        <f t="shared" si="100"/>
        <v>2</v>
      </c>
      <c r="AS22" s="251"/>
      <c r="AT22" s="326" t="s">
        <v>161</v>
      </c>
      <c r="AU22" s="322">
        <f t="shared" si="100"/>
        <v>5</v>
      </c>
      <c r="AV22" s="251"/>
      <c r="AW22" s="326" t="s">
        <v>161</v>
      </c>
      <c r="AX22" s="322">
        <f t="shared" si="100"/>
        <v>5</v>
      </c>
      <c r="AY22" s="251"/>
      <c r="AZ22" s="534" t="s">
        <v>158</v>
      </c>
      <c r="BA22" s="322">
        <f t="shared" si="100"/>
        <v>0</v>
      </c>
      <c r="BB22" s="251"/>
      <c r="BC22" s="326" t="s">
        <v>160</v>
      </c>
      <c r="BD22" s="322">
        <f t="shared" si="100"/>
        <v>0</v>
      </c>
      <c r="BE22" s="251"/>
      <c r="BF22" s="326"/>
      <c r="BG22" s="322">
        <f t="shared" si="100"/>
        <v>0</v>
      </c>
      <c r="BH22" s="251"/>
      <c r="BI22" s="326"/>
      <c r="BJ22" s="322">
        <f t="shared" si="100"/>
        <v>0</v>
      </c>
      <c r="BK22" s="251"/>
      <c r="BL22" s="326"/>
      <c r="BM22" s="322">
        <f t="shared" si="100"/>
        <v>0</v>
      </c>
      <c r="BN22" s="251"/>
      <c r="BO22" s="326"/>
      <c r="BP22" s="322">
        <f t="shared" si="100"/>
        <v>0</v>
      </c>
      <c r="BQ22" s="251"/>
      <c r="BR22" s="326"/>
      <c r="BS22" s="322">
        <f t="shared" si="100"/>
        <v>0</v>
      </c>
      <c r="BT22" s="251"/>
      <c r="BU22" s="326"/>
      <c r="BV22" s="322">
        <f t="shared" si="100"/>
        <v>0</v>
      </c>
      <c r="BW22" s="251"/>
      <c r="BX22" s="326"/>
      <c r="BY22" s="322">
        <f t="shared" si="100"/>
        <v>0</v>
      </c>
      <c r="BZ22" s="251"/>
      <c r="CA22" s="326"/>
      <c r="CB22" s="322">
        <f t="shared" si="99"/>
        <v>0</v>
      </c>
      <c r="CC22" s="251"/>
      <c r="CD22" s="326"/>
      <c r="CE22" s="322">
        <f t="shared" si="99"/>
        <v>0</v>
      </c>
      <c r="CF22" s="251"/>
      <c r="CG22" s="251"/>
      <c r="CH22" s="251"/>
    </row>
    <row r="23" spans="1:86" ht="15" customHeight="1">
      <c r="A23" s="219"/>
      <c r="B23" s="219"/>
      <c r="C23" s="330" t="str">
        <f>+Idiomas!D204</f>
        <v>CUARTOS -Diferencia de goles</v>
      </c>
      <c r="D23" s="269">
        <v>0</v>
      </c>
      <c r="E23" s="219"/>
      <c r="F23" s="562"/>
      <c r="G23" s="334" t="str">
        <f>CONCATENATE(League!D19,"-",League!K19)</f>
        <v>Sporting Portugal-Kairat Almaty </v>
      </c>
      <c r="H23" s="335" t="str">
        <f>CONCATENATE(IF(League!G19&gt;League!H19,1,IF(League!G19&lt;League!H19,2,IF(AND(League!G19=League!H19,League!G19&lt;&gt;"",League!H19&lt;&gt;""),"X",0))),"|",League!G19,"-",League!H19)</f>
        <v>1|4-1</v>
      </c>
      <c r="I23" s="219"/>
      <c r="J23" s="455" t="s">
        <v>165</v>
      </c>
      <c r="K23" s="337">
        <f t="shared" si="96"/>
        <v>2</v>
      </c>
      <c r="L23" s="251"/>
      <c r="M23" s="336" t="s">
        <v>167</v>
      </c>
      <c r="N23" s="337">
        <f t="shared" si="100"/>
        <v>2</v>
      </c>
      <c r="O23" s="251"/>
      <c r="P23" s="336" t="s">
        <v>164</v>
      </c>
      <c r="Q23" s="337">
        <f t="shared" si="100"/>
        <v>2</v>
      </c>
      <c r="R23" s="251"/>
      <c r="S23" s="336" t="s">
        <v>167</v>
      </c>
      <c r="T23" s="337">
        <f t="shared" si="100"/>
        <v>2</v>
      </c>
      <c r="U23" s="251"/>
      <c r="V23" s="336" t="s">
        <v>167</v>
      </c>
      <c r="W23" s="337">
        <f t="shared" si="100"/>
        <v>2</v>
      </c>
      <c r="X23" s="251"/>
      <c r="Y23" s="336" t="s">
        <v>163</v>
      </c>
      <c r="Z23" s="337">
        <f t="shared" si="100"/>
        <v>2</v>
      </c>
      <c r="AA23" s="251"/>
      <c r="AB23" s="336" t="s">
        <v>165</v>
      </c>
      <c r="AC23" s="337">
        <f t="shared" si="100"/>
        <v>2</v>
      </c>
      <c r="AD23" s="251"/>
      <c r="AE23" s="336" t="s">
        <v>160</v>
      </c>
      <c r="AF23" s="337">
        <f t="shared" si="100"/>
        <v>0</v>
      </c>
      <c r="AG23" s="251"/>
      <c r="AH23" s="336" t="s">
        <v>167</v>
      </c>
      <c r="AI23" s="337">
        <f t="shared" si="100"/>
        <v>2</v>
      </c>
      <c r="AJ23" s="251"/>
      <c r="AK23" s="336" t="s">
        <v>163</v>
      </c>
      <c r="AL23" s="337">
        <f t="shared" si="100"/>
        <v>2</v>
      </c>
      <c r="AM23" s="251"/>
      <c r="AN23" s="336" t="s">
        <v>170</v>
      </c>
      <c r="AO23" s="337">
        <f t="shared" si="100"/>
        <v>2</v>
      </c>
      <c r="AP23" s="251"/>
      <c r="AQ23" s="336" t="s">
        <v>166</v>
      </c>
      <c r="AR23" s="337">
        <f t="shared" si="100"/>
        <v>2</v>
      </c>
      <c r="AS23" s="251"/>
      <c r="AT23" s="336" t="s">
        <v>167</v>
      </c>
      <c r="AU23" s="337">
        <f t="shared" si="100"/>
        <v>2</v>
      </c>
      <c r="AV23" s="251"/>
      <c r="AW23" s="336" t="s">
        <v>167</v>
      </c>
      <c r="AX23" s="337">
        <f t="shared" si="100"/>
        <v>2</v>
      </c>
      <c r="AY23" s="251"/>
      <c r="AZ23" s="537" t="s">
        <v>165</v>
      </c>
      <c r="BA23" s="337">
        <f t="shared" si="100"/>
        <v>2</v>
      </c>
      <c r="BB23" s="251"/>
      <c r="BC23" s="336" t="s">
        <v>165</v>
      </c>
      <c r="BD23" s="337">
        <f t="shared" si="100"/>
        <v>2</v>
      </c>
      <c r="BE23" s="251"/>
      <c r="BF23" s="336"/>
      <c r="BG23" s="337">
        <f t="shared" si="100"/>
        <v>0</v>
      </c>
      <c r="BH23" s="251"/>
      <c r="BI23" s="336"/>
      <c r="BJ23" s="337">
        <f t="shared" si="100"/>
        <v>0</v>
      </c>
      <c r="BK23" s="251"/>
      <c r="BL23" s="336"/>
      <c r="BM23" s="337">
        <f t="shared" si="100"/>
        <v>0</v>
      </c>
      <c r="BN23" s="251"/>
      <c r="BO23" s="336"/>
      <c r="BP23" s="337">
        <f t="shared" si="100"/>
        <v>0</v>
      </c>
      <c r="BQ23" s="251"/>
      <c r="BR23" s="336"/>
      <c r="BS23" s="337">
        <f t="shared" si="100"/>
        <v>0</v>
      </c>
      <c r="BT23" s="251"/>
      <c r="BU23" s="336"/>
      <c r="BV23" s="337">
        <f t="shared" si="100"/>
        <v>0</v>
      </c>
      <c r="BW23" s="251"/>
      <c r="BX23" s="336"/>
      <c r="BY23" s="337">
        <f t="shared" si="100"/>
        <v>0</v>
      </c>
      <c r="BZ23" s="251"/>
      <c r="CA23" s="336"/>
      <c r="CB23" s="337">
        <f t="shared" si="99"/>
        <v>0</v>
      </c>
      <c r="CC23" s="251"/>
      <c r="CD23" s="336"/>
      <c r="CE23" s="337">
        <f t="shared" si="99"/>
        <v>0</v>
      </c>
      <c r="CF23" s="251"/>
      <c r="CG23" s="251"/>
      <c r="CH23" s="251"/>
    </row>
    <row r="24" spans="1:86" ht="15" customHeight="1">
      <c r="A24" s="338"/>
      <c r="B24" s="338"/>
      <c r="C24" s="327" t="str">
        <f>+Idiomas!D205</f>
        <v>CUARTOS - Resultado exacto</v>
      </c>
      <c r="D24" s="268">
        <v>0</v>
      </c>
      <c r="E24" s="338"/>
      <c r="F24" s="561" t="str">
        <f>+Idiomas!D100</f>
        <v>J2</v>
      </c>
      <c r="G24" s="319" t="str">
        <f>CONCATENATE(League!D20,"-",League!K20)</f>
        <v>Atalanta-Brugge</v>
      </c>
      <c r="H24" s="320" t="str">
        <f>CONCATENATE(IF(League!G20&gt;League!H20,1,IF(League!G20&lt;League!H20,2,IF(AND(League!G20=League!H20,League!G20&lt;&gt;"",League!H20&lt;&gt;""),"X",0))),"|",League!G20,"-",League!H20)</f>
        <v>1|2-1</v>
      </c>
      <c r="I24" s="339"/>
      <c r="J24" s="452" t="s">
        <v>162</v>
      </c>
      <c r="K24" s="341">
        <f t="shared" si="96"/>
        <v>0</v>
      </c>
      <c r="L24" s="342"/>
      <c r="M24" s="340" t="s">
        <v>164</v>
      </c>
      <c r="N24" s="341">
        <f t="shared" si="100"/>
        <v>2</v>
      </c>
      <c r="O24" s="342"/>
      <c r="P24" s="340" t="s">
        <v>166</v>
      </c>
      <c r="Q24" s="341">
        <f t="shared" si="100"/>
        <v>5</v>
      </c>
      <c r="R24" s="342"/>
      <c r="S24" s="340" t="s">
        <v>158</v>
      </c>
      <c r="T24" s="341">
        <f t="shared" si="100"/>
        <v>0</v>
      </c>
      <c r="U24" s="342"/>
      <c r="V24" s="340" t="s">
        <v>168</v>
      </c>
      <c r="W24" s="341">
        <f t="shared" si="100"/>
        <v>0</v>
      </c>
      <c r="X24" s="342"/>
      <c r="Y24" s="340" t="s">
        <v>166</v>
      </c>
      <c r="Z24" s="341">
        <f t="shared" si="100"/>
        <v>5</v>
      </c>
      <c r="AA24" s="342"/>
      <c r="AB24" s="340" t="s">
        <v>167</v>
      </c>
      <c r="AC24" s="341">
        <f t="shared" si="100"/>
        <v>2</v>
      </c>
      <c r="AD24" s="342"/>
      <c r="AE24" s="340" t="s">
        <v>174</v>
      </c>
      <c r="AF24" s="341">
        <f t="shared" si="100"/>
        <v>0</v>
      </c>
      <c r="AG24" s="342"/>
      <c r="AH24" s="340" t="s">
        <v>166</v>
      </c>
      <c r="AI24" s="341">
        <f t="shared" si="100"/>
        <v>5</v>
      </c>
      <c r="AJ24" s="342"/>
      <c r="AK24" s="340" t="s">
        <v>165</v>
      </c>
      <c r="AL24" s="341">
        <f t="shared" si="100"/>
        <v>2</v>
      </c>
      <c r="AM24" s="342"/>
      <c r="AN24" s="340" t="s">
        <v>166</v>
      </c>
      <c r="AO24" s="341">
        <f t="shared" si="100"/>
        <v>5</v>
      </c>
      <c r="AP24" s="342"/>
      <c r="AQ24" s="340" t="s">
        <v>167</v>
      </c>
      <c r="AR24" s="341">
        <f t="shared" si="100"/>
        <v>2</v>
      </c>
      <c r="AS24" s="342"/>
      <c r="AT24" s="340" t="s">
        <v>166</v>
      </c>
      <c r="AU24" s="341">
        <f t="shared" si="100"/>
        <v>5</v>
      </c>
      <c r="AV24" s="342"/>
      <c r="AW24" s="340" t="s">
        <v>158</v>
      </c>
      <c r="AX24" s="341">
        <f t="shared" si="100"/>
        <v>0</v>
      </c>
      <c r="AY24" s="342"/>
      <c r="AZ24" s="534" t="s">
        <v>164</v>
      </c>
      <c r="BA24" s="341">
        <f t="shared" si="100"/>
        <v>2</v>
      </c>
      <c r="BB24" s="342"/>
      <c r="BC24" s="340" t="s">
        <v>166</v>
      </c>
      <c r="BD24" s="341">
        <f t="shared" si="100"/>
        <v>5</v>
      </c>
      <c r="BE24" s="342"/>
      <c r="BF24" s="340" t="str">
        <f>+Idiomas!$D$239</f>
        <v>Pegar Valores (J2)</v>
      </c>
      <c r="BG24" s="341">
        <f t="shared" si="100"/>
        <v>0</v>
      </c>
      <c r="BH24" s="342"/>
      <c r="BI24" s="340" t="str">
        <f>+Idiomas!$D$239</f>
        <v>Pegar Valores (J2)</v>
      </c>
      <c r="BJ24" s="341">
        <f t="shared" si="100"/>
        <v>0</v>
      </c>
      <c r="BK24" s="342"/>
      <c r="BL24" s="340" t="str">
        <f>+Idiomas!$D$239</f>
        <v>Pegar Valores (J2)</v>
      </c>
      <c r="BM24" s="341">
        <f t="shared" si="100"/>
        <v>0</v>
      </c>
      <c r="BN24" s="342"/>
      <c r="BO24" s="340" t="str">
        <f>+Idiomas!$D$239</f>
        <v>Pegar Valores (J2)</v>
      </c>
      <c r="BP24" s="341">
        <f t="shared" si="100"/>
        <v>0</v>
      </c>
      <c r="BQ24" s="342"/>
      <c r="BR24" s="340" t="str">
        <f>+Idiomas!$D$239</f>
        <v>Pegar Valores (J2)</v>
      </c>
      <c r="BS24" s="341">
        <f t="shared" si="100"/>
        <v>0</v>
      </c>
      <c r="BT24" s="342"/>
      <c r="BU24" s="340" t="str">
        <f>+Idiomas!$D$239</f>
        <v>Pegar Valores (J2)</v>
      </c>
      <c r="BV24" s="341">
        <f t="shared" si="100"/>
        <v>0</v>
      </c>
      <c r="BW24" s="342"/>
      <c r="BX24" s="340" t="str">
        <f>+Idiomas!$D$239</f>
        <v>Pegar Valores (J2)</v>
      </c>
      <c r="BY24" s="341">
        <f t="shared" si="100"/>
        <v>0</v>
      </c>
      <c r="BZ24" s="342"/>
      <c r="CA24" s="340" t="str">
        <f>+Idiomas!$D$239</f>
        <v>Pegar Valores (J2)</v>
      </c>
      <c r="CB24" s="341">
        <f t="shared" si="99"/>
        <v>0</v>
      </c>
      <c r="CC24" s="342"/>
      <c r="CD24" s="340" t="str">
        <f>+Idiomas!$D$239</f>
        <v>Pegar Valores (J2)</v>
      </c>
      <c r="CE24" s="341">
        <f t="shared" si="99"/>
        <v>0</v>
      </c>
      <c r="CF24" s="342"/>
      <c r="CG24" s="342"/>
      <c r="CH24" s="342"/>
    </row>
    <row r="25" spans="1:86" ht="15" customHeight="1">
      <c r="A25" s="343"/>
      <c r="B25" s="343"/>
      <c r="C25" s="332" t="str">
        <f>+Idiomas!D206</f>
        <v>Equipo clasificado para SEMIFINALES</v>
      </c>
      <c r="D25" s="270">
        <v>0</v>
      </c>
      <c r="E25" s="343"/>
      <c r="F25" s="561"/>
      <c r="G25" s="319" t="str">
        <f>CONCATENATE(League!D21,"-",League!K21)</f>
        <v>Kairat Almaty -Real Madrid</v>
      </c>
      <c r="H25" s="320" t="str">
        <f>CONCATENATE(IF(League!G21&gt;League!H21,1,IF(League!G21&lt;League!H21,2,IF(AND(League!G21=League!H21,League!G21&lt;&gt;"",League!H21&lt;&gt;""),"X",0))),"|",League!G21,"-",League!H21)</f>
        <v>2|0-5</v>
      </c>
      <c r="I25" s="219"/>
      <c r="J25" s="452" t="s">
        <v>157</v>
      </c>
      <c r="K25" s="322">
        <f t="shared" si="96"/>
        <v>2</v>
      </c>
      <c r="L25" s="251"/>
      <c r="M25" s="326" t="s">
        <v>177</v>
      </c>
      <c r="N25" s="322">
        <f t="shared" si="100"/>
        <v>2</v>
      </c>
      <c r="O25" s="251"/>
      <c r="P25" s="326" t="s">
        <v>178</v>
      </c>
      <c r="Q25" s="322">
        <f t="shared" si="100"/>
        <v>5</v>
      </c>
      <c r="R25" s="251"/>
      <c r="S25" s="326" t="s">
        <v>179</v>
      </c>
      <c r="T25" s="322">
        <f t="shared" si="100"/>
        <v>2</v>
      </c>
      <c r="U25" s="251"/>
      <c r="V25" s="326" t="s">
        <v>180</v>
      </c>
      <c r="W25" s="322">
        <f t="shared" si="100"/>
        <v>2</v>
      </c>
      <c r="X25" s="251"/>
      <c r="Y25" s="326" t="s">
        <v>179</v>
      </c>
      <c r="Z25" s="322">
        <f t="shared" si="100"/>
        <v>2</v>
      </c>
      <c r="AA25" s="251"/>
      <c r="AB25" s="326" t="s">
        <v>179</v>
      </c>
      <c r="AC25" s="322">
        <f t="shared" si="100"/>
        <v>2</v>
      </c>
      <c r="AD25" s="251"/>
      <c r="AE25" s="326" t="s">
        <v>159</v>
      </c>
      <c r="AF25" s="322">
        <f t="shared" si="100"/>
        <v>2</v>
      </c>
      <c r="AG25" s="251"/>
      <c r="AH25" s="326" t="s">
        <v>159</v>
      </c>
      <c r="AI25" s="322">
        <f t="shared" si="100"/>
        <v>2</v>
      </c>
      <c r="AJ25" s="251"/>
      <c r="AK25" s="326" t="s">
        <v>159</v>
      </c>
      <c r="AL25" s="322">
        <f t="shared" si="100"/>
        <v>2</v>
      </c>
      <c r="AM25" s="251"/>
      <c r="AN25" s="326" t="s">
        <v>161</v>
      </c>
      <c r="AO25" s="322">
        <f t="shared" si="100"/>
        <v>2</v>
      </c>
      <c r="AP25" s="251"/>
      <c r="AQ25" s="326" t="s">
        <v>159</v>
      </c>
      <c r="AR25" s="322">
        <f t="shared" si="100"/>
        <v>2</v>
      </c>
      <c r="AS25" s="251"/>
      <c r="AT25" s="326" t="s">
        <v>159</v>
      </c>
      <c r="AU25" s="322">
        <f t="shared" si="100"/>
        <v>2</v>
      </c>
      <c r="AV25" s="251"/>
      <c r="AW25" s="326" t="s">
        <v>162</v>
      </c>
      <c r="AX25" s="322">
        <f t="shared" si="100"/>
        <v>2</v>
      </c>
      <c r="AY25" s="251"/>
      <c r="AZ25" s="534" t="s">
        <v>162</v>
      </c>
      <c r="BA25" s="322">
        <f t="shared" si="100"/>
        <v>2</v>
      </c>
      <c r="BB25" s="251"/>
      <c r="BC25" s="326" t="s">
        <v>179</v>
      </c>
      <c r="BD25" s="322">
        <f t="shared" si="100"/>
        <v>2</v>
      </c>
      <c r="BE25" s="251"/>
      <c r="BF25" s="326"/>
      <c r="BG25" s="322">
        <f t="shared" si="100"/>
        <v>0</v>
      </c>
      <c r="BH25" s="251"/>
      <c r="BI25" s="326"/>
      <c r="BJ25" s="322">
        <f t="shared" si="100"/>
        <v>0</v>
      </c>
      <c r="BK25" s="251"/>
      <c r="BL25" s="326"/>
      <c r="BM25" s="322">
        <f t="shared" si="100"/>
        <v>0</v>
      </c>
      <c r="BN25" s="251"/>
      <c r="BO25" s="326"/>
      <c r="BP25" s="322">
        <f t="shared" si="100"/>
        <v>0</v>
      </c>
      <c r="BQ25" s="251"/>
      <c r="BR25" s="326"/>
      <c r="BS25" s="322">
        <f t="shared" si="100"/>
        <v>0</v>
      </c>
      <c r="BT25" s="251"/>
      <c r="BU25" s="326"/>
      <c r="BV25" s="322">
        <f t="shared" si="100"/>
        <v>0</v>
      </c>
      <c r="BW25" s="251"/>
      <c r="BX25" s="326"/>
      <c r="BY25" s="322">
        <f t="shared" si="100"/>
        <v>0</v>
      </c>
      <c r="BZ25" s="251"/>
      <c r="CA25" s="326"/>
      <c r="CB25" s="322">
        <f t="shared" si="99"/>
        <v>0</v>
      </c>
      <c r="CC25" s="251"/>
      <c r="CD25" s="326"/>
      <c r="CE25" s="322">
        <f t="shared" si="99"/>
        <v>0</v>
      </c>
      <c r="CF25" s="251"/>
      <c r="CG25" s="251"/>
      <c r="CH25" s="251"/>
    </row>
    <row r="26" spans="1:86" ht="15" customHeight="1">
      <c r="A26" s="343"/>
      <c r="B26" s="343"/>
      <c r="C26" s="327" t="str">
        <f>+Idiomas!D207</f>
        <v>SEMIFINALES - Signo 1X2  (local, empate, visitante)</v>
      </c>
      <c r="D26" s="268">
        <v>0</v>
      </c>
      <c r="E26" s="343"/>
      <c r="F26" s="561"/>
      <c r="G26" s="328" t="str">
        <f>CONCATENATE(League!D22,"-",League!K22)</f>
        <v>Atlético Madrid-Eintracht Frankfurt</v>
      </c>
      <c r="H26" s="320" t="str">
        <f>CONCATENATE(IF(League!G22&gt;League!H22,1,IF(League!G22&lt;League!H22,2,IF(AND(League!G22=League!H22,League!G22&lt;&gt;"",League!H22&lt;&gt;""),"X",0))),"|",League!G22,"-",League!H22)</f>
        <v>1|5-1</v>
      </c>
      <c r="I26" s="219"/>
      <c r="J26" s="452" t="s">
        <v>160</v>
      </c>
      <c r="K26" s="322">
        <f t="shared" si="96"/>
        <v>0</v>
      </c>
      <c r="L26" s="251"/>
      <c r="M26" s="326" t="s">
        <v>170</v>
      </c>
      <c r="N26" s="322">
        <f t="shared" si="100"/>
        <v>2</v>
      </c>
      <c r="O26" s="251"/>
      <c r="P26" s="326" t="s">
        <v>170</v>
      </c>
      <c r="Q26" s="322">
        <f t="shared" si="100"/>
        <v>2</v>
      </c>
      <c r="R26" s="251"/>
      <c r="S26" s="326" t="s">
        <v>165</v>
      </c>
      <c r="T26" s="322">
        <f t="shared" si="100"/>
        <v>2</v>
      </c>
      <c r="U26" s="251"/>
      <c r="V26" s="326" t="s">
        <v>165</v>
      </c>
      <c r="W26" s="322">
        <f t="shared" si="100"/>
        <v>2</v>
      </c>
      <c r="X26" s="251"/>
      <c r="Y26" s="326" t="s">
        <v>166</v>
      </c>
      <c r="Z26" s="322">
        <f t="shared" si="100"/>
        <v>2</v>
      </c>
      <c r="AA26" s="251"/>
      <c r="AB26" s="326" t="s">
        <v>158</v>
      </c>
      <c r="AC26" s="322">
        <f t="shared" si="100"/>
        <v>0</v>
      </c>
      <c r="AD26" s="251"/>
      <c r="AE26" s="326" t="s">
        <v>166</v>
      </c>
      <c r="AF26" s="322">
        <f t="shared" si="100"/>
        <v>2</v>
      </c>
      <c r="AG26" s="251"/>
      <c r="AH26" s="326" t="s">
        <v>166</v>
      </c>
      <c r="AI26" s="322">
        <f t="shared" si="100"/>
        <v>2</v>
      </c>
      <c r="AJ26" s="251"/>
      <c r="AK26" s="326" t="s">
        <v>167</v>
      </c>
      <c r="AL26" s="322">
        <f t="shared" si="100"/>
        <v>2</v>
      </c>
      <c r="AM26" s="251"/>
      <c r="AN26" s="326" t="s">
        <v>166</v>
      </c>
      <c r="AO26" s="322">
        <f t="shared" si="100"/>
        <v>2</v>
      </c>
      <c r="AP26" s="251"/>
      <c r="AQ26" s="326" t="s">
        <v>166</v>
      </c>
      <c r="AR26" s="322">
        <f t="shared" si="100"/>
        <v>2</v>
      </c>
      <c r="AS26" s="251"/>
      <c r="AT26" s="326" t="s">
        <v>158</v>
      </c>
      <c r="AU26" s="322">
        <f t="shared" si="100"/>
        <v>0</v>
      </c>
      <c r="AV26" s="251"/>
      <c r="AW26" s="326" t="s">
        <v>158</v>
      </c>
      <c r="AX26" s="322">
        <f t="shared" si="100"/>
        <v>0</v>
      </c>
      <c r="AY26" s="251"/>
      <c r="AZ26" s="534" t="s">
        <v>165</v>
      </c>
      <c r="BA26" s="322">
        <f t="shared" si="100"/>
        <v>2</v>
      </c>
      <c r="BB26" s="251"/>
      <c r="BC26" s="326" t="s">
        <v>170</v>
      </c>
      <c r="BD26" s="322">
        <f t="shared" si="100"/>
        <v>2</v>
      </c>
      <c r="BE26" s="251"/>
      <c r="BF26" s="326"/>
      <c r="BG26" s="322">
        <f t="shared" si="100"/>
        <v>0</v>
      </c>
      <c r="BH26" s="251"/>
      <c r="BI26" s="326"/>
      <c r="BJ26" s="322">
        <f t="shared" si="100"/>
        <v>0</v>
      </c>
      <c r="BK26" s="251"/>
      <c r="BL26" s="326"/>
      <c r="BM26" s="322">
        <f t="shared" si="100"/>
        <v>0</v>
      </c>
      <c r="BN26" s="251"/>
      <c r="BO26" s="326"/>
      <c r="BP26" s="322">
        <f t="shared" si="100"/>
        <v>0</v>
      </c>
      <c r="BQ26" s="251"/>
      <c r="BR26" s="326"/>
      <c r="BS26" s="322">
        <f t="shared" si="100"/>
        <v>0</v>
      </c>
      <c r="BT26" s="251"/>
      <c r="BU26" s="326"/>
      <c r="BV26" s="322">
        <f t="shared" si="100"/>
        <v>0</v>
      </c>
      <c r="BW26" s="251"/>
      <c r="BX26" s="326"/>
      <c r="BY26" s="322">
        <f t="shared" si="100"/>
        <v>0</v>
      </c>
      <c r="BZ26" s="251"/>
      <c r="CA26" s="326"/>
      <c r="CB26" s="322">
        <f t="shared" si="99"/>
        <v>0</v>
      </c>
      <c r="CC26" s="251"/>
      <c r="CD26" s="326"/>
      <c r="CE26" s="322">
        <f t="shared" si="99"/>
        <v>0</v>
      </c>
      <c r="CF26" s="251"/>
      <c r="CG26" s="251"/>
      <c r="CH26" s="251"/>
    </row>
    <row r="27" spans="1:86" ht="15" customHeight="1">
      <c r="A27" s="343"/>
      <c r="B27" s="343"/>
      <c r="C27" s="330" t="str">
        <f>+Idiomas!D208</f>
        <v>SEMIFINALES -Diferencia de goles</v>
      </c>
      <c r="D27" s="269">
        <v>0</v>
      </c>
      <c r="E27" s="343"/>
      <c r="F27" s="561"/>
      <c r="G27" s="319" t="str">
        <f>CONCATENATE(League!D23,"-",League!K23)</f>
        <v>Chelsea-Benfica</v>
      </c>
      <c r="H27" s="320" t="str">
        <f>CONCATENATE(IF(League!G23&gt;League!H23,1,IF(League!G23&lt;League!H23,2,IF(AND(League!G23=League!H23,League!G23&lt;&gt;"",League!H23&lt;&gt;""),"X",0))),"|",League!G23,"-",League!H23)</f>
        <v>1|1-0</v>
      </c>
      <c r="I27" s="219"/>
      <c r="J27" s="452" t="s">
        <v>170</v>
      </c>
      <c r="K27" s="322">
        <f t="shared" si="96"/>
        <v>2</v>
      </c>
      <c r="L27" s="251"/>
      <c r="M27" s="326" t="s">
        <v>170</v>
      </c>
      <c r="N27" s="322">
        <f t="shared" si="100"/>
        <v>2</v>
      </c>
      <c r="O27" s="251"/>
      <c r="P27" s="326" t="s">
        <v>171</v>
      </c>
      <c r="Q27" s="322">
        <f t="shared" si="100"/>
        <v>2</v>
      </c>
      <c r="R27" s="251"/>
      <c r="S27" s="326" t="s">
        <v>166</v>
      </c>
      <c r="T27" s="322">
        <f t="shared" si="100"/>
        <v>2</v>
      </c>
      <c r="U27" s="251"/>
      <c r="V27" s="326" t="s">
        <v>166</v>
      </c>
      <c r="W27" s="322">
        <f t="shared" si="100"/>
        <v>2</v>
      </c>
      <c r="X27" s="251"/>
      <c r="Y27" s="326" t="s">
        <v>167</v>
      </c>
      <c r="Z27" s="322">
        <f t="shared" si="100"/>
        <v>2</v>
      </c>
      <c r="AA27" s="251"/>
      <c r="AB27" s="326" t="s">
        <v>166</v>
      </c>
      <c r="AC27" s="322">
        <f t="shared" si="100"/>
        <v>2</v>
      </c>
      <c r="AD27" s="251"/>
      <c r="AE27" s="326" t="s">
        <v>169</v>
      </c>
      <c r="AF27" s="322">
        <f t="shared" si="100"/>
        <v>2</v>
      </c>
      <c r="AG27" s="251"/>
      <c r="AH27" s="326" t="s">
        <v>167</v>
      </c>
      <c r="AI27" s="322">
        <f t="shared" si="100"/>
        <v>2</v>
      </c>
      <c r="AJ27" s="251"/>
      <c r="AK27" s="326" t="s">
        <v>166</v>
      </c>
      <c r="AL27" s="322">
        <f t="shared" si="100"/>
        <v>2</v>
      </c>
      <c r="AM27" s="251"/>
      <c r="AN27" s="326" t="s">
        <v>166</v>
      </c>
      <c r="AO27" s="322">
        <f t="shared" si="100"/>
        <v>2</v>
      </c>
      <c r="AP27" s="251"/>
      <c r="AQ27" s="326" t="s">
        <v>158</v>
      </c>
      <c r="AR27" s="322">
        <f t="shared" si="100"/>
        <v>0</v>
      </c>
      <c r="AS27" s="251"/>
      <c r="AT27" s="326" t="s">
        <v>160</v>
      </c>
      <c r="AU27" s="322">
        <f t="shared" si="100"/>
        <v>0</v>
      </c>
      <c r="AV27" s="251"/>
      <c r="AW27" s="326" t="s">
        <v>166</v>
      </c>
      <c r="AX27" s="322">
        <f t="shared" si="100"/>
        <v>2</v>
      </c>
      <c r="AY27" s="251"/>
      <c r="AZ27" s="534" t="s">
        <v>166</v>
      </c>
      <c r="BA27" s="322">
        <f t="shared" si="100"/>
        <v>2</v>
      </c>
      <c r="BB27" s="251"/>
      <c r="BC27" s="326" t="s">
        <v>166</v>
      </c>
      <c r="BD27" s="322">
        <f t="shared" si="100"/>
        <v>2</v>
      </c>
      <c r="BE27" s="251"/>
      <c r="BF27" s="326"/>
      <c r="BG27" s="322">
        <f t="shared" si="100"/>
        <v>0</v>
      </c>
      <c r="BH27" s="251"/>
      <c r="BI27" s="326"/>
      <c r="BJ27" s="322">
        <f t="shared" si="100"/>
        <v>0</v>
      </c>
      <c r="BK27" s="251"/>
      <c r="BL27" s="326"/>
      <c r="BM27" s="322">
        <f t="shared" si="100"/>
        <v>0</v>
      </c>
      <c r="BN27" s="251"/>
      <c r="BO27" s="326"/>
      <c r="BP27" s="322">
        <f t="shared" si="100"/>
        <v>0</v>
      </c>
      <c r="BQ27" s="251"/>
      <c r="BR27" s="326"/>
      <c r="BS27" s="322">
        <f t="shared" si="100"/>
        <v>0</v>
      </c>
      <c r="BT27" s="251"/>
      <c r="BU27" s="326"/>
      <c r="BV27" s="322">
        <f t="shared" si="100"/>
        <v>0</v>
      </c>
      <c r="BW27" s="251"/>
      <c r="BX27" s="326"/>
      <c r="BY27" s="322">
        <f t="shared" si="100"/>
        <v>0</v>
      </c>
      <c r="BZ27" s="251"/>
      <c r="CA27" s="326"/>
      <c r="CB27" s="322">
        <f t="shared" si="99"/>
        <v>0</v>
      </c>
      <c r="CC27" s="251"/>
      <c r="CD27" s="326"/>
      <c r="CE27" s="322">
        <f t="shared" si="99"/>
        <v>0</v>
      </c>
      <c r="CF27" s="251"/>
      <c r="CG27" s="251"/>
      <c r="CH27" s="251"/>
    </row>
    <row r="28" spans="1:86" ht="15" customHeight="1">
      <c r="A28" s="343"/>
      <c r="B28" s="343"/>
      <c r="C28" s="327" t="str">
        <f>+Idiomas!D209</f>
        <v>SEMIFINALES - Resultado exacto</v>
      </c>
      <c r="D28" s="268">
        <v>0</v>
      </c>
      <c r="E28" s="343"/>
      <c r="F28" s="561"/>
      <c r="G28" s="328" t="str">
        <f>CONCATENATE(League!D24,"-",League!K24)</f>
        <v>Inter Milan-Slavia Praha</v>
      </c>
      <c r="H28" s="320" t="str">
        <f>CONCATENATE(IF(League!G24&gt;League!H24,1,IF(League!G24&lt;League!H24,2,IF(AND(League!G24=League!H24,League!G24&lt;&gt;"",League!H24&lt;&gt;""),"X",0))),"|",League!G24,"-",League!H24)</f>
        <v>1|3-0</v>
      </c>
      <c r="I28" s="219"/>
      <c r="J28" s="452" t="s">
        <v>163</v>
      </c>
      <c r="K28" s="322">
        <f t="shared" si="96"/>
        <v>2</v>
      </c>
      <c r="L28" s="251"/>
      <c r="M28" s="326" t="s">
        <v>167</v>
      </c>
      <c r="N28" s="322">
        <f t="shared" si="100"/>
        <v>2</v>
      </c>
      <c r="O28" s="251"/>
      <c r="P28" s="326" t="s">
        <v>169</v>
      </c>
      <c r="Q28" s="322">
        <f t="shared" si="100"/>
        <v>2</v>
      </c>
      <c r="R28" s="251"/>
      <c r="S28" s="326" t="s">
        <v>167</v>
      </c>
      <c r="T28" s="322">
        <f t="shared" si="100"/>
        <v>2</v>
      </c>
      <c r="U28" s="251"/>
      <c r="V28" s="326" t="s">
        <v>166</v>
      </c>
      <c r="W28" s="322">
        <f t="shared" si="100"/>
        <v>2</v>
      </c>
      <c r="X28" s="251"/>
      <c r="Y28" s="326" t="s">
        <v>170</v>
      </c>
      <c r="Z28" s="322">
        <f t="shared" si="100"/>
        <v>2</v>
      </c>
      <c r="AA28" s="251"/>
      <c r="AB28" s="326" t="s">
        <v>167</v>
      </c>
      <c r="AC28" s="322">
        <f t="shared" si="100"/>
        <v>2</v>
      </c>
      <c r="AD28" s="251"/>
      <c r="AE28" s="326" t="s">
        <v>164</v>
      </c>
      <c r="AF28" s="322">
        <f t="shared" si="100"/>
        <v>2</v>
      </c>
      <c r="AG28" s="251"/>
      <c r="AH28" s="326" t="s">
        <v>170</v>
      </c>
      <c r="AI28" s="322">
        <f t="shared" si="100"/>
        <v>2</v>
      </c>
      <c r="AJ28" s="251"/>
      <c r="AK28" s="326" t="s">
        <v>165</v>
      </c>
      <c r="AL28" s="322">
        <f t="shared" si="100"/>
        <v>5</v>
      </c>
      <c r="AM28" s="251"/>
      <c r="AN28" s="326" t="s">
        <v>166</v>
      </c>
      <c r="AO28" s="322">
        <f t="shared" si="100"/>
        <v>2</v>
      </c>
      <c r="AP28" s="251"/>
      <c r="AQ28" s="326" t="s">
        <v>170</v>
      </c>
      <c r="AR28" s="322">
        <f t="shared" si="100"/>
        <v>2</v>
      </c>
      <c r="AS28" s="251"/>
      <c r="AT28" s="326" t="s">
        <v>164</v>
      </c>
      <c r="AU28" s="322">
        <f t="shared" si="100"/>
        <v>2</v>
      </c>
      <c r="AV28" s="251"/>
      <c r="AW28" s="326" t="s">
        <v>167</v>
      </c>
      <c r="AX28" s="322">
        <f t="shared" si="100"/>
        <v>2</v>
      </c>
      <c r="AY28" s="251"/>
      <c r="AZ28" s="534" t="s">
        <v>167</v>
      </c>
      <c r="BA28" s="322">
        <f t="shared" si="100"/>
        <v>2</v>
      </c>
      <c r="BB28" s="251"/>
      <c r="BC28" s="326" t="s">
        <v>166</v>
      </c>
      <c r="BD28" s="322">
        <f t="shared" si="100"/>
        <v>2</v>
      </c>
      <c r="BE28" s="251"/>
      <c r="BF28" s="326"/>
      <c r="BG28" s="322">
        <f t="shared" si="100"/>
        <v>0</v>
      </c>
      <c r="BH28" s="251"/>
      <c r="BI28" s="326"/>
      <c r="BJ28" s="322">
        <f t="shared" si="100"/>
        <v>0</v>
      </c>
      <c r="BK28" s="251"/>
      <c r="BL28" s="326"/>
      <c r="BM28" s="322">
        <f t="shared" si="100"/>
        <v>0</v>
      </c>
      <c r="BN28" s="251"/>
      <c r="BO28" s="326"/>
      <c r="BP28" s="322">
        <f t="shared" si="100"/>
        <v>0</v>
      </c>
      <c r="BQ28" s="251"/>
      <c r="BR28" s="326"/>
      <c r="BS28" s="322">
        <f t="shared" si="100"/>
        <v>0</v>
      </c>
      <c r="BT28" s="251"/>
      <c r="BU28" s="326"/>
      <c r="BV28" s="322">
        <f t="shared" si="100"/>
        <v>0</v>
      </c>
      <c r="BW28" s="251"/>
      <c r="BX28" s="326"/>
      <c r="BY28" s="322">
        <f t="shared" si="100"/>
        <v>0</v>
      </c>
      <c r="BZ28" s="251"/>
      <c r="CA28" s="326"/>
      <c r="CB28" s="322">
        <f t="shared" si="99"/>
        <v>0</v>
      </c>
      <c r="CC28" s="251"/>
      <c r="CD28" s="326"/>
      <c r="CE28" s="322">
        <f t="shared" si="99"/>
        <v>0</v>
      </c>
      <c r="CF28" s="251"/>
      <c r="CG28" s="251"/>
      <c r="CH28" s="251"/>
    </row>
    <row r="29" spans="1:86" ht="15" customHeight="1">
      <c r="A29" s="343"/>
      <c r="B29" s="343"/>
      <c r="C29" s="332" t="str">
        <f>+Idiomas!D210</f>
        <v>Equipo clasificado para LA FINAL</v>
      </c>
      <c r="D29" s="270">
        <v>0</v>
      </c>
      <c r="E29" s="343"/>
      <c r="F29" s="561"/>
      <c r="G29" s="319" t="str">
        <f>CONCATENATE(League!D25,"-",League!K25)</f>
        <v>Bodø/Glimt-Tottenham</v>
      </c>
      <c r="H29" s="320" t="str">
        <f>CONCATENATE(IF(League!G25&gt;League!H25,1,IF(League!G25&lt;League!H25,2,IF(AND(League!G25=League!H25,League!G25&lt;&gt;"",League!H25&lt;&gt;""),"X",0))),"|",League!G25,"-",League!H25)</f>
        <v>X|2-2</v>
      </c>
      <c r="I29" s="219"/>
      <c r="J29" s="452" t="s">
        <v>157</v>
      </c>
      <c r="K29" s="322">
        <f t="shared" si="96"/>
        <v>0</v>
      </c>
      <c r="L29" s="251"/>
      <c r="M29" s="326" t="s">
        <v>174</v>
      </c>
      <c r="N29" s="322">
        <f t="shared" si="100"/>
        <v>0</v>
      </c>
      <c r="O29" s="251"/>
      <c r="P29" s="326" t="s">
        <v>161</v>
      </c>
      <c r="Q29" s="322">
        <f t="shared" si="100"/>
        <v>0</v>
      </c>
      <c r="R29" s="251"/>
      <c r="S29" s="326" t="s">
        <v>161</v>
      </c>
      <c r="T29" s="322">
        <f t="shared" si="100"/>
        <v>0</v>
      </c>
      <c r="U29" s="251"/>
      <c r="V29" s="326" t="s">
        <v>158</v>
      </c>
      <c r="W29" s="322">
        <f t="shared" si="100"/>
        <v>2</v>
      </c>
      <c r="X29" s="251"/>
      <c r="Y29" s="326" t="s">
        <v>179</v>
      </c>
      <c r="Z29" s="322">
        <f t="shared" si="100"/>
        <v>0</v>
      </c>
      <c r="AA29" s="251"/>
      <c r="AB29" s="326" t="s">
        <v>174</v>
      </c>
      <c r="AC29" s="322">
        <f t="shared" si="100"/>
        <v>0</v>
      </c>
      <c r="AD29" s="251"/>
      <c r="AE29" s="326" t="s">
        <v>160</v>
      </c>
      <c r="AF29" s="322">
        <f t="shared" si="100"/>
        <v>5</v>
      </c>
      <c r="AG29" s="251"/>
      <c r="AH29" s="326" t="s">
        <v>174</v>
      </c>
      <c r="AI29" s="322">
        <f t="shared" si="100"/>
        <v>0</v>
      </c>
      <c r="AJ29" s="251"/>
      <c r="AK29" s="326" t="s">
        <v>159</v>
      </c>
      <c r="AL29" s="322">
        <f t="shared" si="100"/>
        <v>0</v>
      </c>
      <c r="AM29" s="251"/>
      <c r="AN29" s="326" t="s">
        <v>157</v>
      </c>
      <c r="AO29" s="322">
        <f t="shared" si="100"/>
        <v>0</v>
      </c>
      <c r="AP29" s="251"/>
      <c r="AQ29" s="326" t="s">
        <v>162</v>
      </c>
      <c r="AR29" s="322">
        <f t="shared" si="100"/>
        <v>0</v>
      </c>
      <c r="AS29" s="251"/>
      <c r="AT29" s="326" t="s">
        <v>162</v>
      </c>
      <c r="AU29" s="322">
        <f t="shared" si="100"/>
        <v>0</v>
      </c>
      <c r="AV29" s="251"/>
      <c r="AW29" s="326" t="s">
        <v>161</v>
      </c>
      <c r="AX29" s="322">
        <f t="shared" si="100"/>
        <v>0</v>
      </c>
      <c r="AY29" s="251"/>
      <c r="AZ29" s="534" t="s">
        <v>162</v>
      </c>
      <c r="BA29" s="322">
        <f t="shared" ref="BA29:CE40" si="101">IFERROR(SUM(IF($H29=AZ29,$D$10),IF(LEFT($H29,1)=LEFT(AZ29,1),$D$8),IF(MID($H29,FIND("|",$H29)+1,FIND("-",$H29)-FIND("|",$H29)-1)-MID($H29,FIND("-",$H29)+1,11)=MID(AZ29,FIND("|",AZ29)+1,FIND("-",AZ29)-FIND("|",AZ29)-1)-MID(AZ29,FIND("-",AZ29)+1,11),$D$9)),)</f>
        <v>0</v>
      </c>
      <c r="BB29" s="251"/>
      <c r="BC29" s="326" t="s">
        <v>162</v>
      </c>
      <c r="BD29" s="322">
        <f t="shared" si="101"/>
        <v>0</v>
      </c>
      <c r="BE29" s="251"/>
      <c r="BF29" s="326"/>
      <c r="BG29" s="322">
        <f t="shared" si="101"/>
        <v>0</v>
      </c>
      <c r="BH29" s="251"/>
      <c r="BI29" s="326"/>
      <c r="BJ29" s="322">
        <f t="shared" si="101"/>
        <v>0</v>
      </c>
      <c r="BK29" s="251"/>
      <c r="BL29" s="326"/>
      <c r="BM29" s="322">
        <f t="shared" si="101"/>
        <v>0</v>
      </c>
      <c r="BN29" s="251"/>
      <c r="BO29" s="326"/>
      <c r="BP29" s="322">
        <f t="shared" si="101"/>
        <v>0</v>
      </c>
      <c r="BQ29" s="251"/>
      <c r="BR29" s="326"/>
      <c r="BS29" s="322">
        <f t="shared" si="101"/>
        <v>0</v>
      </c>
      <c r="BT29" s="251"/>
      <c r="BU29" s="326"/>
      <c r="BV29" s="322">
        <f t="shared" si="101"/>
        <v>0</v>
      </c>
      <c r="BW29" s="251"/>
      <c r="BX29" s="326"/>
      <c r="BY29" s="322">
        <f t="shared" si="101"/>
        <v>0</v>
      </c>
      <c r="BZ29" s="251"/>
      <c r="CA29" s="326"/>
      <c r="CB29" s="322">
        <f t="shared" si="101"/>
        <v>0</v>
      </c>
      <c r="CC29" s="251"/>
      <c r="CD29" s="326"/>
      <c r="CE29" s="322">
        <f t="shared" si="101"/>
        <v>0</v>
      </c>
      <c r="CF29" s="251"/>
      <c r="CG29" s="251"/>
      <c r="CH29" s="251"/>
    </row>
    <row r="30" spans="1:86" ht="15" customHeight="1">
      <c r="A30" s="343"/>
      <c r="B30" s="343"/>
      <c r="C30" s="327" t="str">
        <f>+Idiomas!D211</f>
        <v>FINAL - Signo 1X2  (local, empate, visitante)</v>
      </c>
      <c r="D30" s="268">
        <v>0</v>
      </c>
      <c r="E30" s="343"/>
      <c r="F30" s="561"/>
      <c r="G30" s="328" t="str">
        <f>CONCATENATE(League!D26,"-",League!K26)</f>
        <v>Galatasaray-Liverpool</v>
      </c>
      <c r="H30" s="320" t="str">
        <f>CONCATENATE(IF(League!G26&gt;League!H26,1,IF(League!G26&lt;League!H26,2,IF(AND(League!G26=League!H26,League!G26&lt;&gt;"",League!H26&lt;&gt;""),"X",0))),"|",League!G26,"-",League!H26)</f>
        <v>1|1-0</v>
      </c>
      <c r="I30" s="219"/>
      <c r="J30" s="452" t="s">
        <v>175</v>
      </c>
      <c r="K30" s="322">
        <f t="shared" si="96"/>
        <v>0</v>
      </c>
      <c r="L30" s="251"/>
      <c r="M30" s="326" t="s">
        <v>161</v>
      </c>
      <c r="N30" s="322">
        <f t="shared" ref="N30:BY41" si="102">IFERROR(SUM(IF($H30=M30,$D$10),IF(LEFT($H30,1)=LEFT(M30,1),$D$8),IF(MID($H30,FIND("|",$H30)+1,FIND("-",$H30)-FIND("|",$H30)-1)-MID($H30,FIND("-",$H30)+1,11)=MID(M30,FIND("|",M30)+1,FIND("-",M30)-FIND("|",M30)-1)-MID(M30,FIND("-",M30)+1,11),$D$9)),)</f>
        <v>0</v>
      </c>
      <c r="O30" s="251"/>
      <c r="P30" s="326" t="s">
        <v>158</v>
      </c>
      <c r="Q30" s="322">
        <f t="shared" si="102"/>
        <v>0</v>
      </c>
      <c r="R30" s="251"/>
      <c r="S30" s="326" t="s">
        <v>177</v>
      </c>
      <c r="T30" s="322">
        <f t="shared" si="102"/>
        <v>0</v>
      </c>
      <c r="U30" s="251"/>
      <c r="V30" s="326" t="s">
        <v>177</v>
      </c>
      <c r="W30" s="322">
        <f t="shared" si="102"/>
        <v>0</v>
      </c>
      <c r="X30" s="251"/>
      <c r="Y30" s="326" t="s">
        <v>157</v>
      </c>
      <c r="Z30" s="322">
        <f t="shared" si="102"/>
        <v>0</v>
      </c>
      <c r="AA30" s="251"/>
      <c r="AB30" s="326" t="s">
        <v>157</v>
      </c>
      <c r="AC30" s="322">
        <f t="shared" si="102"/>
        <v>0</v>
      </c>
      <c r="AD30" s="251"/>
      <c r="AE30" s="326" t="s">
        <v>173</v>
      </c>
      <c r="AF30" s="322">
        <f t="shared" si="102"/>
        <v>0</v>
      </c>
      <c r="AG30" s="251"/>
      <c r="AH30" s="326" t="s">
        <v>160</v>
      </c>
      <c r="AI30" s="322">
        <f t="shared" si="102"/>
        <v>0</v>
      </c>
      <c r="AJ30" s="251"/>
      <c r="AK30" s="326" t="s">
        <v>159</v>
      </c>
      <c r="AL30" s="322">
        <f t="shared" si="102"/>
        <v>0</v>
      </c>
      <c r="AM30" s="251"/>
      <c r="AN30" s="326" t="s">
        <v>161</v>
      </c>
      <c r="AO30" s="322">
        <f t="shared" si="102"/>
        <v>0</v>
      </c>
      <c r="AP30" s="251"/>
      <c r="AQ30" s="326" t="s">
        <v>161</v>
      </c>
      <c r="AR30" s="322">
        <f t="shared" si="102"/>
        <v>0</v>
      </c>
      <c r="AS30" s="251"/>
      <c r="AT30" s="326" t="s">
        <v>161</v>
      </c>
      <c r="AU30" s="322">
        <f t="shared" si="102"/>
        <v>0</v>
      </c>
      <c r="AV30" s="251"/>
      <c r="AW30" s="326" t="s">
        <v>161</v>
      </c>
      <c r="AX30" s="322">
        <f t="shared" si="102"/>
        <v>0</v>
      </c>
      <c r="AY30" s="251"/>
      <c r="AZ30" s="534" t="s">
        <v>157</v>
      </c>
      <c r="BA30" s="322">
        <f t="shared" si="102"/>
        <v>0</v>
      </c>
      <c r="BB30" s="251"/>
      <c r="BC30" s="326" t="s">
        <v>157</v>
      </c>
      <c r="BD30" s="322">
        <f t="shared" si="102"/>
        <v>0</v>
      </c>
      <c r="BE30" s="251"/>
      <c r="BF30" s="326"/>
      <c r="BG30" s="322">
        <f t="shared" si="102"/>
        <v>0</v>
      </c>
      <c r="BH30" s="251"/>
      <c r="BI30" s="326"/>
      <c r="BJ30" s="322">
        <f t="shared" si="102"/>
        <v>0</v>
      </c>
      <c r="BK30" s="251"/>
      <c r="BL30" s="326"/>
      <c r="BM30" s="322">
        <f t="shared" si="102"/>
        <v>0</v>
      </c>
      <c r="BN30" s="251"/>
      <c r="BO30" s="326"/>
      <c r="BP30" s="322">
        <f t="shared" si="102"/>
        <v>0</v>
      </c>
      <c r="BQ30" s="251"/>
      <c r="BR30" s="326"/>
      <c r="BS30" s="322">
        <f t="shared" si="102"/>
        <v>0</v>
      </c>
      <c r="BT30" s="251"/>
      <c r="BU30" s="326"/>
      <c r="BV30" s="322">
        <f t="shared" si="102"/>
        <v>0</v>
      </c>
      <c r="BW30" s="251"/>
      <c r="BX30" s="326"/>
      <c r="BY30" s="322">
        <f t="shared" si="102"/>
        <v>0</v>
      </c>
      <c r="BZ30" s="251"/>
      <c r="CA30" s="326"/>
      <c r="CB30" s="322">
        <f t="shared" si="101"/>
        <v>0</v>
      </c>
      <c r="CC30" s="251"/>
      <c r="CD30" s="326"/>
      <c r="CE30" s="322">
        <f t="shared" si="101"/>
        <v>0</v>
      </c>
      <c r="CF30" s="251"/>
      <c r="CG30" s="251"/>
      <c r="CH30" s="251"/>
    </row>
    <row r="31" spans="1:86" ht="15" customHeight="1">
      <c r="A31" s="343"/>
      <c r="B31" s="343"/>
      <c r="C31" s="330" t="str">
        <f>+Idiomas!D212</f>
        <v>FINAL - Diferencia de goles</v>
      </c>
      <c r="D31" s="269">
        <v>0</v>
      </c>
      <c r="E31" s="344"/>
      <c r="F31" s="561"/>
      <c r="G31" s="319" t="str">
        <f>CONCATENATE(League!D27,"-",League!K27)</f>
        <v>Marseille-Ajax</v>
      </c>
      <c r="H31" s="320" t="str">
        <f>CONCATENATE(IF(League!G27&gt;League!H27,1,IF(League!G27&lt;League!H27,2,IF(AND(League!G27=League!H27,League!G27&lt;&gt;"",League!H27&lt;&gt;""),"X",0))),"|",League!G27,"-",League!H27)</f>
        <v>1|4-0</v>
      </c>
      <c r="I31" s="219"/>
      <c r="J31" s="452" t="s">
        <v>158</v>
      </c>
      <c r="K31" s="322">
        <f t="shared" si="96"/>
        <v>0</v>
      </c>
      <c r="L31" s="251"/>
      <c r="M31" s="326" t="s">
        <v>160</v>
      </c>
      <c r="N31" s="322">
        <f t="shared" si="102"/>
        <v>0</v>
      </c>
      <c r="O31" s="251"/>
      <c r="P31" s="326" t="s">
        <v>158</v>
      </c>
      <c r="Q31" s="322">
        <f t="shared" si="102"/>
        <v>0</v>
      </c>
      <c r="R31" s="251"/>
      <c r="S31" s="326" t="s">
        <v>160</v>
      </c>
      <c r="T31" s="322">
        <f t="shared" si="102"/>
        <v>0</v>
      </c>
      <c r="U31" s="251"/>
      <c r="V31" s="326" t="s">
        <v>160</v>
      </c>
      <c r="W31" s="322">
        <f t="shared" si="102"/>
        <v>0</v>
      </c>
      <c r="X31" s="251"/>
      <c r="Y31" s="326" t="s">
        <v>166</v>
      </c>
      <c r="Z31" s="322">
        <f t="shared" si="102"/>
        <v>2</v>
      </c>
      <c r="AA31" s="251"/>
      <c r="AB31" s="326" t="s">
        <v>164</v>
      </c>
      <c r="AC31" s="322">
        <f t="shared" si="102"/>
        <v>2</v>
      </c>
      <c r="AD31" s="251"/>
      <c r="AE31" s="326" t="s">
        <v>161</v>
      </c>
      <c r="AF31" s="322">
        <f t="shared" si="102"/>
        <v>0</v>
      </c>
      <c r="AG31" s="251"/>
      <c r="AH31" s="326" t="s">
        <v>173</v>
      </c>
      <c r="AI31" s="322">
        <f t="shared" si="102"/>
        <v>0</v>
      </c>
      <c r="AJ31" s="251"/>
      <c r="AK31" s="326" t="s">
        <v>158</v>
      </c>
      <c r="AL31" s="322">
        <f t="shared" si="102"/>
        <v>0</v>
      </c>
      <c r="AM31" s="251"/>
      <c r="AN31" s="326" t="s">
        <v>166</v>
      </c>
      <c r="AO31" s="322">
        <f t="shared" si="102"/>
        <v>2</v>
      </c>
      <c r="AP31" s="251"/>
      <c r="AQ31" s="326" t="s">
        <v>161</v>
      </c>
      <c r="AR31" s="322">
        <f t="shared" si="102"/>
        <v>0</v>
      </c>
      <c r="AS31" s="251"/>
      <c r="AT31" s="326" t="s">
        <v>160</v>
      </c>
      <c r="AU31" s="322">
        <f t="shared" si="102"/>
        <v>0</v>
      </c>
      <c r="AV31" s="251"/>
      <c r="AW31" s="326" t="s">
        <v>158</v>
      </c>
      <c r="AX31" s="322">
        <f t="shared" si="102"/>
        <v>0</v>
      </c>
      <c r="AY31" s="251"/>
      <c r="AZ31" s="534" t="s">
        <v>168</v>
      </c>
      <c r="BA31" s="322">
        <f t="shared" si="102"/>
        <v>0</v>
      </c>
      <c r="BB31" s="251"/>
      <c r="BC31" s="326" t="s">
        <v>160</v>
      </c>
      <c r="BD31" s="322">
        <f t="shared" si="102"/>
        <v>0</v>
      </c>
      <c r="BE31" s="251"/>
      <c r="BF31" s="326"/>
      <c r="BG31" s="322">
        <f t="shared" si="102"/>
        <v>0</v>
      </c>
      <c r="BH31" s="251"/>
      <c r="BI31" s="326"/>
      <c r="BJ31" s="322">
        <f t="shared" si="102"/>
        <v>0</v>
      </c>
      <c r="BK31" s="251"/>
      <c r="BL31" s="326"/>
      <c r="BM31" s="322">
        <f t="shared" si="102"/>
        <v>0</v>
      </c>
      <c r="BN31" s="251"/>
      <c r="BO31" s="326"/>
      <c r="BP31" s="322">
        <f t="shared" si="102"/>
        <v>0</v>
      </c>
      <c r="BQ31" s="251"/>
      <c r="BR31" s="326"/>
      <c r="BS31" s="322">
        <f t="shared" si="102"/>
        <v>0</v>
      </c>
      <c r="BT31" s="251"/>
      <c r="BU31" s="326"/>
      <c r="BV31" s="322">
        <f t="shared" si="102"/>
        <v>0</v>
      </c>
      <c r="BW31" s="251"/>
      <c r="BX31" s="326"/>
      <c r="BY31" s="322">
        <f t="shared" si="102"/>
        <v>0</v>
      </c>
      <c r="BZ31" s="251"/>
      <c r="CA31" s="326"/>
      <c r="CB31" s="322">
        <f t="shared" si="101"/>
        <v>0</v>
      </c>
      <c r="CC31" s="251"/>
      <c r="CD31" s="326"/>
      <c r="CE31" s="322">
        <f t="shared" si="101"/>
        <v>0</v>
      </c>
      <c r="CF31" s="251"/>
      <c r="CG31" s="251"/>
      <c r="CH31" s="251"/>
    </row>
    <row r="32" spans="1:86" ht="15" customHeight="1">
      <c r="A32" s="343"/>
      <c r="B32" s="343"/>
      <c r="C32" s="327" t="str">
        <f>+Idiomas!D213</f>
        <v>FINAL - Resultado exacto</v>
      </c>
      <c r="D32" s="268">
        <v>0</v>
      </c>
      <c r="E32" s="343"/>
      <c r="F32" s="561"/>
      <c r="G32" s="328" t="str">
        <f>CONCATENATE(League!D28,"-",League!K28)</f>
        <v>Pafos-Bayern München</v>
      </c>
      <c r="H32" s="320" t="str">
        <f>CONCATENATE(IF(League!G28&gt;League!H28,1,IF(League!G28&lt;League!H28,2,IF(AND(League!G28=League!H28,League!G28&lt;&gt;"",League!H28&lt;&gt;""),"X",0))),"|",League!G28,"-",League!H28)</f>
        <v>2|1-5</v>
      </c>
      <c r="I32" s="219"/>
      <c r="J32" s="452" t="s">
        <v>178</v>
      </c>
      <c r="K32" s="322">
        <f t="shared" si="96"/>
        <v>2</v>
      </c>
      <c r="L32" s="251"/>
      <c r="M32" s="326" t="s">
        <v>159</v>
      </c>
      <c r="N32" s="322">
        <f t="shared" si="102"/>
        <v>2</v>
      </c>
      <c r="O32" s="251"/>
      <c r="P32" s="326" t="s">
        <v>181</v>
      </c>
      <c r="Q32" s="322">
        <f t="shared" si="102"/>
        <v>2</v>
      </c>
      <c r="R32" s="251"/>
      <c r="S32" s="326" t="s">
        <v>182</v>
      </c>
      <c r="T32" s="322">
        <f t="shared" si="102"/>
        <v>2</v>
      </c>
      <c r="U32" s="251"/>
      <c r="V32" s="326" t="s">
        <v>157</v>
      </c>
      <c r="W32" s="322">
        <f t="shared" si="102"/>
        <v>2</v>
      </c>
      <c r="X32" s="251"/>
      <c r="Y32" s="326" t="s">
        <v>178</v>
      </c>
      <c r="Z32" s="322">
        <f t="shared" si="102"/>
        <v>2</v>
      </c>
      <c r="AA32" s="251"/>
      <c r="AB32" s="326" t="s">
        <v>178</v>
      </c>
      <c r="AC32" s="322">
        <f t="shared" si="102"/>
        <v>2</v>
      </c>
      <c r="AD32" s="251"/>
      <c r="AE32" s="326" t="s">
        <v>173</v>
      </c>
      <c r="AF32" s="322">
        <f t="shared" si="102"/>
        <v>2</v>
      </c>
      <c r="AG32" s="251"/>
      <c r="AH32" s="326" t="s">
        <v>177</v>
      </c>
      <c r="AI32" s="322">
        <f t="shared" si="102"/>
        <v>2</v>
      </c>
      <c r="AJ32" s="251"/>
      <c r="AK32" s="326" t="s">
        <v>159</v>
      </c>
      <c r="AL32" s="322">
        <f t="shared" si="102"/>
        <v>2</v>
      </c>
      <c r="AM32" s="251"/>
      <c r="AN32" s="326" t="s">
        <v>159</v>
      </c>
      <c r="AO32" s="322">
        <f t="shared" si="102"/>
        <v>2</v>
      </c>
      <c r="AP32" s="251"/>
      <c r="AQ32" s="326" t="s">
        <v>159</v>
      </c>
      <c r="AR32" s="322">
        <f t="shared" si="102"/>
        <v>2</v>
      </c>
      <c r="AS32" s="251"/>
      <c r="AT32" s="326" t="s">
        <v>179</v>
      </c>
      <c r="AU32" s="322">
        <f t="shared" si="102"/>
        <v>2</v>
      </c>
      <c r="AV32" s="251"/>
      <c r="AW32" s="326" t="s">
        <v>159</v>
      </c>
      <c r="AX32" s="322">
        <f t="shared" si="102"/>
        <v>2</v>
      </c>
      <c r="AY32" s="251"/>
      <c r="AZ32" s="534" t="s">
        <v>179</v>
      </c>
      <c r="BA32" s="322">
        <f t="shared" si="102"/>
        <v>2</v>
      </c>
      <c r="BB32" s="251"/>
      <c r="BC32" s="326" t="s">
        <v>178</v>
      </c>
      <c r="BD32" s="322">
        <f t="shared" si="102"/>
        <v>2</v>
      </c>
      <c r="BE32" s="251"/>
      <c r="BF32" s="326"/>
      <c r="BG32" s="322">
        <f t="shared" si="102"/>
        <v>0</v>
      </c>
      <c r="BH32" s="251"/>
      <c r="BI32" s="326"/>
      <c r="BJ32" s="322">
        <f t="shared" si="102"/>
        <v>0</v>
      </c>
      <c r="BK32" s="251"/>
      <c r="BL32" s="326"/>
      <c r="BM32" s="322">
        <f t="shared" si="102"/>
        <v>0</v>
      </c>
      <c r="BN32" s="251"/>
      <c r="BO32" s="326"/>
      <c r="BP32" s="322">
        <f t="shared" si="102"/>
        <v>0</v>
      </c>
      <c r="BQ32" s="251"/>
      <c r="BR32" s="326"/>
      <c r="BS32" s="322">
        <f t="shared" si="102"/>
        <v>0</v>
      </c>
      <c r="BT32" s="251"/>
      <c r="BU32" s="326"/>
      <c r="BV32" s="322">
        <f t="shared" si="102"/>
        <v>0</v>
      </c>
      <c r="BW32" s="251"/>
      <c r="BX32" s="326"/>
      <c r="BY32" s="322">
        <f t="shared" si="102"/>
        <v>0</v>
      </c>
      <c r="BZ32" s="251"/>
      <c r="CA32" s="326"/>
      <c r="CB32" s="322">
        <f t="shared" si="101"/>
        <v>0</v>
      </c>
      <c r="CC32" s="251"/>
      <c r="CD32" s="326"/>
      <c r="CE32" s="322">
        <f t="shared" si="101"/>
        <v>0</v>
      </c>
      <c r="CF32" s="251"/>
      <c r="CG32" s="251"/>
      <c r="CH32" s="251"/>
    </row>
    <row r="33" spans="1:86" ht="15" customHeight="1">
      <c r="A33" s="343"/>
      <c r="B33" s="343"/>
      <c r="C33" s="332" t="str">
        <f>+Idiomas!D214</f>
        <v>Campeón</v>
      </c>
      <c r="D33" s="270">
        <v>0</v>
      </c>
      <c r="E33" s="343"/>
      <c r="F33" s="561"/>
      <c r="G33" s="319" t="str">
        <f>CONCATENATE(League!D29,"-",League!K29)</f>
        <v>Qarabağ-Copenhagen</v>
      </c>
      <c r="H33" s="320" t="str">
        <f>CONCATENATE(IF(League!G29&gt;League!H29,1,IF(League!G29&lt;League!H29,2,IF(AND(League!G29=League!H29,League!G29&lt;&gt;"",League!H29&lt;&gt;""),"X",0))),"|",League!G29,"-",League!H29)</f>
        <v>1|2-0</v>
      </c>
      <c r="I33" s="219"/>
      <c r="J33" s="452" t="s">
        <v>160</v>
      </c>
      <c r="K33" s="322">
        <f t="shared" si="96"/>
        <v>0</v>
      </c>
      <c r="L33" s="251"/>
      <c r="M33" s="326" t="s">
        <v>167</v>
      </c>
      <c r="N33" s="322">
        <f t="shared" si="102"/>
        <v>5</v>
      </c>
      <c r="O33" s="251"/>
      <c r="P33" s="326" t="s">
        <v>158</v>
      </c>
      <c r="Q33" s="322">
        <f t="shared" si="102"/>
        <v>0</v>
      </c>
      <c r="R33" s="251"/>
      <c r="S33" s="326" t="s">
        <v>160</v>
      </c>
      <c r="T33" s="322">
        <f t="shared" si="102"/>
        <v>0</v>
      </c>
      <c r="U33" s="251"/>
      <c r="V33" s="326" t="s">
        <v>158</v>
      </c>
      <c r="W33" s="322">
        <f t="shared" si="102"/>
        <v>0</v>
      </c>
      <c r="X33" s="251"/>
      <c r="Y33" s="326" t="s">
        <v>158</v>
      </c>
      <c r="Z33" s="322">
        <f t="shared" si="102"/>
        <v>0</v>
      </c>
      <c r="AA33" s="251"/>
      <c r="AB33" s="326" t="s">
        <v>164</v>
      </c>
      <c r="AC33" s="322">
        <f t="shared" si="102"/>
        <v>2</v>
      </c>
      <c r="AD33" s="251"/>
      <c r="AE33" s="326" t="s">
        <v>175</v>
      </c>
      <c r="AF33" s="322">
        <f t="shared" si="102"/>
        <v>0</v>
      </c>
      <c r="AG33" s="251"/>
      <c r="AH33" s="326" t="s">
        <v>166</v>
      </c>
      <c r="AI33" s="322">
        <f t="shared" si="102"/>
        <v>2</v>
      </c>
      <c r="AJ33" s="251"/>
      <c r="AK33" s="326" t="s">
        <v>162</v>
      </c>
      <c r="AL33" s="322">
        <f t="shared" si="102"/>
        <v>0</v>
      </c>
      <c r="AM33" s="251"/>
      <c r="AN33" s="326" t="s">
        <v>158</v>
      </c>
      <c r="AO33" s="322">
        <f t="shared" si="102"/>
        <v>0</v>
      </c>
      <c r="AP33" s="251"/>
      <c r="AQ33" s="326" t="s">
        <v>161</v>
      </c>
      <c r="AR33" s="322">
        <f t="shared" si="102"/>
        <v>0</v>
      </c>
      <c r="AS33" s="251"/>
      <c r="AT33" s="326" t="s">
        <v>158</v>
      </c>
      <c r="AU33" s="322">
        <f t="shared" si="102"/>
        <v>0</v>
      </c>
      <c r="AV33" s="251"/>
      <c r="AW33" s="326" t="s">
        <v>161</v>
      </c>
      <c r="AX33" s="322">
        <f t="shared" si="102"/>
        <v>0</v>
      </c>
      <c r="AY33" s="251"/>
      <c r="AZ33" s="534" t="s">
        <v>160</v>
      </c>
      <c r="BA33" s="322">
        <f t="shared" si="102"/>
        <v>0</v>
      </c>
      <c r="BB33" s="251"/>
      <c r="BC33" s="326" t="s">
        <v>161</v>
      </c>
      <c r="BD33" s="322">
        <f t="shared" si="102"/>
        <v>0</v>
      </c>
      <c r="BE33" s="251"/>
      <c r="BF33" s="326"/>
      <c r="BG33" s="322">
        <f t="shared" si="102"/>
        <v>0</v>
      </c>
      <c r="BH33" s="251"/>
      <c r="BI33" s="326"/>
      <c r="BJ33" s="322">
        <f t="shared" si="102"/>
        <v>0</v>
      </c>
      <c r="BK33" s="251"/>
      <c r="BL33" s="326"/>
      <c r="BM33" s="322">
        <f t="shared" si="102"/>
        <v>0</v>
      </c>
      <c r="BN33" s="251"/>
      <c r="BO33" s="326"/>
      <c r="BP33" s="322">
        <f t="shared" si="102"/>
        <v>0</v>
      </c>
      <c r="BQ33" s="251"/>
      <c r="BR33" s="326"/>
      <c r="BS33" s="322">
        <f t="shared" si="102"/>
        <v>0</v>
      </c>
      <c r="BT33" s="251"/>
      <c r="BU33" s="326"/>
      <c r="BV33" s="322">
        <f t="shared" si="102"/>
        <v>0</v>
      </c>
      <c r="BW33" s="251"/>
      <c r="BX33" s="326"/>
      <c r="BY33" s="322">
        <f t="shared" si="102"/>
        <v>0</v>
      </c>
      <c r="BZ33" s="251"/>
      <c r="CA33" s="326"/>
      <c r="CB33" s="322">
        <f t="shared" si="101"/>
        <v>0</v>
      </c>
      <c r="CC33" s="251"/>
      <c r="CD33" s="326"/>
      <c r="CE33" s="322">
        <f t="shared" si="101"/>
        <v>0</v>
      </c>
      <c r="CF33" s="251"/>
      <c r="CG33" s="251"/>
      <c r="CH33" s="251"/>
    </row>
    <row r="34" spans="1:86" ht="15" customHeight="1">
      <c r="A34" s="343"/>
      <c r="B34" s="343"/>
      <c r="C34" s="327" t="str">
        <f>+Idiomas!D285</f>
        <v>PREDICTOR - Campeón</v>
      </c>
      <c r="D34" s="268">
        <v>0</v>
      </c>
      <c r="E34" s="345"/>
      <c r="F34" s="561"/>
      <c r="G34" s="328" t="str">
        <f>CONCATENATE(League!D30,"-",League!K30)</f>
        <v>Union Saint-Gilloise-Newcastle</v>
      </c>
      <c r="H34" s="320" t="str">
        <f>CONCATENATE(IF(League!G30&gt;League!H30,1,IF(League!G30&lt;League!H30,2,IF(AND(League!G30=League!H30,League!G30&lt;&gt;"",League!H30&lt;&gt;""),"X",0))),"|",League!G30,"-",League!H30)</f>
        <v>2|0-4</v>
      </c>
      <c r="I34" s="219"/>
      <c r="J34" s="452" t="s">
        <v>159</v>
      </c>
      <c r="K34" s="322">
        <f t="shared" si="96"/>
        <v>2</v>
      </c>
      <c r="L34" s="251"/>
      <c r="M34" s="326" t="s">
        <v>162</v>
      </c>
      <c r="N34" s="322">
        <f t="shared" si="102"/>
        <v>2</v>
      </c>
      <c r="O34" s="251"/>
      <c r="P34" s="326" t="s">
        <v>162</v>
      </c>
      <c r="Q34" s="322">
        <f t="shared" si="102"/>
        <v>2</v>
      </c>
      <c r="R34" s="251"/>
      <c r="S34" s="326" t="s">
        <v>161</v>
      </c>
      <c r="T34" s="322">
        <f t="shared" si="102"/>
        <v>2</v>
      </c>
      <c r="U34" s="251"/>
      <c r="V34" s="326" t="s">
        <v>161</v>
      </c>
      <c r="W34" s="322">
        <f t="shared" si="102"/>
        <v>2</v>
      </c>
      <c r="X34" s="251"/>
      <c r="Y34" s="326" t="s">
        <v>161</v>
      </c>
      <c r="Z34" s="322">
        <f t="shared" si="102"/>
        <v>2</v>
      </c>
      <c r="AA34" s="251"/>
      <c r="AB34" s="326" t="s">
        <v>158</v>
      </c>
      <c r="AC34" s="322">
        <f t="shared" si="102"/>
        <v>0</v>
      </c>
      <c r="AD34" s="251"/>
      <c r="AE34" s="326" t="s">
        <v>157</v>
      </c>
      <c r="AF34" s="322">
        <f t="shared" si="102"/>
        <v>2</v>
      </c>
      <c r="AG34" s="251"/>
      <c r="AH34" s="326" t="s">
        <v>157</v>
      </c>
      <c r="AI34" s="322">
        <f t="shared" si="102"/>
        <v>2</v>
      </c>
      <c r="AJ34" s="251"/>
      <c r="AK34" s="326" t="s">
        <v>162</v>
      </c>
      <c r="AL34" s="322">
        <f t="shared" si="102"/>
        <v>2</v>
      </c>
      <c r="AM34" s="251"/>
      <c r="AN34" s="326" t="s">
        <v>174</v>
      </c>
      <c r="AO34" s="322">
        <f t="shared" si="102"/>
        <v>2</v>
      </c>
      <c r="AP34" s="251"/>
      <c r="AQ34" s="326" t="s">
        <v>161</v>
      </c>
      <c r="AR34" s="322">
        <f t="shared" si="102"/>
        <v>2</v>
      </c>
      <c r="AS34" s="251"/>
      <c r="AT34" s="326" t="s">
        <v>161</v>
      </c>
      <c r="AU34" s="322">
        <f t="shared" si="102"/>
        <v>2</v>
      </c>
      <c r="AV34" s="251"/>
      <c r="AW34" s="326" t="s">
        <v>166</v>
      </c>
      <c r="AX34" s="322">
        <f t="shared" si="102"/>
        <v>0</v>
      </c>
      <c r="AY34" s="251"/>
      <c r="AZ34" s="534" t="s">
        <v>164</v>
      </c>
      <c r="BA34" s="322">
        <f t="shared" si="102"/>
        <v>0</v>
      </c>
      <c r="BB34" s="251"/>
      <c r="BC34" s="326" t="s">
        <v>161</v>
      </c>
      <c r="BD34" s="322">
        <f t="shared" si="102"/>
        <v>2</v>
      </c>
      <c r="BE34" s="251"/>
      <c r="BF34" s="326"/>
      <c r="BG34" s="322">
        <f t="shared" si="102"/>
        <v>0</v>
      </c>
      <c r="BH34" s="251"/>
      <c r="BI34" s="326"/>
      <c r="BJ34" s="322">
        <f t="shared" si="102"/>
        <v>0</v>
      </c>
      <c r="BK34" s="251"/>
      <c r="BL34" s="326"/>
      <c r="BM34" s="322">
        <f t="shared" si="102"/>
        <v>0</v>
      </c>
      <c r="BN34" s="251"/>
      <c r="BO34" s="326"/>
      <c r="BP34" s="322">
        <f t="shared" si="102"/>
        <v>0</v>
      </c>
      <c r="BQ34" s="251"/>
      <c r="BR34" s="326"/>
      <c r="BS34" s="322">
        <f t="shared" si="102"/>
        <v>0</v>
      </c>
      <c r="BT34" s="251"/>
      <c r="BU34" s="326"/>
      <c r="BV34" s="322">
        <f t="shared" si="102"/>
        <v>0</v>
      </c>
      <c r="BW34" s="251"/>
      <c r="BX34" s="326"/>
      <c r="BY34" s="322">
        <f t="shared" si="102"/>
        <v>0</v>
      </c>
      <c r="BZ34" s="251"/>
      <c r="CA34" s="326"/>
      <c r="CB34" s="322">
        <f t="shared" si="101"/>
        <v>0</v>
      </c>
      <c r="CC34" s="251"/>
      <c r="CD34" s="326"/>
      <c r="CE34" s="322">
        <f t="shared" si="101"/>
        <v>0</v>
      </c>
      <c r="CF34" s="251"/>
      <c r="CG34" s="251"/>
      <c r="CH34" s="251"/>
    </row>
    <row r="35" spans="1:86" ht="15" customHeight="1">
      <c r="A35" s="343"/>
      <c r="B35" s="343"/>
      <c r="C35" s="330" t="str">
        <f>+Idiomas!D286</f>
        <v>PREDICTOR - Final</v>
      </c>
      <c r="D35" s="269">
        <v>0</v>
      </c>
      <c r="E35" s="345"/>
      <c r="F35" s="561"/>
      <c r="G35" s="319" t="str">
        <f>CONCATENATE(League!D31,"-",League!K31)</f>
        <v>Arsenal-Olympiakos</v>
      </c>
      <c r="H35" s="320" t="str">
        <f>CONCATENATE(IF(League!G31&gt;League!H31,1,IF(League!G31&lt;League!H31,2,IF(AND(League!G31=League!H31,League!G31&lt;&gt;"",League!H31&lt;&gt;""),"X",0))),"|",League!G31,"-",League!H31)</f>
        <v>1|2-0</v>
      </c>
      <c r="I35" s="219"/>
      <c r="J35" s="452" t="s">
        <v>171</v>
      </c>
      <c r="K35" s="322">
        <f t="shared" si="96"/>
        <v>2</v>
      </c>
      <c r="L35" s="251"/>
      <c r="M35" s="326" t="s">
        <v>166</v>
      </c>
      <c r="N35" s="322">
        <f t="shared" si="102"/>
        <v>2</v>
      </c>
      <c r="O35" s="251"/>
      <c r="P35" s="326" t="s">
        <v>165</v>
      </c>
      <c r="Q35" s="322">
        <f t="shared" si="102"/>
        <v>2</v>
      </c>
      <c r="R35" s="251"/>
      <c r="S35" s="326" t="s">
        <v>165</v>
      </c>
      <c r="T35" s="322">
        <f t="shared" si="102"/>
        <v>2</v>
      </c>
      <c r="U35" s="251"/>
      <c r="V35" s="326" t="s">
        <v>170</v>
      </c>
      <c r="W35" s="322">
        <f t="shared" si="102"/>
        <v>2</v>
      </c>
      <c r="X35" s="251"/>
      <c r="Y35" s="326" t="s">
        <v>165</v>
      </c>
      <c r="Z35" s="322">
        <f t="shared" si="102"/>
        <v>2</v>
      </c>
      <c r="AA35" s="251"/>
      <c r="AB35" s="326" t="s">
        <v>166</v>
      </c>
      <c r="AC35" s="322">
        <f t="shared" si="102"/>
        <v>2</v>
      </c>
      <c r="AD35" s="251"/>
      <c r="AE35" s="326" t="s">
        <v>183</v>
      </c>
      <c r="AF35" s="322">
        <f t="shared" si="102"/>
        <v>2</v>
      </c>
      <c r="AG35" s="251"/>
      <c r="AH35" s="326" t="s">
        <v>166</v>
      </c>
      <c r="AI35" s="322">
        <f t="shared" si="102"/>
        <v>2</v>
      </c>
      <c r="AJ35" s="251"/>
      <c r="AK35" s="326" t="s">
        <v>165</v>
      </c>
      <c r="AL35" s="322">
        <f t="shared" si="102"/>
        <v>2</v>
      </c>
      <c r="AM35" s="251"/>
      <c r="AN35" s="326" t="s">
        <v>170</v>
      </c>
      <c r="AO35" s="322">
        <f t="shared" si="102"/>
        <v>2</v>
      </c>
      <c r="AP35" s="251"/>
      <c r="AQ35" s="326" t="s">
        <v>167</v>
      </c>
      <c r="AR35" s="322">
        <f t="shared" si="102"/>
        <v>5</v>
      </c>
      <c r="AS35" s="251"/>
      <c r="AT35" s="326" t="s">
        <v>165</v>
      </c>
      <c r="AU35" s="322">
        <f t="shared" si="102"/>
        <v>2</v>
      </c>
      <c r="AV35" s="251"/>
      <c r="AW35" s="326" t="s">
        <v>167</v>
      </c>
      <c r="AX35" s="322">
        <f t="shared" si="102"/>
        <v>5</v>
      </c>
      <c r="AY35" s="251"/>
      <c r="AZ35" s="534" t="s">
        <v>167</v>
      </c>
      <c r="BA35" s="322">
        <f t="shared" si="102"/>
        <v>5</v>
      </c>
      <c r="BB35" s="251"/>
      <c r="BC35" s="326" t="s">
        <v>170</v>
      </c>
      <c r="BD35" s="322">
        <f t="shared" si="102"/>
        <v>2</v>
      </c>
      <c r="BE35" s="251"/>
      <c r="BF35" s="326"/>
      <c r="BG35" s="322">
        <f t="shared" si="102"/>
        <v>0</v>
      </c>
      <c r="BH35" s="251"/>
      <c r="BI35" s="326"/>
      <c r="BJ35" s="322">
        <f t="shared" si="102"/>
        <v>0</v>
      </c>
      <c r="BK35" s="251"/>
      <c r="BL35" s="326"/>
      <c r="BM35" s="322">
        <f t="shared" si="102"/>
        <v>0</v>
      </c>
      <c r="BN35" s="251"/>
      <c r="BO35" s="326"/>
      <c r="BP35" s="322">
        <f t="shared" si="102"/>
        <v>0</v>
      </c>
      <c r="BQ35" s="251"/>
      <c r="BR35" s="326"/>
      <c r="BS35" s="322">
        <f t="shared" si="102"/>
        <v>0</v>
      </c>
      <c r="BT35" s="251"/>
      <c r="BU35" s="326"/>
      <c r="BV35" s="322">
        <f t="shared" si="102"/>
        <v>0</v>
      </c>
      <c r="BW35" s="251"/>
      <c r="BX35" s="326"/>
      <c r="BY35" s="322">
        <f t="shared" si="102"/>
        <v>0</v>
      </c>
      <c r="BZ35" s="251"/>
      <c r="CA35" s="326"/>
      <c r="CB35" s="322">
        <f t="shared" si="101"/>
        <v>0</v>
      </c>
      <c r="CC35" s="251"/>
      <c r="CD35" s="326"/>
      <c r="CE35" s="322">
        <f t="shared" si="101"/>
        <v>0</v>
      </c>
      <c r="CF35" s="251"/>
      <c r="CG35" s="251"/>
      <c r="CH35" s="251"/>
    </row>
    <row r="36" spans="1:86" ht="15" customHeight="1">
      <c r="A36" s="343"/>
      <c r="B36" s="343"/>
      <c r="C36" s="327" t="str">
        <f>+Idiomas!D287</f>
        <v>PREDICTOR - Semifinales</v>
      </c>
      <c r="D36" s="268">
        <v>0</v>
      </c>
      <c r="E36" s="345"/>
      <c r="F36" s="561"/>
      <c r="G36" s="328" t="str">
        <f>CONCATENATE(League!D32,"-",League!K32)</f>
        <v>Monaco-Manchester City</v>
      </c>
      <c r="H36" s="320" t="str">
        <f>CONCATENATE(IF(League!G32&gt;League!H32,1,IF(League!G32&lt;League!H32,2,IF(AND(League!G32=League!H32,League!G32&lt;&gt;"",League!H32&lt;&gt;""),"X",0))),"|",League!G32,"-",League!H32)</f>
        <v>X|2-2</v>
      </c>
      <c r="I36" s="219"/>
      <c r="J36" s="452" t="s">
        <v>177</v>
      </c>
      <c r="K36" s="322">
        <f t="shared" si="96"/>
        <v>0</v>
      </c>
      <c r="L36" s="251"/>
      <c r="M36" s="326" t="s">
        <v>157</v>
      </c>
      <c r="N36" s="322">
        <f t="shared" si="102"/>
        <v>0</v>
      </c>
      <c r="O36" s="251"/>
      <c r="P36" s="326" t="s">
        <v>177</v>
      </c>
      <c r="Q36" s="322">
        <f t="shared" si="102"/>
        <v>0</v>
      </c>
      <c r="R36" s="251"/>
      <c r="S36" s="326" t="s">
        <v>161</v>
      </c>
      <c r="T36" s="322">
        <f t="shared" si="102"/>
        <v>0</v>
      </c>
      <c r="U36" s="251"/>
      <c r="V36" s="326" t="s">
        <v>161</v>
      </c>
      <c r="W36" s="322">
        <f t="shared" si="102"/>
        <v>0</v>
      </c>
      <c r="X36" s="251"/>
      <c r="Y36" s="326" t="s">
        <v>174</v>
      </c>
      <c r="Z36" s="322">
        <f t="shared" si="102"/>
        <v>0</v>
      </c>
      <c r="AA36" s="251"/>
      <c r="AB36" s="326" t="s">
        <v>161</v>
      </c>
      <c r="AC36" s="322">
        <f t="shared" si="102"/>
        <v>0</v>
      </c>
      <c r="AD36" s="251"/>
      <c r="AE36" s="326" t="s">
        <v>173</v>
      </c>
      <c r="AF36" s="322">
        <f t="shared" si="102"/>
        <v>0</v>
      </c>
      <c r="AG36" s="251"/>
      <c r="AH36" s="326" t="s">
        <v>157</v>
      </c>
      <c r="AI36" s="322">
        <f t="shared" si="102"/>
        <v>0</v>
      </c>
      <c r="AJ36" s="251"/>
      <c r="AK36" s="326" t="s">
        <v>159</v>
      </c>
      <c r="AL36" s="322">
        <f t="shared" si="102"/>
        <v>0</v>
      </c>
      <c r="AM36" s="251"/>
      <c r="AN36" s="326" t="s">
        <v>160</v>
      </c>
      <c r="AO36" s="322">
        <f t="shared" si="102"/>
        <v>5</v>
      </c>
      <c r="AP36" s="251"/>
      <c r="AQ36" s="326" t="s">
        <v>157</v>
      </c>
      <c r="AR36" s="322">
        <f t="shared" si="102"/>
        <v>0</v>
      </c>
      <c r="AS36" s="251"/>
      <c r="AT36" s="326" t="s">
        <v>161</v>
      </c>
      <c r="AU36" s="322">
        <f t="shared" si="102"/>
        <v>0</v>
      </c>
      <c r="AV36" s="251"/>
      <c r="AW36" s="326" t="s">
        <v>157</v>
      </c>
      <c r="AX36" s="322">
        <f t="shared" si="102"/>
        <v>0</v>
      </c>
      <c r="AY36" s="251"/>
      <c r="AZ36" s="534" t="s">
        <v>162</v>
      </c>
      <c r="BA36" s="322">
        <f t="shared" si="102"/>
        <v>0</v>
      </c>
      <c r="BB36" s="251"/>
      <c r="BC36" s="326" t="s">
        <v>157</v>
      </c>
      <c r="BD36" s="322">
        <f t="shared" si="102"/>
        <v>0</v>
      </c>
      <c r="BE36" s="251"/>
      <c r="BF36" s="326"/>
      <c r="BG36" s="322">
        <f t="shared" si="102"/>
        <v>0</v>
      </c>
      <c r="BH36" s="251"/>
      <c r="BI36" s="326"/>
      <c r="BJ36" s="322">
        <f t="shared" si="102"/>
        <v>0</v>
      </c>
      <c r="BK36" s="251"/>
      <c r="BL36" s="326"/>
      <c r="BM36" s="322">
        <f t="shared" si="102"/>
        <v>0</v>
      </c>
      <c r="BN36" s="251"/>
      <c r="BO36" s="326"/>
      <c r="BP36" s="322">
        <f t="shared" si="102"/>
        <v>0</v>
      </c>
      <c r="BQ36" s="251"/>
      <c r="BR36" s="326"/>
      <c r="BS36" s="322">
        <f t="shared" si="102"/>
        <v>0</v>
      </c>
      <c r="BT36" s="251"/>
      <c r="BU36" s="326"/>
      <c r="BV36" s="322">
        <f t="shared" si="102"/>
        <v>0</v>
      </c>
      <c r="BW36" s="251"/>
      <c r="BX36" s="326"/>
      <c r="BY36" s="322">
        <f t="shared" si="102"/>
        <v>0</v>
      </c>
      <c r="BZ36" s="251"/>
      <c r="CA36" s="326"/>
      <c r="CB36" s="322">
        <f t="shared" si="101"/>
        <v>0</v>
      </c>
      <c r="CC36" s="251"/>
      <c r="CD36" s="326"/>
      <c r="CE36" s="322">
        <f t="shared" si="101"/>
        <v>0</v>
      </c>
      <c r="CF36" s="251"/>
      <c r="CG36" s="251"/>
      <c r="CH36" s="251"/>
    </row>
    <row r="37" spans="1:86" ht="15" customHeight="1">
      <c r="A37" s="343"/>
      <c r="B37" s="343"/>
      <c r="C37" s="330" t="str">
        <f>+Idiomas!D288</f>
        <v>PREDICTOR - Cuartos de final</v>
      </c>
      <c r="D37" s="269">
        <v>0</v>
      </c>
      <c r="E37" s="345"/>
      <c r="F37" s="561"/>
      <c r="G37" s="319" t="str">
        <f>CONCATENATE(League!D33,"-",League!K33)</f>
        <v>Bayer Leverkusen-PSV Eindhoven</v>
      </c>
      <c r="H37" s="320" t="str">
        <f>CONCATENATE(IF(League!G33&gt;League!H33,1,IF(League!G33&lt;League!H33,2,IF(AND(League!G33=League!H33,League!G33&lt;&gt;"",League!H33&lt;&gt;""),"X",0))),"|",League!G33,"-",League!H33)</f>
        <v>X|1-1</v>
      </c>
      <c r="I37" s="219"/>
      <c r="J37" s="452" t="s">
        <v>160</v>
      </c>
      <c r="K37" s="322">
        <f t="shared" si="96"/>
        <v>2</v>
      </c>
      <c r="L37" s="251"/>
      <c r="M37" s="326" t="s">
        <v>166</v>
      </c>
      <c r="N37" s="322">
        <f t="shared" si="102"/>
        <v>0</v>
      </c>
      <c r="O37" s="251"/>
      <c r="P37" s="326" t="s">
        <v>168</v>
      </c>
      <c r="Q37" s="322">
        <f t="shared" si="102"/>
        <v>2</v>
      </c>
      <c r="R37" s="251"/>
      <c r="S37" s="326" t="s">
        <v>158</v>
      </c>
      <c r="T37" s="322">
        <f t="shared" si="102"/>
        <v>5</v>
      </c>
      <c r="U37" s="251"/>
      <c r="V37" s="326" t="s">
        <v>164</v>
      </c>
      <c r="W37" s="322">
        <f t="shared" si="102"/>
        <v>0</v>
      </c>
      <c r="X37" s="251"/>
      <c r="Y37" s="326" t="s">
        <v>166</v>
      </c>
      <c r="Z37" s="322">
        <f t="shared" si="102"/>
        <v>0</v>
      </c>
      <c r="AA37" s="251"/>
      <c r="AB37" s="326" t="s">
        <v>158</v>
      </c>
      <c r="AC37" s="322">
        <f t="shared" si="102"/>
        <v>5</v>
      </c>
      <c r="AD37" s="251"/>
      <c r="AE37" s="326" t="s">
        <v>157</v>
      </c>
      <c r="AF37" s="322">
        <f t="shared" si="102"/>
        <v>0</v>
      </c>
      <c r="AG37" s="251"/>
      <c r="AH37" s="326" t="s">
        <v>160</v>
      </c>
      <c r="AI37" s="322">
        <f t="shared" si="102"/>
        <v>2</v>
      </c>
      <c r="AJ37" s="251"/>
      <c r="AK37" s="326" t="s">
        <v>165</v>
      </c>
      <c r="AL37" s="322">
        <f t="shared" si="102"/>
        <v>0</v>
      </c>
      <c r="AM37" s="251"/>
      <c r="AN37" s="326" t="s">
        <v>166</v>
      </c>
      <c r="AO37" s="322">
        <f t="shared" si="102"/>
        <v>0</v>
      </c>
      <c r="AP37" s="251"/>
      <c r="AQ37" s="326" t="s">
        <v>166</v>
      </c>
      <c r="AR37" s="322">
        <f t="shared" si="102"/>
        <v>0</v>
      </c>
      <c r="AS37" s="251"/>
      <c r="AT37" s="326" t="s">
        <v>166</v>
      </c>
      <c r="AU37" s="322">
        <f t="shared" si="102"/>
        <v>0</v>
      </c>
      <c r="AV37" s="251"/>
      <c r="AW37" s="326" t="s">
        <v>166</v>
      </c>
      <c r="AX37" s="322">
        <f t="shared" si="102"/>
        <v>0</v>
      </c>
      <c r="AY37" s="251"/>
      <c r="AZ37" s="534" t="s">
        <v>164</v>
      </c>
      <c r="BA37" s="322">
        <f t="shared" si="102"/>
        <v>0</v>
      </c>
      <c r="BB37" s="251"/>
      <c r="BC37" s="326" t="s">
        <v>158</v>
      </c>
      <c r="BD37" s="322">
        <f t="shared" si="102"/>
        <v>5</v>
      </c>
      <c r="BE37" s="251"/>
      <c r="BF37" s="326"/>
      <c r="BG37" s="322">
        <f t="shared" si="102"/>
        <v>0</v>
      </c>
      <c r="BH37" s="251"/>
      <c r="BI37" s="326"/>
      <c r="BJ37" s="322">
        <f t="shared" si="102"/>
        <v>0</v>
      </c>
      <c r="BK37" s="251"/>
      <c r="BL37" s="326"/>
      <c r="BM37" s="322">
        <f t="shared" si="102"/>
        <v>0</v>
      </c>
      <c r="BN37" s="251"/>
      <c r="BO37" s="326"/>
      <c r="BP37" s="322">
        <f t="shared" si="102"/>
        <v>0</v>
      </c>
      <c r="BQ37" s="251"/>
      <c r="BR37" s="326"/>
      <c r="BS37" s="322">
        <f t="shared" si="102"/>
        <v>0</v>
      </c>
      <c r="BT37" s="251"/>
      <c r="BU37" s="326"/>
      <c r="BV37" s="322">
        <f t="shared" si="102"/>
        <v>0</v>
      </c>
      <c r="BW37" s="251"/>
      <c r="BX37" s="326"/>
      <c r="BY37" s="322">
        <f t="shared" si="102"/>
        <v>0</v>
      </c>
      <c r="BZ37" s="251"/>
      <c r="CA37" s="326"/>
      <c r="CB37" s="322">
        <f t="shared" si="101"/>
        <v>0</v>
      </c>
      <c r="CC37" s="251"/>
      <c r="CD37" s="326"/>
      <c r="CE37" s="322">
        <f t="shared" si="101"/>
        <v>0</v>
      </c>
      <c r="CF37" s="251"/>
      <c r="CG37" s="251"/>
      <c r="CH37" s="251"/>
    </row>
    <row r="38" spans="1:86" ht="15" customHeight="1">
      <c r="A38" s="346"/>
      <c r="B38" s="347"/>
      <c r="C38" s="327" t="str">
        <f>+Idiomas!D289</f>
        <v>PREDICTOR - Octavos de final</v>
      </c>
      <c r="D38" s="268">
        <v>0</v>
      </c>
      <c r="E38" s="348"/>
      <c r="F38" s="561"/>
      <c r="G38" s="328" t="str">
        <f>CONCATENATE(League!D34,"-",League!K34)</f>
        <v>Borussia Dortmund-Athletic Bilbao</v>
      </c>
      <c r="H38" s="320" t="str">
        <f>CONCATENATE(IF(League!G34&gt;League!H34,1,IF(League!G34&lt;League!H34,2,IF(AND(League!G34=League!H34,League!G34&lt;&gt;"",League!H34&lt;&gt;""),"X",0))),"|",League!G34,"-",League!H34)</f>
        <v>1|4-1</v>
      </c>
      <c r="I38" s="349"/>
      <c r="J38" s="452" t="s">
        <v>170</v>
      </c>
      <c r="K38" s="322">
        <f t="shared" ref="K38:K69" si="103">IFERROR(SUM(IF($H38=J38,$D$10),IF(LEFT($H38,1)=LEFT(J38,1),$D$8),IF(MID($H38,FIND("|",$H38)+1,FIND("-",$H38)-FIND("|",$H38)-1)-MID($H38,FIND("-",$H38)+1,11)=MID(J38,FIND("|",J38)+1,FIND("-",J38)-FIND("|",J38)-1)-MID(J38,FIND("-",J38)+1,11),$D$9)),)</f>
        <v>2</v>
      </c>
      <c r="L38" s="350"/>
      <c r="M38" s="326" t="s">
        <v>170</v>
      </c>
      <c r="N38" s="322">
        <f t="shared" si="102"/>
        <v>2</v>
      </c>
      <c r="O38" s="350"/>
      <c r="P38" s="326" t="s">
        <v>170</v>
      </c>
      <c r="Q38" s="322">
        <f t="shared" si="102"/>
        <v>2</v>
      </c>
      <c r="R38" s="350"/>
      <c r="S38" s="326" t="s">
        <v>164</v>
      </c>
      <c r="T38" s="322">
        <f t="shared" si="102"/>
        <v>2</v>
      </c>
      <c r="U38" s="350"/>
      <c r="V38" s="326" t="s">
        <v>160</v>
      </c>
      <c r="W38" s="322">
        <f t="shared" si="102"/>
        <v>0</v>
      </c>
      <c r="X38" s="350"/>
      <c r="Y38" s="326" t="s">
        <v>166</v>
      </c>
      <c r="Z38" s="322">
        <f t="shared" si="102"/>
        <v>2</v>
      </c>
      <c r="AA38" s="350"/>
      <c r="AB38" s="326" t="s">
        <v>161</v>
      </c>
      <c r="AC38" s="322">
        <f t="shared" si="102"/>
        <v>0</v>
      </c>
      <c r="AD38" s="350"/>
      <c r="AE38" s="326" t="s">
        <v>166</v>
      </c>
      <c r="AF38" s="322">
        <f t="shared" si="102"/>
        <v>2</v>
      </c>
      <c r="AG38" s="350"/>
      <c r="AH38" s="326" t="s">
        <v>167</v>
      </c>
      <c r="AI38" s="322">
        <f t="shared" si="102"/>
        <v>2</v>
      </c>
      <c r="AJ38" s="350"/>
      <c r="AK38" s="326" t="s">
        <v>165</v>
      </c>
      <c r="AL38" s="322">
        <f t="shared" si="102"/>
        <v>2</v>
      </c>
      <c r="AM38" s="350"/>
      <c r="AN38" s="326" t="s">
        <v>166</v>
      </c>
      <c r="AO38" s="322">
        <f t="shared" si="102"/>
        <v>2</v>
      </c>
      <c r="AP38" s="350"/>
      <c r="AQ38" s="326" t="s">
        <v>167</v>
      </c>
      <c r="AR38" s="322">
        <f t="shared" si="102"/>
        <v>2</v>
      </c>
      <c r="AS38" s="350"/>
      <c r="AT38" s="326" t="s">
        <v>166</v>
      </c>
      <c r="AU38" s="322">
        <f t="shared" si="102"/>
        <v>2</v>
      </c>
      <c r="AV38" s="350"/>
      <c r="AW38" s="326" t="s">
        <v>158</v>
      </c>
      <c r="AX38" s="322">
        <f t="shared" si="102"/>
        <v>0</v>
      </c>
      <c r="AY38" s="350"/>
      <c r="AZ38" s="534" t="s">
        <v>164</v>
      </c>
      <c r="BA38" s="322">
        <f t="shared" si="102"/>
        <v>2</v>
      </c>
      <c r="BB38" s="350"/>
      <c r="BC38" s="326" t="s">
        <v>161</v>
      </c>
      <c r="BD38" s="322">
        <f t="shared" si="102"/>
        <v>0</v>
      </c>
      <c r="BE38" s="350"/>
      <c r="BF38" s="326"/>
      <c r="BG38" s="322">
        <f t="shared" si="102"/>
        <v>0</v>
      </c>
      <c r="BH38" s="350"/>
      <c r="BI38" s="326"/>
      <c r="BJ38" s="322">
        <f t="shared" si="102"/>
        <v>0</v>
      </c>
      <c r="BK38" s="350"/>
      <c r="BL38" s="326"/>
      <c r="BM38" s="322">
        <f t="shared" si="102"/>
        <v>0</v>
      </c>
      <c r="BN38" s="350"/>
      <c r="BO38" s="326"/>
      <c r="BP38" s="322">
        <f t="shared" si="102"/>
        <v>0</v>
      </c>
      <c r="BQ38" s="350"/>
      <c r="BR38" s="326"/>
      <c r="BS38" s="322">
        <f t="shared" si="102"/>
        <v>0</v>
      </c>
      <c r="BT38" s="350"/>
      <c r="BU38" s="326"/>
      <c r="BV38" s="322">
        <f t="shared" si="102"/>
        <v>0</v>
      </c>
      <c r="BW38" s="350"/>
      <c r="BX38" s="326"/>
      <c r="BY38" s="322">
        <f t="shared" si="102"/>
        <v>0</v>
      </c>
      <c r="BZ38" s="350"/>
      <c r="CA38" s="326"/>
      <c r="CB38" s="322">
        <f t="shared" si="101"/>
        <v>0</v>
      </c>
      <c r="CC38" s="350"/>
      <c r="CD38" s="326"/>
      <c r="CE38" s="322">
        <f t="shared" si="101"/>
        <v>0</v>
      </c>
      <c r="CF38" s="350"/>
      <c r="CG38" s="350"/>
      <c r="CH38" s="350"/>
    </row>
    <row r="39" spans="1:86" ht="15" customHeight="1">
      <c r="A39" s="343"/>
      <c r="B39" s="351"/>
      <c r="C39" s="330" t="str">
        <f>+Idiomas!D290</f>
        <v>PREDICTOR - Playoffs</v>
      </c>
      <c r="D39" s="269">
        <v>0</v>
      </c>
      <c r="E39" s="343"/>
      <c r="F39" s="561"/>
      <c r="G39" s="319" t="str">
        <f>CONCATENATE(League!D35,"-",League!K35)</f>
        <v>Barcelona-PSG</v>
      </c>
      <c r="H39" s="320" t="str">
        <f>CONCATENATE(IF(League!G35&gt;League!H35,1,IF(League!G35&lt;League!H35,2,IF(AND(League!G35=League!H35,League!G35&lt;&gt;"",League!H35&lt;&gt;""),"X",0))),"|",League!G35,"-",League!H35)</f>
        <v>2|1-2</v>
      </c>
      <c r="I39" s="219"/>
      <c r="J39" s="452" t="s">
        <v>158</v>
      </c>
      <c r="K39" s="322">
        <f t="shared" si="103"/>
        <v>0</v>
      </c>
      <c r="L39" s="251"/>
      <c r="M39" s="326" t="s">
        <v>166</v>
      </c>
      <c r="N39" s="322">
        <f t="shared" si="102"/>
        <v>0</v>
      </c>
      <c r="O39" s="251"/>
      <c r="P39" s="326" t="s">
        <v>158</v>
      </c>
      <c r="Q39" s="322">
        <f t="shared" si="102"/>
        <v>0</v>
      </c>
      <c r="R39" s="251"/>
      <c r="S39" s="326" t="s">
        <v>166</v>
      </c>
      <c r="T39" s="322">
        <f t="shared" si="102"/>
        <v>0</v>
      </c>
      <c r="U39" s="251"/>
      <c r="V39" s="326" t="s">
        <v>164</v>
      </c>
      <c r="W39" s="322">
        <f t="shared" si="102"/>
        <v>0</v>
      </c>
      <c r="X39" s="251"/>
      <c r="Y39" s="326" t="s">
        <v>160</v>
      </c>
      <c r="Z39" s="322">
        <f t="shared" si="102"/>
        <v>0</v>
      </c>
      <c r="AA39" s="251"/>
      <c r="AB39" s="326" t="s">
        <v>158</v>
      </c>
      <c r="AC39" s="322">
        <f t="shared" si="102"/>
        <v>0</v>
      </c>
      <c r="AD39" s="251"/>
      <c r="AE39" s="326" t="s">
        <v>166</v>
      </c>
      <c r="AF39" s="322">
        <f t="shared" si="102"/>
        <v>0</v>
      </c>
      <c r="AG39" s="251"/>
      <c r="AH39" s="326" t="s">
        <v>169</v>
      </c>
      <c r="AI39" s="322">
        <f t="shared" si="102"/>
        <v>0</v>
      </c>
      <c r="AJ39" s="251"/>
      <c r="AK39" s="326" t="s">
        <v>166</v>
      </c>
      <c r="AL39" s="322">
        <f t="shared" si="102"/>
        <v>0</v>
      </c>
      <c r="AM39" s="251"/>
      <c r="AN39" s="326" t="s">
        <v>173</v>
      </c>
      <c r="AO39" s="322">
        <f t="shared" si="102"/>
        <v>2</v>
      </c>
      <c r="AP39" s="251"/>
      <c r="AQ39" s="326" t="s">
        <v>160</v>
      </c>
      <c r="AR39" s="322">
        <f t="shared" si="102"/>
        <v>0</v>
      </c>
      <c r="AS39" s="251"/>
      <c r="AT39" s="326" t="s">
        <v>160</v>
      </c>
      <c r="AU39" s="322">
        <f t="shared" si="102"/>
        <v>0</v>
      </c>
      <c r="AV39" s="251"/>
      <c r="AW39" s="326" t="s">
        <v>166</v>
      </c>
      <c r="AX39" s="322">
        <f t="shared" si="102"/>
        <v>0</v>
      </c>
      <c r="AY39" s="251"/>
      <c r="AZ39" s="534" t="s">
        <v>161</v>
      </c>
      <c r="BA39" s="322">
        <f t="shared" si="102"/>
        <v>5</v>
      </c>
      <c r="BB39" s="251"/>
      <c r="BC39" s="326" t="s">
        <v>176</v>
      </c>
      <c r="BD39" s="322">
        <f t="shared" si="102"/>
        <v>0</v>
      </c>
      <c r="BE39" s="251"/>
      <c r="BF39" s="326"/>
      <c r="BG39" s="322">
        <f t="shared" si="102"/>
        <v>0</v>
      </c>
      <c r="BH39" s="251"/>
      <c r="BI39" s="326"/>
      <c r="BJ39" s="322">
        <f t="shared" si="102"/>
        <v>0</v>
      </c>
      <c r="BK39" s="251"/>
      <c r="BL39" s="326"/>
      <c r="BM39" s="322">
        <f t="shared" si="102"/>
        <v>0</v>
      </c>
      <c r="BN39" s="251"/>
      <c r="BO39" s="326"/>
      <c r="BP39" s="322">
        <f t="shared" si="102"/>
        <v>0</v>
      </c>
      <c r="BQ39" s="251"/>
      <c r="BR39" s="326"/>
      <c r="BS39" s="322">
        <f t="shared" si="102"/>
        <v>0</v>
      </c>
      <c r="BT39" s="251"/>
      <c r="BU39" s="326"/>
      <c r="BV39" s="322">
        <f t="shared" si="102"/>
        <v>0</v>
      </c>
      <c r="BW39" s="251"/>
      <c r="BX39" s="326"/>
      <c r="BY39" s="322">
        <f t="shared" si="102"/>
        <v>0</v>
      </c>
      <c r="BZ39" s="251"/>
      <c r="CA39" s="326"/>
      <c r="CB39" s="322">
        <f t="shared" si="101"/>
        <v>0</v>
      </c>
      <c r="CC39" s="251"/>
      <c r="CD39" s="326"/>
      <c r="CE39" s="322">
        <f t="shared" si="101"/>
        <v>0</v>
      </c>
      <c r="CF39" s="251"/>
      <c r="CG39" s="251"/>
      <c r="CH39" s="251"/>
    </row>
    <row r="40" spans="1:86" ht="15" customHeight="1">
      <c r="A40" s="343"/>
      <c r="B40" s="351"/>
      <c r="C40" s="352" t="str">
        <f>+Idiomas!D291</f>
        <v>PREDICTOR- Fase de Liga</v>
      </c>
      <c r="D40" s="271">
        <v>0</v>
      </c>
      <c r="E40" s="343"/>
      <c r="F40" s="561"/>
      <c r="G40" s="328" t="str">
        <f>CONCATENATE(League!D36,"-",League!K36)</f>
        <v>Napoli-Sporting Portugal</v>
      </c>
      <c r="H40" s="320" t="str">
        <f>CONCATENATE(IF(League!G36&gt;League!H36,1,IF(League!G36&lt;League!H36,2,IF(AND(League!G36=League!H36,League!G36&lt;&gt;"",League!H36&lt;&gt;""),"X",0))),"|",League!G36,"-",League!H36)</f>
        <v>1|2-1</v>
      </c>
      <c r="I40" s="219"/>
      <c r="J40" s="452" t="s">
        <v>171</v>
      </c>
      <c r="K40" s="322">
        <f t="shared" si="103"/>
        <v>2</v>
      </c>
      <c r="L40" s="251"/>
      <c r="M40" s="326" t="s">
        <v>158</v>
      </c>
      <c r="N40" s="322">
        <f t="shared" si="102"/>
        <v>0</v>
      </c>
      <c r="O40" s="251"/>
      <c r="P40" s="326" t="s">
        <v>167</v>
      </c>
      <c r="Q40" s="322">
        <f t="shared" si="102"/>
        <v>2</v>
      </c>
      <c r="R40" s="251"/>
      <c r="S40" s="326" t="s">
        <v>167</v>
      </c>
      <c r="T40" s="322">
        <f t="shared" si="102"/>
        <v>2</v>
      </c>
      <c r="U40" s="251"/>
      <c r="V40" s="326" t="s">
        <v>166</v>
      </c>
      <c r="W40" s="322">
        <f t="shared" si="102"/>
        <v>5</v>
      </c>
      <c r="X40" s="251"/>
      <c r="Y40" s="326" t="s">
        <v>169</v>
      </c>
      <c r="Z40" s="322">
        <f t="shared" si="102"/>
        <v>2</v>
      </c>
      <c r="AA40" s="251"/>
      <c r="AB40" s="326" t="s">
        <v>164</v>
      </c>
      <c r="AC40" s="322">
        <f t="shared" si="102"/>
        <v>2</v>
      </c>
      <c r="AD40" s="251"/>
      <c r="AE40" s="326" t="s">
        <v>173</v>
      </c>
      <c r="AF40" s="322">
        <f t="shared" si="102"/>
        <v>0</v>
      </c>
      <c r="AG40" s="251"/>
      <c r="AH40" s="326" t="s">
        <v>167</v>
      </c>
      <c r="AI40" s="322">
        <f t="shared" si="102"/>
        <v>2</v>
      </c>
      <c r="AJ40" s="251"/>
      <c r="AK40" s="326" t="s">
        <v>167</v>
      </c>
      <c r="AL40" s="322">
        <f t="shared" si="102"/>
        <v>2</v>
      </c>
      <c r="AM40" s="251"/>
      <c r="AN40" s="326" t="s">
        <v>160</v>
      </c>
      <c r="AO40" s="322">
        <f t="shared" si="102"/>
        <v>0</v>
      </c>
      <c r="AP40" s="251"/>
      <c r="AQ40" s="326" t="s">
        <v>166</v>
      </c>
      <c r="AR40" s="322">
        <f t="shared" si="102"/>
        <v>5</v>
      </c>
      <c r="AS40" s="251"/>
      <c r="AT40" s="326" t="s">
        <v>158</v>
      </c>
      <c r="AU40" s="322">
        <f t="shared" si="102"/>
        <v>0</v>
      </c>
      <c r="AV40" s="251"/>
      <c r="AW40" s="326" t="s">
        <v>161</v>
      </c>
      <c r="AX40" s="322">
        <f t="shared" si="102"/>
        <v>0</v>
      </c>
      <c r="AY40" s="251"/>
      <c r="AZ40" s="534" t="s">
        <v>164</v>
      </c>
      <c r="BA40" s="322">
        <f t="shared" si="102"/>
        <v>2</v>
      </c>
      <c r="BB40" s="251"/>
      <c r="BC40" s="326" t="s">
        <v>166</v>
      </c>
      <c r="BD40" s="322">
        <f t="shared" si="102"/>
        <v>5</v>
      </c>
      <c r="BE40" s="251"/>
      <c r="BF40" s="326"/>
      <c r="BG40" s="322">
        <f t="shared" si="102"/>
        <v>0</v>
      </c>
      <c r="BH40" s="251"/>
      <c r="BI40" s="326"/>
      <c r="BJ40" s="322">
        <f t="shared" si="102"/>
        <v>0</v>
      </c>
      <c r="BK40" s="251"/>
      <c r="BL40" s="326"/>
      <c r="BM40" s="322">
        <f t="shared" si="102"/>
        <v>0</v>
      </c>
      <c r="BN40" s="251"/>
      <c r="BO40" s="326"/>
      <c r="BP40" s="322">
        <f t="shared" si="102"/>
        <v>0</v>
      </c>
      <c r="BQ40" s="251"/>
      <c r="BR40" s="326"/>
      <c r="BS40" s="322">
        <f t="shared" si="102"/>
        <v>0</v>
      </c>
      <c r="BT40" s="251"/>
      <c r="BU40" s="326"/>
      <c r="BV40" s="322">
        <f t="shared" si="102"/>
        <v>0</v>
      </c>
      <c r="BW40" s="251"/>
      <c r="BX40" s="326"/>
      <c r="BY40" s="322">
        <f t="shared" si="102"/>
        <v>0</v>
      </c>
      <c r="BZ40" s="251"/>
      <c r="CA40" s="326"/>
      <c r="CB40" s="322">
        <f t="shared" si="101"/>
        <v>0</v>
      </c>
      <c r="CC40" s="251"/>
      <c r="CD40" s="326"/>
      <c r="CE40" s="322">
        <f t="shared" si="101"/>
        <v>0</v>
      </c>
      <c r="CF40" s="251"/>
      <c r="CG40" s="251"/>
      <c r="CH40" s="251"/>
    </row>
    <row r="41" spans="1:86" ht="15" customHeight="1">
      <c r="A41" s="343"/>
      <c r="B41" s="351"/>
      <c r="C41" s="343"/>
      <c r="D41" s="343"/>
      <c r="E41" s="343"/>
      <c r="F41" s="561"/>
      <c r="G41" s="334" t="str">
        <f>CONCATENATE(League!D37,"-",League!K37)</f>
        <v>Villarreal-Juventus</v>
      </c>
      <c r="H41" s="335" t="str">
        <f>CONCATENATE(IF(League!G37&gt;League!H37,1,IF(League!G37&lt;League!H37,2,IF(AND(League!G37=League!H37,League!G37&lt;&gt;"",League!H37&lt;&gt;""),"X",0))),"|",League!G37,"-",League!H37)</f>
        <v>X|2-2</v>
      </c>
      <c r="I41" s="219"/>
      <c r="J41" s="455" t="s">
        <v>160</v>
      </c>
      <c r="K41" s="337">
        <f t="shared" si="103"/>
        <v>5</v>
      </c>
      <c r="L41" s="251"/>
      <c r="M41" s="336" t="s">
        <v>157</v>
      </c>
      <c r="N41" s="337">
        <f t="shared" si="102"/>
        <v>0</v>
      </c>
      <c r="O41" s="251"/>
      <c r="P41" s="336" t="s">
        <v>161</v>
      </c>
      <c r="Q41" s="337">
        <f t="shared" si="102"/>
        <v>0</v>
      </c>
      <c r="R41" s="251"/>
      <c r="S41" s="336" t="s">
        <v>158</v>
      </c>
      <c r="T41" s="337">
        <f t="shared" si="102"/>
        <v>2</v>
      </c>
      <c r="U41" s="251"/>
      <c r="V41" s="336" t="s">
        <v>158</v>
      </c>
      <c r="W41" s="337">
        <f t="shared" si="102"/>
        <v>2</v>
      </c>
      <c r="X41" s="251"/>
      <c r="Y41" s="336" t="s">
        <v>158</v>
      </c>
      <c r="Z41" s="337">
        <f t="shared" si="102"/>
        <v>2</v>
      </c>
      <c r="AA41" s="251"/>
      <c r="AB41" s="336" t="s">
        <v>166</v>
      </c>
      <c r="AC41" s="337">
        <f t="shared" si="102"/>
        <v>0</v>
      </c>
      <c r="AD41" s="251"/>
      <c r="AE41" s="336" t="s">
        <v>174</v>
      </c>
      <c r="AF41" s="337">
        <f t="shared" si="102"/>
        <v>0</v>
      </c>
      <c r="AG41" s="251"/>
      <c r="AH41" s="336" t="s">
        <v>166</v>
      </c>
      <c r="AI41" s="337">
        <f t="shared" si="102"/>
        <v>0</v>
      </c>
      <c r="AJ41" s="251"/>
      <c r="AK41" s="336" t="s">
        <v>162</v>
      </c>
      <c r="AL41" s="337">
        <f t="shared" si="102"/>
        <v>0</v>
      </c>
      <c r="AM41" s="251"/>
      <c r="AN41" s="336" t="s">
        <v>166</v>
      </c>
      <c r="AO41" s="337">
        <f t="shared" si="102"/>
        <v>0</v>
      </c>
      <c r="AP41" s="251"/>
      <c r="AQ41" s="336" t="s">
        <v>161</v>
      </c>
      <c r="AR41" s="337">
        <f t="shared" si="102"/>
        <v>0</v>
      </c>
      <c r="AS41" s="251"/>
      <c r="AT41" s="336" t="s">
        <v>158</v>
      </c>
      <c r="AU41" s="337">
        <f t="shared" si="102"/>
        <v>2</v>
      </c>
      <c r="AV41" s="251"/>
      <c r="AW41" s="336" t="s">
        <v>161</v>
      </c>
      <c r="AX41" s="337">
        <f t="shared" si="102"/>
        <v>0</v>
      </c>
      <c r="AY41" s="251"/>
      <c r="AZ41" s="537" t="s">
        <v>164</v>
      </c>
      <c r="BA41" s="337">
        <f t="shared" ref="BA41:CE52" si="104">IFERROR(SUM(IF($H41=AZ41,$D$10),IF(LEFT($H41,1)=LEFT(AZ41,1),$D$8),IF(MID($H41,FIND("|",$H41)+1,FIND("-",$H41)-FIND("|",$H41)-1)-MID($H41,FIND("-",$H41)+1,11)=MID(AZ41,FIND("|",AZ41)+1,FIND("-",AZ41)-FIND("|",AZ41)-1)-MID(AZ41,FIND("-",AZ41)+1,11),$D$9)),)</f>
        <v>0</v>
      </c>
      <c r="BB41" s="251"/>
      <c r="BC41" s="336" t="s">
        <v>169</v>
      </c>
      <c r="BD41" s="337">
        <f t="shared" si="104"/>
        <v>0</v>
      </c>
      <c r="BE41" s="251"/>
      <c r="BF41" s="336"/>
      <c r="BG41" s="337">
        <f t="shared" si="104"/>
        <v>0</v>
      </c>
      <c r="BH41" s="251"/>
      <c r="BI41" s="336"/>
      <c r="BJ41" s="337">
        <f t="shared" si="104"/>
        <v>0</v>
      </c>
      <c r="BK41" s="251"/>
      <c r="BL41" s="336"/>
      <c r="BM41" s="337">
        <f t="shared" si="104"/>
        <v>0</v>
      </c>
      <c r="BN41" s="251"/>
      <c r="BO41" s="336"/>
      <c r="BP41" s="337">
        <f t="shared" si="104"/>
        <v>0</v>
      </c>
      <c r="BQ41" s="251"/>
      <c r="BR41" s="336"/>
      <c r="BS41" s="337">
        <f t="shared" si="104"/>
        <v>0</v>
      </c>
      <c r="BT41" s="251"/>
      <c r="BU41" s="336"/>
      <c r="BV41" s="337">
        <f t="shared" si="104"/>
        <v>0</v>
      </c>
      <c r="BW41" s="251"/>
      <c r="BX41" s="336"/>
      <c r="BY41" s="337">
        <f t="shared" si="104"/>
        <v>0</v>
      </c>
      <c r="BZ41" s="251"/>
      <c r="CA41" s="336"/>
      <c r="CB41" s="337">
        <f t="shared" si="104"/>
        <v>0</v>
      </c>
      <c r="CC41" s="251"/>
      <c r="CD41" s="336"/>
      <c r="CE41" s="337">
        <f t="shared" si="104"/>
        <v>0</v>
      </c>
      <c r="CF41" s="251"/>
      <c r="CG41" s="251"/>
      <c r="CH41" s="251"/>
    </row>
    <row r="42" spans="1:86" ht="15" customHeight="1">
      <c r="A42" s="343"/>
      <c r="B42" s="351"/>
      <c r="C42" s="343"/>
      <c r="D42" s="343"/>
      <c r="E42" s="343"/>
      <c r="F42" s="562" t="str">
        <f>+Idiomas!D101</f>
        <v>J3</v>
      </c>
      <c r="G42" s="319" t="str">
        <f>CONCATENATE(League!D38,"-",League!K38)</f>
        <v>Barcelona-Olympiakos</v>
      </c>
      <c r="H42" s="320" t="str">
        <f>CONCATENATE(IF(League!G38&gt;League!H38,1,IF(League!G38&lt;League!H38,2,IF(AND(League!G38=League!H38,League!G38&lt;&gt;"",League!H38&lt;&gt;""),"X",0))),"|",League!G38,"-",League!H38)</f>
        <v>1|6-1</v>
      </c>
      <c r="I42" s="219"/>
      <c r="J42" s="452" t="s">
        <v>165</v>
      </c>
      <c r="K42" s="341">
        <f t="shared" si="103"/>
        <v>2</v>
      </c>
      <c r="L42" s="251"/>
      <c r="M42" s="340" t="s">
        <v>165</v>
      </c>
      <c r="N42" s="341">
        <f t="shared" ref="N42:BY53" si="105">IFERROR(SUM(IF($H42=M42,$D$10),IF(LEFT($H42,1)=LEFT(M42,1),$D$8),IF(MID($H42,FIND("|",$H42)+1,FIND("-",$H42)-FIND("|",$H42)-1)-MID($H42,FIND("-",$H42)+1,11)=MID(M42,FIND("|",M42)+1,FIND("-",M42)-FIND("|",M42)-1)-MID(M42,FIND("-",M42)+1,11),$D$9)),)</f>
        <v>2</v>
      </c>
      <c r="O42" s="251"/>
      <c r="P42" s="340" t="s">
        <v>170</v>
      </c>
      <c r="Q42" s="341">
        <f t="shared" si="105"/>
        <v>2</v>
      </c>
      <c r="R42" s="251"/>
      <c r="S42" s="340" t="s">
        <v>163</v>
      </c>
      <c r="T42" s="341">
        <f t="shared" si="105"/>
        <v>2</v>
      </c>
      <c r="U42" s="251"/>
      <c r="V42" s="340" t="s">
        <v>171</v>
      </c>
      <c r="W42" s="341">
        <f t="shared" si="105"/>
        <v>2</v>
      </c>
      <c r="X42" s="251"/>
      <c r="Y42" s="340" t="s">
        <v>171</v>
      </c>
      <c r="Z42" s="341">
        <f t="shared" si="105"/>
        <v>2</v>
      </c>
      <c r="AA42" s="251"/>
      <c r="AB42" s="340" t="s">
        <v>167</v>
      </c>
      <c r="AC42" s="341">
        <f t="shared" si="105"/>
        <v>2</v>
      </c>
      <c r="AD42" s="251"/>
      <c r="AE42" s="340" t="s">
        <v>160</v>
      </c>
      <c r="AF42" s="341">
        <f t="shared" si="105"/>
        <v>0</v>
      </c>
      <c r="AG42" s="251"/>
      <c r="AH42" s="340" t="s">
        <v>165</v>
      </c>
      <c r="AI42" s="341">
        <f t="shared" si="105"/>
        <v>2</v>
      </c>
      <c r="AJ42" s="251"/>
      <c r="AK42" s="340" t="s">
        <v>165</v>
      </c>
      <c r="AL42" s="341">
        <f t="shared" si="105"/>
        <v>2</v>
      </c>
      <c r="AM42" s="251"/>
      <c r="AN42" s="340" t="s">
        <v>163</v>
      </c>
      <c r="AO42" s="341">
        <f t="shared" si="105"/>
        <v>2</v>
      </c>
      <c r="AP42" s="251"/>
      <c r="AQ42" s="340" t="s">
        <v>165</v>
      </c>
      <c r="AR42" s="341">
        <f t="shared" si="105"/>
        <v>2</v>
      </c>
      <c r="AS42" s="251"/>
      <c r="AT42" s="340" t="s">
        <v>167</v>
      </c>
      <c r="AU42" s="341">
        <f t="shared" si="105"/>
        <v>2</v>
      </c>
      <c r="AV42" s="251"/>
      <c r="AW42" s="340" t="s">
        <v>166</v>
      </c>
      <c r="AX42" s="341">
        <f t="shared" si="105"/>
        <v>2</v>
      </c>
      <c r="AY42" s="251"/>
      <c r="AZ42" s="534" t="s">
        <v>184</v>
      </c>
      <c r="BA42" s="341">
        <f t="shared" si="105"/>
        <v>2</v>
      </c>
      <c r="BB42" s="251"/>
      <c r="BC42" s="340" t="s">
        <v>166</v>
      </c>
      <c r="BD42" s="341">
        <f t="shared" si="105"/>
        <v>2</v>
      </c>
      <c r="BE42" s="251"/>
      <c r="BF42" s="340" t="str">
        <f>+Idiomas!$D$240</f>
        <v>Pegar Valores (J3)</v>
      </c>
      <c r="BG42" s="341">
        <f t="shared" si="105"/>
        <v>0</v>
      </c>
      <c r="BH42" s="251"/>
      <c r="BI42" s="340" t="str">
        <f>+Idiomas!$D$240</f>
        <v>Pegar Valores (J3)</v>
      </c>
      <c r="BJ42" s="341">
        <f t="shared" si="105"/>
        <v>0</v>
      </c>
      <c r="BK42" s="251"/>
      <c r="BL42" s="340" t="str">
        <f>+Idiomas!$D$240</f>
        <v>Pegar Valores (J3)</v>
      </c>
      <c r="BM42" s="341">
        <f t="shared" si="105"/>
        <v>0</v>
      </c>
      <c r="BN42" s="251"/>
      <c r="BO42" s="340" t="str">
        <f>+Idiomas!$D$240</f>
        <v>Pegar Valores (J3)</v>
      </c>
      <c r="BP42" s="341">
        <f t="shared" si="105"/>
        <v>0</v>
      </c>
      <c r="BQ42" s="251"/>
      <c r="BR42" s="340" t="str">
        <f>+Idiomas!$D$240</f>
        <v>Pegar Valores (J3)</v>
      </c>
      <c r="BS42" s="341">
        <f t="shared" si="105"/>
        <v>0</v>
      </c>
      <c r="BT42" s="251"/>
      <c r="BU42" s="340" t="str">
        <f>+Idiomas!$D$240</f>
        <v>Pegar Valores (J3)</v>
      </c>
      <c r="BV42" s="341">
        <f t="shared" si="105"/>
        <v>0</v>
      </c>
      <c r="BW42" s="251"/>
      <c r="BX42" s="340" t="str">
        <f>+Idiomas!$D$240</f>
        <v>Pegar Valores (J3)</v>
      </c>
      <c r="BY42" s="341">
        <f t="shared" si="105"/>
        <v>0</v>
      </c>
      <c r="BZ42" s="251"/>
      <c r="CA42" s="340" t="str">
        <f>+Idiomas!$D$240</f>
        <v>Pegar Valores (J3)</v>
      </c>
      <c r="CB42" s="341">
        <f t="shared" si="104"/>
        <v>0</v>
      </c>
      <c r="CC42" s="251"/>
      <c r="CD42" s="340" t="str">
        <f>+Idiomas!$D$240</f>
        <v>Pegar Valores (J3)</v>
      </c>
      <c r="CE42" s="341">
        <f t="shared" si="104"/>
        <v>0</v>
      </c>
      <c r="CF42" s="251"/>
      <c r="CG42" s="251"/>
      <c r="CH42" s="251"/>
    </row>
    <row r="43" spans="1:86" ht="15" customHeight="1">
      <c r="A43" s="343"/>
      <c r="B43" s="351"/>
      <c r="C43" s="353" t="s">
        <v>185</v>
      </c>
      <c r="D43" s="354"/>
      <c r="E43" s="343"/>
      <c r="F43" s="562"/>
      <c r="G43" s="319" t="str">
        <f>CONCATENATE(League!D39,"-",League!K39)</f>
        <v>Kairat Almaty -Pafos</v>
      </c>
      <c r="H43" s="320" t="str">
        <f>CONCATENATE(IF(League!G39&gt;League!H39,1,IF(League!G39&lt;League!H39,2,IF(AND(League!G39=League!H39,League!G39&lt;&gt;"",League!H39&lt;&gt;""),"X",0))),"|",League!G39,"-",League!H39)</f>
        <v>X|0-0</v>
      </c>
      <c r="I43" s="219"/>
      <c r="J43" s="452" t="s">
        <v>158</v>
      </c>
      <c r="K43" s="322">
        <f t="shared" si="103"/>
        <v>2</v>
      </c>
      <c r="L43" s="251"/>
      <c r="M43" s="326" t="s">
        <v>173</v>
      </c>
      <c r="N43" s="322">
        <f t="shared" si="105"/>
        <v>0</v>
      </c>
      <c r="O43" s="251"/>
      <c r="P43" s="326" t="s">
        <v>162</v>
      </c>
      <c r="Q43" s="322">
        <f t="shared" si="105"/>
        <v>0</v>
      </c>
      <c r="R43" s="251"/>
      <c r="S43" s="326" t="s">
        <v>161</v>
      </c>
      <c r="T43" s="322">
        <f t="shared" si="105"/>
        <v>0</v>
      </c>
      <c r="U43" s="251"/>
      <c r="V43" s="326" t="s">
        <v>168</v>
      </c>
      <c r="W43" s="322">
        <f t="shared" si="105"/>
        <v>5</v>
      </c>
      <c r="X43" s="251"/>
      <c r="Y43" s="326" t="s">
        <v>160</v>
      </c>
      <c r="Z43" s="322">
        <f t="shared" si="105"/>
        <v>2</v>
      </c>
      <c r="AA43" s="251"/>
      <c r="AB43" s="326" t="s">
        <v>166</v>
      </c>
      <c r="AC43" s="322">
        <f t="shared" si="105"/>
        <v>0</v>
      </c>
      <c r="AD43" s="251"/>
      <c r="AE43" s="326" t="s">
        <v>169</v>
      </c>
      <c r="AF43" s="322">
        <f t="shared" si="105"/>
        <v>0</v>
      </c>
      <c r="AG43" s="251"/>
      <c r="AH43" s="326" t="s">
        <v>168</v>
      </c>
      <c r="AI43" s="322">
        <f t="shared" si="105"/>
        <v>5</v>
      </c>
      <c r="AJ43" s="251"/>
      <c r="AK43" s="326" t="s">
        <v>158</v>
      </c>
      <c r="AL43" s="322">
        <f t="shared" si="105"/>
        <v>2</v>
      </c>
      <c r="AM43" s="251"/>
      <c r="AN43" s="326" t="s">
        <v>158</v>
      </c>
      <c r="AO43" s="322">
        <f t="shared" si="105"/>
        <v>2</v>
      </c>
      <c r="AP43" s="251"/>
      <c r="AQ43" s="326" t="s">
        <v>162</v>
      </c>
      <c r="AR43" s="322">
        <f t="shared" si="105"/>
        <v>0</v>
      </c>
      <c r="AS43" s="251"/>
      <c r="AT43" s="326" t="s">
        <v>158</v>
      </c>
      <c r="AU43" s="322">
        <f t="shared" si="105"/>
        <v>2</v>
      </c>
      <c r="AV43" s="251"/>
      <c r="AW43" s="326" t="s">
        <v>158</v>
      </c>
      <c r="AX43" s="322">
        <f t="shared" si="105"/>
        <v>2</v>
      </c>
      <c r="AY43" s="251"/>
      <c r="AZ43" s="534" t="s">
        <v>158</v>
      </c>
      <c r="BA43" s="322">
        <f t="shared" si="105"/>
        <v>2</v>
      </c>
      <c r="BB43" s="251"/>
      <c r="BC43" s="326" t="s">
        <v>160</v>
      </c>
      <c r="BD43" s="322">
        <f t="shared" si="105"/>
        <v>2</v>
      </c>
      <c r="BE43" s="251"/>
      <c r="BF43" s="326"/>
      <c r="BG43" s="322">
        <f t="shared" si="105"/>
        <v>0</v>
      </c>
      <c r="BH43" s="251"/>
      <c r="BI43" s="326"/>
      <c r="BJ43" s="322">
        <f t="shared" si="105"/>
        <v>0</v>
      </c>
      <c r="BK43" s="251"/>
      <c r="BL43" s="326"/>
      <c r="BM43" s="322">
        <f t="shared" si="105"/>
        <v>0</v>
      </c>
      <c r="BN43" s="251"/>
      <c r="BO43" s="326"/>
      <c r="BP43" s="322">
        <f t="shared" si="105"/>
        <v>0</v>
      </c>
      <c r="BQ43" s="251"/>
      <c r="BR43" s="326"/>
      <c r="BS43" s="322">
        <f t="shared" si="105"/>
        <v>0</v>
      </c>
      <c r="BT43" s="251"/>
      <c r="BU43" s="326"/>
      <c r="BV43" s="322">
        <f t="shared" si="105"/>
        <v>0</v>
      </c>
      <c r="BW43" s="251"/>
      <c r="BX43" s="326"/>
      <c r="BY43" s="322">
        <f t="shared" si="105"/>
        <v>0</v>
      </c>
      <c r="BZ43" s="251"/>
      <c r="CA43" s="326"/>
      <c r="CB43" s="322">
        <f t="shared" si="104"/>
        <v>0</v>
      </c>
      <c r="CC43" s="251"/>
      <c r="CD43" s="326"/>
      <c r="CE43" s="322">
        <f t="shared" si="104"/>
        <v>0</v>
      </c>
      <c r="CF43" s="251"/>
      <c r="CG43" s="251"/>
      <c r="CH43" s="251"/>
    </row>
    <row r="44" spans="1:86" ht="15" customHeight="1">
      <c r="A44" s="343"/>
      <c r="B44" s="351"/>
      <c r="C44" s="310" t="s">
        <v>186</v>
      </c>
      <c r="D44" s="355"/>
      <c r="E44" s="343"/>
      <c r="F44" s="562"/>
      <c r="G44" s="328" t="str">
        <f>CONCATENATE(League!D40,"-",League!K40)</f>
        <v>Arsenal-Atlético Madrid</v>
      </c>
      <c r="H44" s="320" t="str">
        <f>CONCATENATE(IF(League!G40&gt;League!H40,1,IF(League!G40&lt;League!H40,2,IF(AND(League!G40=League!H40,League!G40&lt;&gt;"",League!H40&lt;&gt;""),"X",0))),"|",League!G40,"-",League!H40)</f>
        <v>1|4-0</v>
      </c>
      <c r="I44" s="219"/>
      <c r="J44" s="452" t="s">
        <v>170</v>
      </c>
      <c r="K44" s="322">
        <f t="shared" si="103"/>
        <v>2</v>
      </c>
      <c r="L44" s="251"/>
      <c r="M44" s="326" t="s">
        <v>158</v>
      </c>
      <c r="N44" s="322">
        <f t="shared" si="105"/>
        <v>0</v>
      </c>
      <c r="O44" s="251"/>
      <c r="P44" s="326" t="s">
        <v>167</v>
      </c>
      <c r="Q44" s="322">
        <f t="shared" si="105"/>
        <v>2</v>
      </c>
      <c r="R44" s="251"/>
      <c r="S44" s="326" t="s">
        <v>170</v>
      </c>
      <c r="T44" s="322">
        <f t="shared" si="105"/>
        <v>2</v>
      </c>
      <c r="U44" s="251"/>
      <c r="V44" s="326" t="s">
        <v>160</v>
      </c>
      <c r="W44" s="322">
        <f t="shared" si="105"/>
        <v>0</v>
      </c>
      <c r="X44" s="251"/>
      <c r="Y44" s="326" t="s">
        <v>166</v>
      </c>
      <c r="Z44" s="322">
        <f t="shared" si="105"/>
        <v>2</v>
      </c>
      <c r="AA44" s="251"/>
      <c r="AB44" s="326" t="s">
        <v>166</v>
      </c>
      <c r="AC44" s="322">
        <f t="shared" si="105"/>
        <v>2</v>
      </c>
      <c r="AD44" s="251"/>
      <c r="AE44" s="326" t="s">
        <v>161</v>
      </c>
      <c r="AF44" s="322">
        <f t="shared" si="105"/>
        <v>0</v>
      </c>
      <c r="AG44" s="251"/>
      <c r="AH44" s="326" t="s">
        <v>173</v>
      </c>
      <c r="AI44" s="322">
        <f t="shared" si="105"/>
        <v>0</v>
      </c>
      <c r="AJ44" s="251"/>
      <c r="AK44" s="326" t="s">
        <v>166</v>
      </c>
      <c r="AL44" s="322">
        <f t="shared" si="105"/>
        <v>2</v>
      </c>
      <c r="AM44" s="251"/>
      <c r="AN44" s="326" t="s">
        <v>170</v>
      </c>
      <c r="AO44" s="322">
        <f t="shared" si="105"/>
        <v>2</v>
      </c>
      <c r="AP44" s="251"/>
      <c r="AQ44" s="326" t="s">
        <v>161</v>
      </c>
      <c r="AR44" s="322">
        <f t="shared" si="105"/>
        <v>0</v>
      </c>
      <c r="AS44" s="251"/>
      <c r="AT44" s="326" t="s">
        <v>160</v>
      </c>
      <c r="AU44" s="322">
        <f t="shared" si="105"/>
        <v>0</v>
      </c>
      <c r="AV44" s="251"/>
      <c r="AW44" s="326" t="s">
        <v>161</v>
      </c>
      <c r="AX44" s="322">
        <f t="shared" si="105"/>
        <v>0</v>
      </c>
      <c r="AY44" s="251"/>
      <c r="AZ44" s="534" t="s">
        <v>174</v>
      </c>
      <c r="BA44" s="322">
        <f t="shared" si="105"/>
        <v>0</v>
      </c>
      <c r="BB44" s="251"/>
      <c r="BC44" s="326" t="s">
        <v>160</v>
      </c>
      <c r="BD44" s="322">
        <f t="shared" si="105"/>
        <v>0</v>
      </c>
      <c r="BE44" s="251"/>
      <c r="BF44" s="326"/>
      <c r="BG44" s="322">
        <f t="shared" si="105"/>
        <v>0</v>
      </c>
      <c r="BH44" s="251"/>
      <c r="BI44" s="326"/>
      <c r="BJ44" s="322">
        <f t="shared" si="105"/>
        <v>0</v>
      </c>
      <c r="BK44" s="251"/>
      <c r="BL44" s="326"/>
      <c r="BM44" s="322">
        <f t="shared" si="105"/>
        <v>0</v>
      </c>
      <c r="BN44" s="251"/>
      <c r="BO44" s="326"/>
      <c r="BP44" s="322">
        <f t="shared" si="105"/>
        <v>0</v>
      </c>
      <c r="BQ44" s="251"/>
      <c r="BR44" s="326"/>
      <c r="BS44" s="322">
        <f t="shared" si="105"/>
        <v>0</v>
      </c>
      <c r="BT44" s="251"/>
      <c r="BU44" s="326"/>
      <c r="BV44" s="322">
        <f t="shared" si="105"/>
        <v>0</v>
      </c>
      <c r="BW44" s="251"/>
      <c r="BX44" s="326"/>
      <c r="BY44" s="322">
        <f t="shared" si="105"/>
        <v>0</v>
      </c>
      <c r="BZ44" s="251"/>
      <c r="CA44" s="326"/>
      <c r="CB44" s="322">
        <f t="shared" si="104"/>
        <v>0</v>
      </c>
      <c r="CC44" s="251"/>
      <c r="CD44" s="326"/>
      <c r="CE44" s="322">
        <f t="shared" si="104"/>
        <v>0</v>
      </c>
      <c r="CF44" s="251"/>
      <c r="CG44" s="251"/>
      <c r="CH44" s="251"/>
    </row>
    <row r="45" spans="1:86" ht="15" customHeight="1">
      <c r="A45" s="343"/>
      <c r="B45" s="351"/>
      <c r="C45" s="311"/>
      <c r="D45" s="356"/>
      <c r="E45" s="343"/>
      <c r="F45" s="562"/>
      <c r="G45" s="319" t="str">
        <f>CONCATENATE(League!D41,"-",League!K41)</f>
        <v>Bayer Leverkusen-PSG</v>
      </c>
      <c r="H45" s="320" t="str">
        <f>CONCATENATE(IF(League!G41&gt;League!H41,1,IF(League!G41&lt;League!H41,2,IF(AND(League!G41=League!H41,League!G41&lt;&gt;"",League!H41&lt;&gt;""),"X",0))),"|",League!G41,"-",League!H41)</f>
        <v>2|2-7</v>
      </c>
      <c r="I45" s="219"/>
      <c r="J45" s="452" t="s">
        <v>157</v>
      </c>
      <c r="K45" s="322">
        <f t="shared" si="103"/>
        <v>2</v>
      </c>
      <c r="L45" s="251"/>
      <c r="M45" s="326" t="s">
        <v>161</v>
      </c>
      <c r="N45" s="322">
        <f t="shared" si="105"/>
        <v>2</v>
      </c>
      <c r="O45" s="251"/>
      <c r="P45" s="326" t="s">
        <v>158</v>
      </c>
      <c r="Q45" s="322">
        <f t="shared" si="105"/>
        <v>0</v>
      </c>
      <c r="R45" s="251"/>
      <c r="S45" s="326" t="s">
        <v>177</v>
      </c>
      <c r="T45" s="322">
        <f t="shared" si="105"/>
        <v>2</v>
      </c>
      <c r="U45" s="251"/>
      <c r="V45" s="326" t="s">
        <v>157</v>
      </c>
      <c r="W45" s="322">
        <f t="shared" si="105"/>
        <v>2</v>
      </c>
      <c r="X45" s="251"/>
      <c r="Y45" s="326" t="s">
        <v>161</v>
      </c>
      <c r="Z45" s="322">
        <f t="shared" si="105"/>
        <v>2</v>
      </c>
      <c r="AA45" s="251"/>
      <c r="AB45" s="326" t="s">
        <v>161</v>
      </c>
      <c r="AC45" s="322">
        <f t="shared" si="105"/>
        <v>2</v>
      </c>
      <c r="AD45" s="251"/>
      <c r="AE45" s="326" t="s">
        <v>170</v>
      </c>
      <c r="AF45" s="322">
        <f t="shared" si="105"/>
        <v>0</v>
      </c>
      <c r="AG45" s="251"/>
      <c r="AH45" s="326" t="s">
        <v>158</v>
      </c>
      <c r="AI45" s="322">
        <f t="shared" si="105"/>
        <v>0</v>
      </c>
      <c r="AJ45" s="251"/>
      <c r="AK45" s="326" t="s">
        <v>166</v>
      </c>
      <c r="AL45" s="322">
        <f t="shared" si="105"/>
        <v>0</v>
      </c>
      <c r="AM45" s="251"/>
      <c r="AN45" s="326" t="s">
        <v>157</v>
      </c>
      <c r="AO45" s="322">
        <f t="shared" si="105"/>
        <v>2</v>
      </c>
      <c r="AP45" s="251"/>
      <c r="AQ45" s="326" t="s">
        <v>161</v>
      </c>
      <c r="AR45" s="322">
        <f t="shared" si="105"/>
        <v>2</v>
      </c>
      <c r="AS45" s="251"/>
      <c r="AT45" s="326" t="s">
        <v>157</v>
      </c>
      <c r="AU45" s="322">
        <f t="shared" si="105"/>
        <v>2</v>
      </c>
      <c r="AV45" s="251"/>
      <c r="AW45" s="326" t="s">
        <v>166</v>
      </c>
      <c r="AX45" s="322">
        <f t="shared" si="105"/>
        <v>0</v>
      </c>
      <c r="AY45" s="251"/>
      <c r="AZ45" s="534" t="s">
        <v>174</v>
      </c>
      <c r="BA45" s="322">
        <f t="shared" si="105"/>
        <v>2</v>
      </c>
      <c r="BB45" s="251"/>
      <c r="BC45" s="326" t="s">
        <v>161</v>
      </c>
      <c r="BD45" s="322">
        <f t="shared" si="105"/>
        <v>2</v>
      </c>
      <c r="BE45" s="251"/>
      <c r="BF45" s="326"/>
      <c r="BG45" s="322">
        <f t="shared" si="105"/>
        <v>0</v>
      </c>
      <c r="BH45" s="251"/>
      <c r="BI45" s="326"/>
      <c r="BJ45" s="322">
        <f t="shared" si="105"/>
        <v>0</v>
      </c>
      <c r="BK45" s="251"/>
      <c r="BL45" s="326"/>
      <c r="BM45" s="322">
        <f t="shared" si="105"/>
        <v>0</v>
      </c>
      <c r="BN45" s="251"/>
      <c r="BO45" s="326"/>
      <c r="BP45" s="322">
        <f t="shared" si="105"/>
        <v>0</v>
      </c>
      <c r="BQ45" s="251"/>
      <c r="BR45" s="326"/>
      <c r="BS45" s="322">
        <f t="shared" si="105"/>
        <v>0</v>
      </c>
      <c r="BT45" s="251"/>
      <c r="BU45" s="326"/>
      <c r="BV45" s="322">
        <f t="shared" si="105"/>
        <v>0</v>
      </c>
      <c r="BW45" s="251"/>
      <c r="BX45" s="326"/>
      <c r="BY45" s="322">
        <f t="shared" si="105"/>
        <v>0</v>
      </c>
      <c r="BZ45" s="251"/>
      <c r="CA45" s="326"/>
      <c r="CB45" s="322">
        <f t="shared" si="104"/>
        <v>0</v>
      </c>
      <c r="CC45" s="251"/>
      <c r="CD45" s="326"/>
      <c r="CE45" s="322">
        <f t="shared" si="104"/>
        <v>0</v>
      </c>
      <c r="CF45" s="251"/>
      <c r="CG45" s="251"/>
      <c r="CH45" s="251"/>
    </row>
    <row r="46" spans="1:86" ht="15" customHeight="1">
      <c r="A46" s="343"/>
      <c r="B46" s="351"/>
      <c r="C46" s="343"/>
      <c r="D46" s="343"/>
      <c r="E46" s="343"/>
      <c r="F46" s="562"/>
      <c r="G46" s="328" t="str">
        <f>CONCATENATE(League!D42,"-",League!K42)</f>
        <v>Copenhagen-Borussia Dortmund</v>
      </c>
      <c r="H46" s="320" t="str">
        <f>CONCATENATE(IF(League!G42&gt;League!H42,1,IF(League!G42&lt;League!H42,2,IF(AND(League!G42=League!H42,League!G42&lt;&gt;"",League!H42&lt;&gt;""),"X",0))),"|",League!G42,"-",League!H42)</f>
        <v>2|2-4</v>
      </c>
      <c r="I46" s="219"/>
      <c r="J46" s="452" t="s">
        <v>162</v>
      </c>
      <c r="K46" s="322">
        <f t="shared" si="103"/>
        <v>2</v>
      </c>
      <c r="L46" s="251"/>
      <c r="M46" s="326" t="s">
        <v>173</v>
      </c>
      <c r="N46" s="322">
        <f t="shared" si="105"/>
        <v>2</v>
      </c>
      <c r="O46" s="251"/>
      <c r="P46" s="326" t="s">
        <v>159</v>
      </c>
      <c r="Q46" s="322">
        <f t="shared" si="105"/>
        <v>2</v>
      </c>
      <c r="R46" s="251"/>
      <c r="S46" s="326" t="s">
        <v>157</v>
      </c>
      <c r="T46" s="322">
        <f t="shared" si="105"/>
        <v>2</v>
      </c>
      <c r="U46" s="251"/>
      <c r="V46" s="326" t="s">
        <v>161</v>
      </c>
      <c r="W46" s="322">
        <f t="shared" si="105"/>
        <v>2</v>
      </c>
      <c r="X46" s="251"/>
      <c r="Y46" s="326" t="s">
        <v>158</v>
      </c>
      <c r="Z46" s="322">
        <f t="shared" si="105"/>
        <v>0</v>
      </c>
      <c r="AA46" s="251"/>
      <c r="AB46" s="326" t="s">
        <v>174</v>
      </c>
      <c r="AC46" s="322">
        <f t="shared" si="105"/>
        <v>2</v>
      </c>
      <c r="AD46" s="251"/>
      <c r="AE46" s="326" t="s">
        <v>174</v>
      </c>
      <c r="AF46" s="322">
        <f t="shared" si="105"/>
        <v>2</v>
      </c>
      <c r="AG46" s="251"/>
      <c r="AH46" s="326" t="s">
        <v>157</v>
      </c>
      <c r="AI46" s="322">
        <f t="shared" si="105"/>
        <v>2</v>
      </c>
      <c r="AJ46" s="251"/>
      <c r="AK46" s="326" t="s">
        <v>159</v>
      </c>
      <c r="AL46" s="322">
        <f t="shared" si="105"/>
        <v>2</v>
      </c>
      <c r="AM46" s="251"/>
      <c r="AN46" s="326" t="s">
        <v>161</v>
      </c>
      <c r="AO46" s="322">
        <f t="shared" si="105"/>
        <v>2</v>
      </c>
      <c r="AP46" s="251"/>
      <c r="AQ46" s="326" t="s">
        <v>161</v>
      </c>
      <c r="AR46" s="322">
        <f t="shared" si="105"/>
        <v>2</v>
      </c>
      <c r="AS46" s="251"/>
      <c r="AT46" s="326" t="s">
        <v>162</v>
      </c>
      <c r="AU46" s="322">
        <f t="shared" si="105"/>
        <v>2</v>
      </c>
      <c r="AV46" s="251"/>
      <c r="AW46" s="326" t="s">
        <v>161</v>
      </c>
      <c r="AX46" s="322">
        <f t="shared" si="105"/>
        <v>2</v>
      </c>
      <c r="AY46" s="251"/>
      <c r="AZ46" s="534" t="s">
        <v>158</v>
      </c>
      <c r="BA46" s="322">
        <f t="shared" si="105"/>
        <v>0</v>
      </c>
      <c r="BB46" s="251"/>
      <c r="BC46" s="326" t="s">
        <v>157</v>
      </c>
      <c r="BD46" s="322">
        <f t="shared" si="105"/>
        <v>2</v>
      </c>
      <c r="BE46" s="251"/>
      <c r="BF46" s="326"/>
      <c r="BG46" s="322">
        <f t="shared" si="105"/>
        <v>0</v>
      </c>
      <c r="BH46" s="251"/>
      <c r="BI46" s="326"/>
      <c r="BJ46" s="322">
        <f t="shared" si="105"/>
        <v>0</v>
      </c>
      <c r="BK46" s="251"/>
      <c r="BL46" s="326"/>
      <c r="BM46" s="322">
        <f t="shared" si="105"/>
        <v>0</v>
      </c>
      <c r="BN46" s="251"/>
      <c r="BO46" s="326"/>
      <c r="BP46" s="322">
        <f t="shared" si="105"/>
        <v>0</v>
      </c>
      <c r="BQ46" s="251"/>
      <c r="BR46" s="326"/>
      <c r="BS46" s="322">
        <f t="shared" si="105"/>
        <v>0</v>
      </c>
      <c r="BT46" s="251"/>
      <c r="BU46" s="326"/>
      <c r="BV46" s="322">
        <f t="shared" si="105"/>
        <v>0</v>
      </c>
      <c r="BW46" s="251"/>
      <c r="BX46" s="326"/>
      <c r="BY46" s="322">
        <f t="shared" si="105"/>
        <v>0</v>
      </c>
      <c r="BZ46" s="251"/>
      <c r="CA46" s="326"/>
      <c r="CB46" s="322">
        <f t="shared" si="104"/>
        <v>0</v>
      </c>
      <c r="CC46" s="251"/>
      <c r="CD46" s="326"/>
      <c r="CE46" s="322">
        <f t="shared" si="104"/>
        <v>0</v>
      </c>
      <c r="CF46" s="251"/>
      <c r="CG46" s="251"/>
      <c r="CH46" s="251"/>
    </row>
    <row r="47" spans="1:86" ht="15" customHeight="1">
      <c r="A47" s="343"/>
      <c r="B47" s="351"/>
      <c r="C47" s="343"/>
      <c r="D47" s="343"/>
      <c r="E47" s="343"/>
      <c r="F47" s="562"/>
      <c r="G47" s="319" t="str">
        <f>CONCATENATE(League!D43,"-",League!K43)</f>
        <v>Newcastle-Benfica</v>
      </c>
      <c r="H47" s="320" t="str">
        <f>CONCATENATE(IF(League!G43&gt;League!H43,1,IF(League!G43&lt;League!H43,2,IF(AND(League!G43=League!H43,League!G43&lt;&gt;"",League!H43&lt;&gt;""),"X",0))),"|",League!G43,"-",League!H43)</f>
        <v>1|3-0</v>
      </c>
      <c r="I47" s="219"/>
      <c r="J47" s="452" t="s">
        <v>167</v>
      </c>
      <c r="K47" s="322">
        <f t="shared" si="103"/>
        <v>2</v>
      </c>
      <c r="L47" s="251"/>
      <c r="M47" s="326" t="s">
        <v>160</v>
      </c>
      <c r="N47" s="322">
        <f t="shared" si="105"/>
        <v>0</v>
      </c>
      <c r="O47" s="251"/>
      <c r="P47" s="326" t="s">
        <v>164</v>
      </c>
      <c r="Q47" s="322">
        <f t="shared" si="105"/>
        <v>2</v>
      </c>
      <c r="R47" s="251"/>
      <c r="S47" s="326" t="s">
        <v>160</v>
      </c>
      <c r="T47" s="322">
        <f t="shared" si="105"/>
        <v>0</v>
      </c>
      <c r="U47" s="251"/>
      <c r="V47" s="326" t="s">
        <v>166</v>
      </c>
      <c r="W47" s="322">
        <f t="shared" si="105"/>
        <v>2</v>
      </c>
      <c r="X47" s="251"/>
      <c r="Y47" s="326" t="s">
        <v>166</v>
      </c>
      <c r="Z47" s="322">
        <f t="shared" si="105"/>
        <v>2</v>
      </c>
      <c r="AA47" s="251"/>
      <c r="AB47" s="326" t="s">
        <v>157</v>
      </c>
      <c r="AC47" s="322">
        <f t="shared" si="105"/>
        <v>0</v>
      </c>
      <c r="AD47" s="251"/>
      <c r="AE47" s="326" t="s">
        <v>161</v>
      </c>
      <c r="AF47" s="322">
        <f t="shared" si="105"/>
        <v>0</v>
      </c>
      <c r="AG47" s="251"/>
      <c r="AH47" s="326" t="s">
        <v>167</v>
      </c>
      <c r="AI47" s="322">
        <f t="shared" si="105"/>
        <v>2</v>
      </c>
      <c r="AJ47" s="251"/>
      <c r="AK47" s="326" t="s">
        <v>162</v>
      </c>
      <c r="AL47" s="322">
        <f t="shared" si="105"/>
        <v>0</v>
      </c>
      <c r="AM47" s="251"/>
      <c r="AN47" s="326" t="s">
        <v>161</v>
      </c>
      <c r="AO47" s="322">
        <f t="shared" si="105"/>
        <v>0</v>
      </c>
      <c r="AP47" s="251"/>
      <c r="AQ47" s="326" t="s">
        <v>166</v>
      </c>
      <c r="AR47" s="322">
        <f t="shared" si="105"/>
        <v>2</v>
      </c>
      <c r="AS47" s="251"/>
      <c r="AT47" s="326" t="s">
        <v>158</v>
      </c>
      <c r="AU47" s="322">
        <f t="shared" si="105"/>
        <v>0</v>
      </c>
      <c r="AV47" s="251"/>
      <c r="AW47" s="326" t="s">
        <v>166</v>
      </c>
      <c r="AX47" s="322">
        <f t="shared" si="105"/>
        <v>2</v>
      </c>
      <c r="AY47" s="251"/>
      <c r="AZ47" s="534" t="s">
        <v>158</v>
      </c>
      <c r="BA47" s="322">
        <f t="shared" si="105"/>
        <v>0</v>
      </c>
      <c r="BB47" s="251"/>
      <c r="BC47" s="326" t="s">
        <v>160</v>
      </c>
      <c r="BD47" s="322">
        <f t="shared" si="105"/>
        <v>0</v>
      </c>
      <c r="BE47" s="251"/>
      <c r="BF47" s="326"/>
      <c r="BG47" s="322">
        <f t="shared" si="105"/>
        <v>0</v>
      </c>
      <c r="BH47" s="251"/>
      <c r="BI47" s="326"/>
      <c r="BJ47" s="322">
        <f t="shared" si="105"/>
        <v>0</v>
      </c>
      <c r="BK47" s="251"/>
      <c r="BL47" s="326"/>
      <c r="BM47" s="322">
        <f t="shared" si="105"/>
        <v>0</v>
      </c>
      <c r="BN47" s="251"/>
      <c r="BO47" s="326"/>
      <c r="BP47" s="322">
        <f t="shared" si="105"/>
        <v>0</v>
      </c>
      <c r="BQ47" s="251"/>
      <c r="BR47" s="326"/>
      <c r="BS47" s="322">
        <f t="shared" si="105"/>
        <v>0</v>
      </c>
      <c r="BT47" s="251"/>
      <c r="BU47" s="326"/>
      <c r="BV47" s="322">
        <f t="shared" si="105"/>
        <v>0</v>
      </c>
      <c r="BW47" s="251"/>
      <c r="BX47" s="326"/>
      <c r="BY47" s="322">
        <f t="shared" si="105"/>
        <v>0</v>
      </c>
      <c r="BZ47" s="251"/>
      <c r="CA47" s="326"/>
      <c r="CB47" s="322">
        <f t="shared" si="104"/>
        <v>0</v>
      </c>
      <c r="CC47" s="251"/>
      <c r="CD47" s="326"/>
      <c r="CE47" s="322">
        <f t="shared" si="104"/>
        <v>0</v>
      </c>
      <c r="CF47" s="251"/>
      <c r="CG47" s="251"/>
      <c r="CH47" s="251"/>
    </row>
    <row r="48" spans="1:86" ht="15" customHeight="1">
      <c r="A48" s="338"/>
      <c r="B48" s="357"/>
      <c r="C48" s="358" t="str">
        <f>+"MAX. "&amp;G5</f>
        <v>MAX. FASE DE LIGA</v>
      </c>
      <c r="D48" s="359">
        <f>SUM($D$8:$D$10)*COUNT(K6:K149)+$D$11*36+$D$12*8+$D$13*16</f>
        <v>996</v>
      </c>
      <c r="E48" s="338"/>
      <c r="F48" s="562"/>
      <c r="G48" s="328" t="str">
        <f>CONCATENATE(League!D44,"-",League!K44)</f>
        <v>PSV Eindhoven-Napoli</v>
      </c>
      <c r="H48" s="320" t="str">
        <f>CONCATENATE(IF(League!G44&gt;League!H44,1,IF(League!G44&lt;League!H44,2,IF(AND(League!G44=League!H44,League!G44&lt;&gt;"",League!H44&lt;&gt;""),"X",0))),"|",League!G44,"-",League!H44)</f>
        <v>1|6-2</v>
      </c>
      <c r="I48" s="339"/>
      <c r="J48" s="452" t="s">
        <v>173</v>
      </c>
      <c r="K48" s="322">
        <f t="shared" si="103"/>
        <v>0</v>
      </c>
      <c r="L48" s="342"/>
      <c r="M48" s="326" t="s">
        <v>173</v>
      </c>
      <c r="N48" s="322">
        <f t="shared" si="105"/>
        <v>0</v>
      </c>
      <c r="O48" s="342"/>
      <c r="P48" s="326" t="s">
        <v>161</v>
      </c>
      <c r="Q48" s="322">
        <f t="shared" si="105"/>
        <v>0</v>
      </c>
      <c r="R48" s="342"/>
      <c r="S48" s="326" t="s">
        <v>162</v>
      </c>
      <c r="T48" s="322">
        <f t="shared" si="105"/>
        <v>0</v>
      </c>
      <c r="U48" s="342"/>
      <c r="V48" s="326" t="s">
        <v>158</v>
      </c>
      <c r="W48" s="322">
        <f t="shared" si="105"/>
        <v>0</v>
      </c>
      <c r="X48" s="342"/>
      <c r="Y48" s="326" t="s">
        <v>161</v>
      </c>
      <c r="Z48" s="322">
        <f t="shared" si="105"/>
        <v>0</v>
      </c>
      <c r="AA48" s="342"/>
      <c r="AB48" s="326" t="s">
        <v>158</v>
      </c>
      <c r="AC48" s="322">
        <f t="shared" si="105"/>
        <v>0</v>
      </c>
      <c r="AD48" s="342"/>
      <c r="AE48" s="326" t="s">
        <v>166</v>
      </c>
      <c r="AF48" s="322">
        <f t="shared" si="105"/>
        <v>2</v>
      </c>
      <c r="AG48" s="342"/>
      <c r="AH48" s="326" t="s">
        <v>157</v>
      </c>
      <c r="AI48" s="322">
        <f t="shared" si="105"/>
        <v>0</v>
      </c>
      <c r="AJ48" s="342"/>
      <c r="AK48" s="326" t="s">
        <v>162</v>
      </c>
      <c r="AL48" s="322">
        <f t="shared" si="105"/>
        <v>0</v>
      </c>
      <c r="AM48" s="342"/>
      <c r="AN48" s="326" t="s">
        <v>161</v>
      </c>
      <c r="AO48" s="322">
        <f t="shared" si="105"/>
        <v>0</v>
      </c>
      <c r="AP48" s="342"/>
      <c r="AQ48" s="326" t="s">
        <v>160</v>
      </c>
      <c r="AR48" s="322">
        <f t="shared" si="105"/>
        <v>0</v>
      </c>
      <c r="AS48" s="342"/>
      <c r="AT48" s="326" t="s">
        <v>166</v>
      </c>
      <c r="AU48" s="322">
        <f t="shared" si="105"/>
        <v>2</v>
      </c>
      <c r="AV48" s="342"/>
      <c r="AW48" s="326" t="s">
        <v>166</v>
      </c>
      <c r="AX48" s="322">
        <f t="shared" si="105"/>
        <v>2</v>
      </c>
      <c r="AY48" s="342"/>
      <c r="AZ48" s="534" t="s">
        <v>174</v>
      </c>
      <c r="BA48" s="322">
        <f t="shared" si="105"/>
        <v>0</v>
      </c>
      <c r="BB48" s="342"/>
      <c r="BC48" s="326" t="s">
        <v>157</v>
      </c>
      <c r="BD48" s="322">
        <f t="shared" si="105"/>
        <v>0</v>
      </c>
      <c r="BE48" s="342"/>
      <c r="BF48" s="326"/>
      <c r="BG48" s="322">
        <f t="shared" si="105"/>
        <v>0</v>
      </c>
      <c r="BH48" s="342"/>
      <c r="BI48" s="326"/>
      <c r="BJ48" s="322">
        <f t="shared" si="105"/>
        <v>0</v>
      </c>
      <c r="BK48" s="342"/>
      <c r="BL48" s="326"/>
      <c r="BM48" s="322">
        <f t="shared" si="105"/>
        <v>0</v>
      </c>
      <c r="BN48" s="342"/>
      <c r="BO48" s="326"/>
      <c r="BP48" s="322">
        <f t="shared" si="105"/>
        <v>0</v>
      </c>
      <c r="BQ48" s="342"/>
      <c r="BR48" s="326"/>
      <c r="BS48" s="322">
        <f t="shared" si="105"/>
        <v>0</v>
      </c>
      <c r="BT48" s="342"/>
      <c r="BU48" s="326"/>
      <c r="BV48" s="322">
        <f t="shared" si="105"/>
        <v>0</v>
      </c>
      <c r="BW48" s="342"/>
      <c r="BX48" s="326"/>
      <c r="BY48" s="322">
        <f t="shared" si="105"/>
        <v>0</v>
      </c>
      <c r="BZ48" s="342"/>
      <c r="CA48" s="326"/>
      <c r="CB48" s="322">
        <f t="shared" si="104"/>
        <v>0</v>
      </c>
      <c r="CC48" s="342"/>
      <c r="CD48" s="326"/>
      <c r="CE48" s="322">
        <f t="shared" si="104"/>
        <v>0</v>
      </c>
      <c r="CF48" s="342"/>
      <c r="CG48" s="342"/>
      <c r="CH48" s="342"/>
    </row>
    <row r="49" spans="1:86" ht="15" customHeight="1">
      <c r="A49" s="343"/>
      <c r="B49" s="351"/>
      <c r="C49" s="330" t="str">
        <f>+"MAX. "&amp;G218</f>
        <v>MAX. PLAYOFFS</v>
      </c>
      <c r="D49" s="360">
        <f>+SUM($D$14:$D$16)*COUNT(K219:K234)+$D$17*8</f>
        <v>0</v>
      </c>
      <c r="E49" s="343"/>
      <c r="F49" s="562"/>
      <c r="G49" s="319" t="str">
        <f>CONCATENATE(League!D45,"-",League!K45)</f>
        <v>Union Saint-Gilloise-Inter Milan</v>
      </c>
      <c r="H49" s="320" t="str">
        <f>CONCATENATE(IF(League!G45&gt;League!H45,1,IF(League!G45&lt;League!H45,2,IF(AND(League!G45=League!H45,League!G45&lt;&gt;"",League!H45&lt;&gt;""),"X",0))),"|",League!G45,"-",League!H45)</f>
        <v>2|0-4</v>
      </c>
      <c r="I49" s="219"/>
      <c r="J49" s="452" t="s">
        <v>179</v>
      </c>
      <c r="K49" s="322">
        <f t="shared" si="103"/>
        <v>5</v>
      </c>
      <c r="L49" s="251"/>
      <c r="M49" s="326" t="s">
        <v>174</v>
      </c>
      <c r="N49" s="322">
        <f t="shared" si="105"/>
        <v>2</v>
      </c>
      <c r="O49" s="251"/>
      <c r="P49" s="326" t="s">
        <v>179</v>
      </c>
      <c r="Q49" s="322">
        <f t="shared" si="105"/>
        <v>5</v>
      </c>
      <c r="R49" s="251"/>
      <c r="S49" s="326" t="s">
        <v>162</v>
      </c>
      <c r="T49" s="322">
        <f t="shared" si="105"/>
        <v>2</v>
      </c>
      <c r="U49" s="251"/>
      <c r="V49" s="326" t="s">
        <v>157</v>
      </c>
      <c r="W49" s="322">
        <f t="shared" si="105"/>
        <v>2</v>
      </c>
      <c r="X49" s="251"/>
      <c r="Y49" s="326" t="s">
        <v>157</v>
      </c>
      <c r="Z49" s="322">
        <f t="shared" si="105"/>
        <v>2</v>
      </c>
      <c r="AA49" s="251"/>
      <c r="AB49" s="326" t="s">
        <v>159</v>
      </c>
      <c r="AC49" s="322">
        <f t="shared" si="105"/>
        <v>2</v>
      </c>
      <c r="AD49" s="251"/>
      <c r="AE49" s="326" t="s">
        <v>161</v>
      </c>
      <c r="AF49" s="322">
        <f t="shared" si="105"/>
        <v>2</v>
      </c>
      <c r="AG49" s="251"/>
      <c r="AH49" s="326" t="s">
        <v>161</v>
      </c>
      <c r="AI49" s="322">
        <f t="shared" si="105"/>
        <v>2</v>
      </c>
      <c r="AJ49" s="251"/>
      <c r="AK49" s="326" t="s">
        <v>159</v>
      </c>
      <c r="AL49" s="322">
        <f t="shared" si="105"/>
        <v>2</v>
      </c>
      <c r="AM49" s="251"/>
      <c r="AN49" s="326" t="s">
        <v>162</v>
      </c>
      <c r="AO49" s="322">
        <f t="shared" si="105"/>
        <v>2</v>
      </c>
      <c r="AP49" s="251"/>
      <c r="AQ49" s="326" t="s">
        <v>162</v>
      </c>
      <c r="AR49" s="322">
        <f t="shared" si="105"/>
        <v>2</v>
      </c>
      <c r="AS49" s="251"/>
      <c r="AT49" s="326" t="s">
        <v>162</v>
      </c>
      <c r="AU49" s="322">
        <f t="shared" si="105"/>
        <v>2</v>
      </c>
      <c r="AV49" s="251"/>
      <c r="AW49" s="326" t="s">
        <v>161</v>
      </c>
      <c r="AX49" s="322">
        <f t="shared" si="105"/>
        <v>2</v>
      </c>
      <c r="AY49" s="251"/>
      <c r="AZ49" s="534" t="s">
        <v>157</v>
      </c>
      <c r="BA49" s="322">
        <f t="shared" si="105"/>
        <v>2</v>
      </c>
      <c r="BB49" s="251"/>
      <c r="BC49" s="326" t="s">
        <v>157</v>
      </c>
      <c r="BD49" s="322">
        <f t="shared" si="105"/>
        <v>2</v>
      </c>
      <c r="BE49" s="251"/>
      <c r="BF49" s="326"/>
      <c r="BG49" s="322">
        <f t="shared" si="105"/>
        <v>0</v>
      </c>
      <c r="BH49" s="251"/>
      <c r="BI49" s="326"/>
      <c r="BJ49" s="322">
        <f t="shared" si="105"/>
        <v>0</v>
      </c>
      <c r="BK49" s="251"/>
      <c r="BL49" s="326"/>
      <c r="BM49" s="322">
        <f t="shared" si="105"/>
        <v>0</v>
      </c>
      <c r="BN49" s="251"/>
      <c r="BO49" s="326"/>
      <c r="BP49" s="322">
        <f t="shared" si="105"/>
        <v>0</v>
      </c>
      <c r="BQ49" s="251"/>
      <c r="BR49" s="326"/>
      <c r="BS49" s="322">
        <f t="shared" si="105"/>
        <v>0</v>
      </c>
      <c r="BT49" s="251"/>
      <c r="BU49" s="326"/>
      <c r="BV49" s="322">
        <f t="shared" si="105"/>
        <v>0</v>
      </c>
      <c r="BW49" s="251"/>
      <c r="BX49" s="326"/>
      <c r="BY49" s="322">
        <f t="shared" si="105"/>
        <v>0</v>
      </c>
      <c r="BZ49" s="251"/>
      <c r="CA49" s="326"/>
      <c r="CB49" s="322">
        <f t="shared" si="104"/>
        <v>0</v>
      </c>
      <c r="CC49" s="251"/>
      <c r="CD49" s="326"/>
      <c r="CE49" s="322">
        <f t="shared" si="104"/>
        <v>0</v>
      </c>
      <c r="CF49" s="251"/>
      <c r="CG49" s="251"/>
      <c r="CH49" s="251"/>
    </row>
    <row r="50" spans="1:86" ht="15" customHeight="1">
      <c r="A50" s="343"/>
      <c r="B50" s="351"/>
      <c r="C50" s="327" t="str">
        <f>+"MAX. "&amp;G246</f>
        <v>MAX. OCTAVOS DE FINAL</v>
      </c>
      <c r="D50" s="361">
        <f>+SUM($D$18:$D$20)*COUNT(K247:K262)+$D$21*8</f>
        <v>0</v>
      </c>
      <c r="E50" s="343"/>
      <c r="F50" s="562"/>
      <c r="G50" s="328" t="str">
        <f>CONCATENATE(League!D46,"-",League!K46)</f>
        <v>Villarreal-Manchester City</v>
      </c>
      <c r="H50" s="320" t="str">
        <f>CONCATENATE(IF(League!G46&gt;League!H46,1,IF(League!G46&lt;League!H46,2,IF(AND(League!G46=League!H46,League!G46&lt;&gt;"",League!H46&lt;&gt;""),"X",0))),"|",League!G46,"-",League!H46)</f>
        <v>2|0-2</v>
      </c>
      <c r="I50" s="219"/>
      <c r="J50" s="452" t="s">
        <v>157</v>
      </c>
      <c r="K50" s="322">
        <f t="shared" si="103"/>
        <v>2</v>
      </c>
      <c r="L50" s="251"/>
      <c r="M50" s="326" t="s">
        <v>157</v>
      </c>
      <c r="N50" s="322">
        <f t="shared" si="105"/>
        <v>2</v>
      </c>
      <c r="O50" s="251"/>
      <c r="P50" s="326" t="s">
        <v>157</v>
      </c>
      <c r="Q50" s="322">
        <f t="shared" si="105"/>
        <v>2</v>
      </c>
      <c r="R50" s="251"/>
      <c r="S50" s="326" t="s">
        <v>157</v>
      </c>
      <c r="T50" s="322">
        <f t="shared" si="105"/>
        <v>2</v>
      </c>
      <c r="U50" s="251"/>
      <c r="V50" s="326" t="s">
        <v>160</v>
      </c>
      <c r="W50" s="322">
        <f t="shared" si="105"/>
        <v>0</v>
      </c>
      <c r="X50" s="251"/>
      <c r="Y50" s="326" t="s">
        <v>173</v>
      </c>
      <c r="Z50" s="322">
        <f t="shared" si="105"/>
        <v>2</v>
      </c>
      <c r="AA50" s="251"/>
      <c r="AB50" s="326" t="s">
        <v>157</v>
      </c>
      <c r="AC50" s="322">
        <f t="shared" si="105"/>
        <v>2</v>
      </c>
      <c r="AD50" s="251"/>
      <c r="AE50" s="326" t="s">
        <v>157</v>
      </c>
      <c r="AF50" s="322">
        <f t="shared" si="105"/>
        <v>2</v>
      </c>
      <c r="AG50" s="251"/>
      <c r="AH50" s="326" t="s">
        <v>162</v>
      </c>
      <c r="AI50" s="322">
        <f t="shared" si="105"/>
        <v>5</v>
      </c>
      <c r="AJ50" s="251"/>
      <c r="AK50" s="326" t="s">
        <v>159</v>
      </c>
      <c r="AL50" s="322">
        <f t="shared" si="105"/>
        <v>2</v>
      </c>
      <c r="AM50" s="251"/>
      <c r="AN50" s="326" t="s">
        <v>157</v>
      </c>
      <c r="AO50" s="322">
        <f t="shared" si="105"/>
        <v>2</v>
      </c>
      <c r="AP50" s="251"/>
      <c r="AQ50" s="326" t="s">
        <v>158</v>
      </c>
      <c r="AR50" s="322">
        <f t="shared" si="105"/>
        <v>0</v>
      </c>
      <c r="AS50" s="251"/>
      <c r="AT50" s="326" t="s">
        <v>161</v>
      </c>
      <c r="AU50" s="322">
        <f t="shared" si="105"/>
        <v>2</v>
      </c>
      <c r="AV50" s="251"/>
      <c r="AW50" s="326" t="s">
        <v>157</v>
      </c>
      <c r="AX50" s="322">
        <f t="shared" si="105"/>
        <v>2</v>
      </c>
      <c r="AY50" s="251"/>
      <c r="AZ50" s="534" t="s">
        <v>159</v>
      </c>
      <c r="BA50" s="322">
        <f t="shared" si="105"/>
        <v>2</v>
      </c>
      <c r="BB50" s="251"/>
      <c r="BC50" s="326" t="s">
        <v>175</v>
      </c>
      <c r="BD50" s="322">
        <f t="shared" si="105"/>
        <v>2</v>
      </c>
      <c r="BE50" s="251"/>
      <c r="BF50" s="326"/>
      <c r="BG50" s="322">
        <f t="shared" si="105"/>
        <v>0</v>
      </c>
      <c r="BH50" s="251"/>
      <c r="BI50" s="326"/>
      <c r="BJ50" s="322">
        <f t="shared" si="105"/>
        <v>0</v>
      </c>
      <c r="BK50" s="251"/>
      <c r="BL50" s="326"/>
      <c r="BM50" s="322">
        <f t="shared" si="105"/>
        <v>0</v>
      </c>
      <c r="BN50" s="251"/>
      <c r="BO50" s="326"/>
      <c r="BP50" s="322">
        <f t="shared" si="105"/>
        <v>0</v>
      </c>
      <c r="BQ50" s="251"/>
      <c r="BR50" s="326"/>
      <c r="BS50" s="322">
        <f t="shared" si="105"/>
        <v>0</v>
      </c>
      <c r="BT50" s="251"/>
      <c r="BU50" s="326"/>
      <c r="BV50" s="322">
        <f t="shared" si="105"/>
        <v>0</v>
      </c>
      <c r="BW50" s="251"/>
      <c r="BX50" s="326"/>
      <c r="BY50" s="322">
        <f t="shared" si="105"/>
        <v>0</v>
      </c>
      <c r="BZ50" s="251"/>
      <c r="CA50" s="326"/>
      <c r="CB50" s="322">
        <f t="shared" si="104"/>
        <v>0</v>
      </c>
      <c r="CC50" s="251"/>
      <c r="CD50" s="326"/>
      <c r="CE50" s="322">
        <f t="shared" si="104"/>
        <v>0</v>
      </c>
      <c r="CF50" s="251"/>
      <c r="CG50" s="251"/>
      <c r="CH50" s="251"/>
    </row>
    <row r="51" spans="1:86" ht="15" customHeight="1">
      <c r="A51" s="343"/>
      <c r="B51" s="351"/>
      <c r="C51" s="330" t="str">
        <f>+"MAX. "&amp;G274</f>
        <v>MAX. CUARTOS DE FINAL</v>
      </c>
      <c r="D51" s="360">
        <f>+SUM($D$22:$D$24)*COUNT(K275:K282)+$D$25*4</f>
        <v>0</v>
      </c>
      <c r="E51" s="343"/>
      <c r="F51" s="562"/>
      <c r="G51" s="319" t="str">
        <f>CONCATENATE(League!D47,"-",League!K47)</f>
        <v>Athletic Bilbao-Qarabağ</v>
      </c>
      <c r="H51" s="320" t="str">
        <f>CONCATENATE(IF(League!G47&gt;League!H47,1,IF(League!G47&lt;League!H47,2,IF(AND(League!G47=League!H47,League!G47&lt;&gt;"",League!H47&lt;&gt;""),"X",0))),"|",League!G47,"-",League!H47)</f>
        <v>1|3-1</v>
      </c>
      <c r="I51" s="219"/>
      <c r="J51" s="452" t="s">
        <v>165</v>
      </c>
      <c r="K51" s="322">
        <f t="shared" si="103"/>
        <v>2</v>
      </c>
      <c r="L51" s="251"/>
      <c r="M51" s="326" t="s">
        <v>167</v>
      </c>
      <c r="N51" s="322">
        <f t="shared" si="105"/>
        <v>2</v>
      </c>
      <c r="O51" s="251"/>
      <c r="P51" s="326" t="s">
        <v>165</v>
      </c>
      <c r="Q51" s="322">
        <f t="shared" si="105"/>
        <v>2</v>
      </c>
      <c r="R51" s="251"/>
      <c r="S51" s="326" t="s">
        <v>167</v>
      </c>
      <c r="T51" s="322">
        <f t="shared" si="105"/>
        <v>2</v>
      </c>
      <c r="U51" s="251"/>
      <c r="V51" s="326" t="s">
        <v>165</v>
      </c>
      <c r="W51" s="322">
        <f t="shared" si="105"/>
        <v>2</v>
      </c>
      <c r="X51" s="251"/>
      <c r="Y51" s="326" t="s">
        <v>167</v>
      </c>
      <c r="Z51" s="322">
        <f t="shared" si="105"/>
        <v>2</v>
      </c>
      <c r="AA51" s="251"/>
      <c r="AB51" s="326" t="s">
        <v>165</v>
      </c>
      <c r="AC51" s="322">
        <f t="shared" si="105"/>
        <v>2</v>
      </c>
      <c r="AD51" s="251"/>
      <c r="AE51" s="326" t="s">
        <v>167</v>
      </c>
      <c r="AF51" s="322">
        <f t="shared" si="105"/>
        <v>2</v>
      </c>
      <c r="AG51" s="251"/>
      <c r="AH51" s="326" t="s">
        <v>167</v>
      </c>
      <c r="AI51" s="322">
        <f t="shared" si="105"/>
        <v>2</v>
      </c>
      <c r="AJ51" s="251"/>
      <c r="AK51" s="326" t="s">
        <v>167</v>
      </c>
      <c r="AL51" s="322">
        <f t="shared" si="105"/>
        <v>2</v>
      </c>
      <c r="AM51" s="251"/>
      <c r="AN51" s="326" t="s">
        <v>165</v>
      </c>
      <c r="AO51" s="322">
        <f t="shared" si="105"/>
        <v>2</v>
      </c>
      <c r="AP51" s="251"/>
      <c r="AQ51" s="326" t="s">
        <v>167</v>
      </c>
      <c r="AR51" s="322">
        <f t="shared" si="105"/>
        <v>2</v>
      </c>
      <c r="AS51" s="251"/>
      <c r="AT51" s="326" t="s">
        <v>167</v>
      </c>
      <c r="AU51" s="322">
        <f t="shared" si="105"/>
        <v>2</v>
      </c>
      <c r="AV51" s="251"/>
      <c r="AW51" s="326" t="s">
        <v>167</v>
      </c>
      <c r="AX51" s="322">
        <f t="shared" si="105"/>
        <v>2</v>
      </c>
      <c r="AY51" s="251"/>
      <c r="AZ51" s="534" t="s">
        <v>167</v>
      </c>
      <c r="BA51" s="322">
        <f t="shared" si="105"/>
        <v>2</v>
      </c>
      <c r="BB51" s="251"/>
      <c r="BC51" s="326" t="s">
        <v>170</v>
      </c>
      <c r="BD51" s="322">
        <f t="shared" si="105"/>
        <v>5</v>
      </c>
      <c r="BE51" s="251"/>
      <c r="BF51" s="326"/>
      <c r="BG51" s="322">
        <f t="shared" si="105"/>
        <v>0</v>
      </c>
      <c r="BH51" s="251"/>
      <c r="BI51" s="326"/>
      <c r="BJ51" s="322">
        <f t="shared" si="105"/>
        <v>0</v>
      </c>
      <c r="BK51" s="251"/>
      <c r="BL51" s="326"/>
      <c r="BM51" s="322">
        <f t="shared" si="105"/>
        <v>0</v>
      </c>
      <c r="BN51" s="251"/>
      <c r="BO51" s="326"/>
      <c r="BP51" s="322">
        <f t="shared" si="105"/>
        <v>0</v>
      </c>
      <c r="BQ51" s="251"/>
      <c r="BR51" s="326"/>
      <c r="BS51" s="322">
        <f t="shared" si="105"/>
        <v>0</v>
      </c>
      <c r="BT51" s="251"/>
      <c r="BU51" s="326"/>
      <c r="BV51" s="322">
        <f t="shared" si="105"/>
        <v>0</v>
      </c>
      <c r="BW51" s="251"/>
      <c r="BX51" s="326"/>
      <c r="BY51" s="322">
        <f t="shared" si="105"/>
        <v>0</v>
      </c>
      <c r="BZ51" s="251"/>
      <c r="CA51" s="326"/>
      <c r="CB51" s="322">
        <f t="shared" si="104"/>
        <v>0</v>
      </c>
      <c r="CC51" s="251"/>
      <c r="CD51" s="326"/>
      <c r="CE51" s="322">
        <f t="shared" si="104"/>
        <v>0</v>
      </c>
      <c r="CF51" s="251"/>
      <c r="CG51" s="251"/>
      <c r="CH51" s="251"/>
    </row>
    <row r="52" spans="1:86" ht="15" customHeight="1">
      <c r="A52" s="343"/>
      <c r="B52" s="351"/>
      <c r="C52" s="327" t="str">
        <f>+"MAX. "&amp;G290</f>
        <v>MAX. SEMIFINALES</v>
      </c>
      <c r="D52" s="361">
        <f>+SUM($D$26:$D$28)*COUNT(K291:K294)+$D$29*2</f>
        <v>0</v>
      </c>
      <c r="E52" s="343"/>
      <c r="F52" s="562"/>
      <c r="G52" s="328" t="str">
        <f>CONCATENATE(League!D48,"-",League!K48)</f>
        <v>Galatasaray-Bodø/Glimt</v>
      </c>
      <c r="H52" s="320" t="str">
        <f>CONCATENATE(IF(League!G48&gt;League!H48,1,IF(League!G48&lt;League!H48,2,IF(AND(League!G48=League!H48,League!G48&lt;&gt;"",League!H48&lt;&gt;""),"X",0))),"|",League!G48,"-",League!H48)</f>
        <v>1|3-1</v>
      </c>
      <c r="I52" s="219"/>
      <c r="J52" s="452" t="s">
        <v>171</v>
      </c>
      <c r="K52" s="322">
        <f t="shared" si="103"/>
        <v>2</v>
      </c>
      <c r="L52" s="251"/>
      <c r="M52" s="326" t="s">
        <v>164</v>
      </c>
      <c r="N52" s="322">
        <f t="shared" si="105"/>
        <v>2</v>
      </c>
      <c r="O52" s="251"/>
      <c r="P52" s="326" t="s">
        <v>167</v>
      </c>
      <c r="Q52" s="322">
        <f t="shared" si="105"/>
        <v>2</v>
      </c>
      <c r="R52" s="251"/>
      <c r="S52" s="326" t="s">
        <v>164</v>
      </c>
      <c r="T52" s="322">
        <f t="shared" si="105"/>
        <v>2</v>
      </c>
      <c r="U52" s="251"/>
      <c r="V52" s="326" t="s">
        <v>166</v>
      </c>
      <c r="W52" s="322">
        <f t="shared" si="105"/>
        <v>2</v>
      </c>
      <c r="X52" s="251"/>
      <c r="Y52" s="326" t="s">
        <v>165</v>
      </c>
      <c r="Z52" s="322">
        <f t="shared" si="105"/>
        <v>2</v>
      </c>
      <c r="AA52" s="251"/>
      <c r="AB52" s="326" t="s">
        <v>165</v>
      </c>
      <c r="AC52" s="322">
        <f t="shared" si="105"/>
        <v>2</v>
      </c>
      <c r="AD52" s="251"/>
      <c r="AE52" s="326" t="s">
        <v>158</v>
      </c>
      <c r="AF52" s="322">
        <f t="shared" si="105"/>
        <v>0</v>
      </c>
      <c r="AG52" s="251"/>
      <c r="AH52" s="326" t="s">
        <v>158</v>
      </c>
      <c r="AI52" s="322">
        <f t="shared" si="105"/>
        <v>0</v>
      </c>
      <c r="AJ52" s="251"/>
      <c r="AK52" s="326" t="s">
        <v>167</v>
      </c>
      <c r="AL52" s="322">
        <f t="shared" si="105"/>
        <v>2</v>
      </c>
      <c r="AM52" s="251"/>
      <c r="AN52" s="326" t="s">
        <v>161</v>
      </c>
      <c r="AO52" s="322">
        <f t="shared" si="105"/>
        <v>0</v>
      </c>
      <c r="AP52" s="251"/>
      <c r="AQ52" s="326" t="s">
        <v>160</v>
      </c>
      <c r="AR52" s="322">
        <f t="shared" si="105"/>
        <v>0</v>
      </c>
      <c r="AS52" s="251"/>
      <c r="AT52" s="326" t="s">
        <v>158</v>
      </c>
      <c r="AU52" s="322">
        <f t="shared" si="105"/>
        <v>0</v>
      </c>
      <c r="AV52" s="251"/>
      <c r="AW52" s="326" t="s">
        <v>166</v>
      </c>
      <c r="AX52" s="322">
        <f t="shared" si="105"/>
        <v>2</v>
      </c>
      <c r="AY52" s="251"/>
      <c r="AZ52" s="534" t="s">
        <v>167</v>
      </c>
      <c r="BA52" s="322">
        <f t="shared" si="105"/>
        <v>2</v>
      </c>
      <c r="BB52" s="251"/>
      <c r="BC52" s="326" t="s">
        <v>167</v>
      </c>
      <c r="BD52" s="322">
        <f t="shared" si="105"/>
        <v>2</v>
      </c>
      <c r="BE52" s="251"/>
      <c r="BF52" s="326"/>
      <c r="BG52" s="322">
        <f t="shared" si="105"/>
        <v>0</v>
      </c>
      <c r="BH52" s="251"/>
      <c r="BI52" s="326"/>
      <c r="BJ52" s="322">
        <f t="shared" si="105"/>
        <v>0</v>
      </c>
      <c r="BK52" s="251"/>
      <c r="BL52" s="326"/>
      <c r="BM52" s="322">
        <f t="shared" si="105"/>
        <v>0</v>
      </c>
      <c r="BN52" s="251"/>
      <c r="BO52" s="326"/>
      <c r="BP52" s="322">
        <f t="shared" si="105"/>
        <v>0</v>
      </c>
      <c r="BQ52" s="251"/>
      <c r="BR52" s="326"/>
      <c r="BS52" s="322">
        <f t="shared" si="105"/>
        <v>0</v>
      </c>
      <c r="BT52" s="251"/>
      <c r="BU52" s="326"/>
      <c r="BV52" s="322">
        <f t="shared" si="105"/>
        <v>0</v>
      </c>
      <c r="BW52" s="251"/>
      <c r="BX52" s="326"/>
      <c r="BY52" s="322">
        <f t="shared" si="105"/>
        <v>0</v>
      </c>
      <c r="BZ52" s="251"/>
      <c r="CA52" s="326"/>
      <c r="CB52" s="322">
        <f t="shared" si="104"/>
        <v>0</v>
      </c>
      <c r="CC52" s="251"/>
      <c r="CD52" s="326"/>
      <c r="CE52" s="322">
        <f t="shared" si="104"/>
        <v>0</v>
      </c>
      <c r="CF52" s="251"/>
      <c r="CG52" s="251"/>
      <c r="CH52" s="251"/>
    </row>
    <row r="53" spans="1:86" ht="15" customHeight="1">
      <c r="A53" s="343"/>
      <c r="B53" s="351"/>
      <c r="C53" s="330" t="str">
        <f>+"MAX. "&amp;G300</f>
        <v>MAX. FINAL</v>
      </c>
      <c r="D53" s="360">
        <f>+SUM($D$30:$D$32)+$D$33</f>
        <v>0</v>
      </c>
      <c r="E53" s="343"/>
      <c r="F53" s="562"/>
      <c r="G53" s="319" t="str">
        <f>CONCATENATE(League!D49,"-",League!K49)</f>
        <v>Monaco-Tottenham</v>
      </c>
      <c r="H53" s="320" t="str">
        <f>CONCATENATE(IF(League!G49&gt;League!H49,1,IF(League!G49&lt;League!H49,2,IF(AND(League!G49=League!H49,League!G49&lt;&gt;"",League!H49&lt;&gt;""),"X",0))),"|",League!G49,"-",League!H49)</f>
        <v>X|0-0</v>
      </c>
      <c r="I53" s="219"/>
      <c r="J53" s="452" t="s">
        <v>160</v>
      </c>
      <c r="K53" s="322">
        <f t="shared" si="103"/>
        <v>2</v>
      </c>
      <c r="L53" s="251"/>
      <c r="M53" s="326" t="s">
        <v>160</v>
      </c>
      <c r="N53" s="322">
        <f t="shared" si="105"/>
        <v>2</v>
      </c>
      <c r="O53" s="251"/>
      <c r="P53" s="326" t="s">
        <v>158</v>
      </c>
      <c r="Q53" s="322">
        <f t="shared" si="105"/>
        <v>2</v>
      </c>
      <c r="R53" s="251"/>
      <c r="S53" s="326" t="s">
        <v>160</v>
      </c>
      <c r="T53" s="322">
        <f t="shared" si="105"/>
        <v>2</v>
      </c>
      <c r="U53" s="251"/>
      <c r="V53" s="326" t="s">
        <v>158</v>
      </c>
      <c r="W53" s="322">
        <f t="shared" si="105"/>
        <v>2</v>
      </c>
      <c r="X53" s="251"/>
      <c r="Y53" s="326" t="s">
        <v>158</v>
      </c>
      <c r="Z53" s="322">
        <f t="shared" si="105"/>
        <v>2</v>
      </c>
      <c r="AA53" s="251"/>
      <c r="AB53" s="326" t="s">
        <v>158</v>
      </c>
      <c r="AC53" s="322">
        <f t="shared" si="105"/>
        <v>2</v>
      </c>
      <c r="AD53" s="251"/>
      <c r="AE53" s="326" t="s">
        <v>160</v>
      </c>
      <c r="AF53" s="322">
        <f t="shared" si="105"/>
        <v>2</v>
      </c>
      <c r="AG53" s="251"/>
      <c r="AH53" s="326" t="s">
        <v>158</v>
      </c>
      <c r="AI53" s="322">
        <f t="shared" si="105"/>
        <v>2</v>
      </c>
      <c r="AJ53" s="251"/>
      <c r="AK53" s="326" t="s">
        <v>162</v>
      </c>
      <c r="AL53" s="322">
        <f t="shared" si="105"/>
        <v>0</v>
      </c>
      <c r="AM53" s="251"/>
      <c r="AN53" s="326" t="s">
        <v>161</v>
      </c>
      <c r="AO53" s="322">
        <f t="shared" si="105"/>
        <v>0</v>
      </c>
      <c r="AP53" s="251"/>
      <c r="AQ53" s="326" t="s">
        <v>161</v>
      </c>
      <c r="AR53" s="322">
        <f t="shared" si="105"/>
        <v>0</v>
      </c>
      <c r="AS53" s="251"/>
      <c r="AT53" s="326" t="s">
        <v>160</v>
      </c>
      <c r="AU53" s="322">
        <f t="shared" si="105"/>
        <v>2</v>
      </c>
      <c r="AV53" s="251"/>
      <c r="AW53" s="326" t="s">
        <v>161</v>
      </c>
      <c r="AX53" s="322">
        <f t="shared" si="105"/>
        <v>0</v>
      </c>
      <c r="AY53" s="251"/>
      <c r="AZ53" s="534" t="s">
        <v>158</v>
      </c>
      <c r="BA53" s="322">
        <f t="shared" ref="BA53:CE64" si="106">IFERROR(SUM(IF($H53=AZ53,$D$10),IF(LEFT($H53,1)=LEFT(AZ53,1),$D$8),IF(MID($H53,FIND("|",$H53)+1,FIND("-",$H53)-FIND("|",$H53)-1)-MID($H53,FIND("-",$H53)+1,11)=MID(AZ53,FIND("|",AZ53)+1,FIND("-",AZ53)-FIND("|",AZ53)-1)-MID(AZ53,FIND("-",AZ53)+1,11),$D$9)),)</f>
        <v>2</v>
      </c>
      <c r="BB53" s="251"/>
      <c r="BC53" s="326" t="s">
        <v>160</v>
      </c>
      <c r="BD53" s="322">
        <f t="shared" si="106"/>
        <v>2</v>
      </c>
      <c r="BE53" s="251"/>
      <c r="BF53" s="326"/>
      <c r="BG53" s="322">
        <f t="shared" si="106"/>
        <v>0</v>
      </c>
      <c r="BH53" s="251"/>
      <c r="BI53" s="326"/>
      <c r="BJ53" s="322">
        <f t="shared" si="106"/>
        <v>0</v>
      </c>
      <c r="BK53" s="251"/>
      <c r="BL53" s="326"/>
      <c r="BM53" s="322">
        <f t="shared" si="106"/>
        <v>0</v>
      </c>
      <c r="BN53" s="251"/>
      <c r="BO53" s="326"/>
      <c r="BP53" s="322">
        <f t="shared" si="106"/>
        <v>0</v>
      </c>
      <c r="BQ53" s="251"/>
      <c r="BR53" s="326"/>
      <c r="BS53" s="322">
        <f t="shared" si="106"/>
        <v>0</v>
      </c>
      <c r="BT53" s="251"/>
      <c r="BU53" s="326"/>
      <c r="BV53" s="322">
        <f t="shared" si="106"/>
        <v>0</v>
      </c>
      <c r="BW53" s="251"/>
      <c r="BX53" s="326"/>
      <c r="BY53" s="322">
        <f t="shared" si="106"/>
        <v>0</v>
      </c>
      <c r="BZ53" s="251"/>
      <c r="CA53" s="326"/>
      <c r="CB53" s="322">
        <f t="shared" si="106"/>
        <v>0</v>
      </c>
      <c r="CC53" s="251"/>
      <c r="CD53" s="326"/>
      <c r="CE53" s="322">
        <f t="shared" si="106"/>
        <v>0</v>
      </c>
      <c r="CF53" s="251"/>
      <c r="CG53" s="251"/>
      <c r="CH53" s="251"/>
    </row>
    <row r="54" spans="1:86" ht="15" customHeight="1">
      <c r="A54" s="338"/>
      <c r="B54" s="357"/>
      <c r="C54" s="362" t="str">
        <f>+"MAX. "&amp;G307</f>
        <v>MAX. PREDICTOR</v>
      </c>
      <c r="D54" s="363" cm="1">
        <f t="array" ref="D54">+SUM($D$34:$D$40,$D$35:$D$40,($D$36:$D$40)*2,($D$37:$D$40)*4,($D$38:$D$40)*8,($D$39:$D$40)*8,($D$40:$D$40)*12)</f>
        <v>0</v>
      </c>
      <c r="E54" s="338"/>
      <c r="F54" s="562"/>
      <c r="G54" s="328" t="str">
        <f>CONCATENATE(League!D50,"-",League!K50)</f>
        <v>Atalanta-Slavia Praha</v>
      </c>
      <c r="H54" s="320" t="str">
        <f>CONCATENATE(IF(League!G50&gt;League!H50,1,IF(League!G50&lt;League!H50,2,IF(AND(League!G50=League!H50,League!G50&lt;&gt;"",League!H50&lt;&gt;""),"X",0))),"|",League!G50,"-",League!H50)</f>
        <v>X|0-0</v>
      </c>
      <c r="I54" s="339"/>
      <c r="J54" s="452" t="s">
        <v>158</v>
      </c>
      <c r="K54" s="322">
        <f t="shared" si="103"/>
        <v>2</v>
      </c>
      <c r="L54" s="342"/>
      <c r="M54" s="326" t="s">
        <v>158</v>
      </c>
      <c r="N54" s="322">
        <f t="shared" ref="N54:BY65" si="107">IFERROR(SUM(IF($H54=M54,$D$10),IF(LEFT($H54,1)=LEFT(M54,1),$D$8),IF(MID($H54,FIND("|",$H54)+1,FIND("-",$H54)-FIND("|",$H54)-1)-MID($H54,FIND("-",$H54)+1,11)=MID(M54,FIND("|",M54)+1,FIND("-",M54)-FIND("|",M54)-1)-MID(M54,FIND("-",M54)+1,11),$D$9)),)</f>
        <v>2</v>
      </c>
      <c r="O54" s="342"/>
      <c r="P54" s="326" t="s">
        <v>167</v>
      </c>
      <c r="Q54" s="322">
        <f t="shared" si="107"/>
        <v>0</v>
      </c>
      <c r="R54" s="342"/>
      <c r="S54" s="326" t="s">
        <v>166</v>
      </c>
      <c r="T54" s="322">
        <f t="shared" si="107"/>
        <v>0</v>
      </c>
      <c r="U54" s="342"/>
      <c r="V54" s="326" t="s">
        <v>173</v>
      </c>
      <c r="W54" s="322">
        <f t="shared" si="107"/>
        <v>0</v>
      </c>
      <c r="X54" s="342"/>
      <c r="Y54" s="326" t="s">
        <v>167</v>
      </c>
      <c r="Z54" s="322">
        <f t="shared" si="107"/>
        <v>0</v>
      </c>
      <c r="AA54" s="342"/>
      <c r="AB54" s="326" t="s">
        <v>167</v>
      </c>
      <c r="AC54" s="322">
        <f t="shared" si="107"/>
        <v>0</v>
      </c>
      <c r="AD54" s="342"/>
      <c r="AE54" s="326" t="s">
        <v>157</v>
      </c>
      <c r="AF54" s="322">
        <f t="shared" si="107"/>
        <v>0</v>
      </c>
      <c r="AG54" s="342"/>
      <c r="AH54" s="326" t="s">
        <v>166</v>
      </c>
      <c r="AI54" s="322">
        <f t="shared" si="107"/>
        <v>0</v>
      </c>
      <c r="AJ54" s="342"/>
      <c r="AK54" s="326" t="s">
        <v>165</v>
      </c>
      <c r="AL54" s="322">
        <f t="shared" si="107"/>
        <v>0</v>
      </c>
      <c r="AM54" s="342"/>
      <c r="AN54" s="326" t="s">
        <v>166</v>
      </c>
      <c r="AO54" s="322">
        <f t="shared" si="107"/>
        <v>0</v>
      </c>
      <c r="AP54" s="342"/>
      <c r="AQ54" s="326" t="s">
        <v>167</v>
      </c>
      <c r="AR54" s="322">
        <f t="shared" si="107"/>
        <v>0</v>
      </c>
      <c r="AS54" s="342"/>
      <c r="AT54" s="326" t="s">
        <v>164</v>
      </c>
      <c r="AU54" s="322">
        <f t="shared" si="107"/>
        <v>0</v>
      </c>
      <c r="AV54" s="342"/>
      <c r="AW54" s="326" t="s">
        <v>167</v>
      </c>
      <c r="AX54" s="322">
        <f t="shared" si="107"/>
        <v>0</v>
      </c>
      <c r="AY54" s="342"/>
      <c r="AZ54" s="534" t="s">
        <v>164</v>
      </c>
      <c r="BA54" s="322">
        <f t="shared" si="107"/>
        <v>0</v>
      </c>
      <c r="BB54" s="342"/>
      <c r="BC54" s="326" t="s">
        <v>165</v>
      </c>
      <c r="BD54" s="322">
        <f t="shared" si="107"/>
        <v>0</v>
      </c>
      <c r="BE54" s="342"/>
      <c r="BF54" s="326"/>
      <c r="BG54" s="322">
        <f t="shared" si="107"/>
        <v>0</v>
      </c>
      <c r="BH54" s="342"/>
      <c r="BI54" s="326"/>
      <c r="BJ54" s="322">
        <f t="shared" si="107"/>
        <v>0</v>
      </c>
      <c r="BK54" s="342"/>
      <c r="BL54" s="326"/>
      <c r="BM54" s="322">
        <f t="shared" si="107"/>
        <v>0</v>
      </c>
      <c r="BN54" s="342"/>
      <c r="BO54" s="326"/>
      <c r="BP54" s="322">
        <f t="shared" si="107"/>
        <v>0</v>
      </c>
      <c r="BQ54" s="342"/>
      <c r="BR54" s="326"/>
      <c r="BS54" s="322">
        <f t="shared" si="107"/>
        <v>0</v>
      </c>
      <c r="BT54" s="342"/>
      <c r="BU54" s="326"/>
      <c r="BV54" s="322">
        <f t="shared" si="107"/>
        <v>0</v>
      </c>
      <c r="BW54" s="342"/>
      <c r="BX54" s="326"/>
      <c r="BY54" s="322">
        <f t="shared" si="107"/>
        <v>0</v>
      </c>
      <c r="BZ54" s="342"/>
      <c r="CA54" s="326"/>
      <c r="CB54" s="322">
        <f t="shared" si="106"/>
        <v>0</v>
      </c>
      <c r="CC54" s="342"/>
      <c r="CD54" s="326"/>
      <c r="CE54" s="322">
        <f t="shared" si="106"/>
        <v>0</v>
      </c>
      <c r="CF54" s="342"/>
      <c r="CG54" s="342"/>
      <c r="CH54" s="342"/>
    </row>
    <row r="55" spans="1:86" ht="15" customHeight="1">
      <c r="A55" s="343"/>
      <c r="B55" s="351"/>
      <c r="C55" s="351"/>
      <c r="D55" s="351"/>
      <c r="E55" s="343"/>
      <c r="F55" s="562"/>
      <c r="G55" s="319" t="str">
        <f>CONCATENATE(League!D51,"-",League!K51)</f>
        <v>Chelsea-Ajax</v>
      </c>
      <c r="H55" s="320" t="str">
        <f>CONCATENATE(IF(League!G51&gt;League!H51,1,IF(League!G51&lt;League!H51,2,IF(AND(League!G51=League!H51,League!G51&lt;&gt;"",League!H51&lt;&gt;""),"X",0))),"|",League!G51,"-",League!H51)</f>
        <v>1|5-1</v>
      </c>
      <c r="I55" s="219"/>
      <c r="J55" s="452" t="s">
        <v>187</v>
      </c>
      <c r="K55" s="322">
        <f t="shared" si="103"/>
        <v>2</v>
      </c>
      <c r="L55" s="251"/>
      <c r="M55" s="326" t="s">
        <v>166</v>
      </c>
      <c r="N55" s="322">
        <f t="shared" si="107"/>
        <v>2</v>
      </c>
      <c r="O55" s="251"/>
      <c r="P55" s="326" t="s">
        <v>165</v>
      </c>
      <c r="Q55" s="322">
        <f t="shared" si="107"/>
        <v>2</v>
      </c>
      <c r="R55" s="251"/>
      <c r="S55" s="326" t="s">
        <v>171</v>
      </c>
      <c r="T55" s="322">
        <f t="shared" si="107"/>
        <v>2</v>
      </c>
      <c r="U55" s="251"/>
      <c r="V55" s="326" t="s">
        <v>170</v>
      </c>
      <c r="W55" s="322">
        <f t="shared" si="107"/>
        <v>2</v>
      </c>
      <c r="X55" s="251"/>
      <c r="Y55" s="326" t="s">
        <v>170</v>
      </c>
      <c r="Z55" s="322">
        <f t="shared" si="107"/>
        <v>2</v>
      </c>
      <c r="AA55" s="251"/>
      <c r="AB55" s="326" t="s">
        <v>170</v>
      </c>
      <c r="AC55" s="322">
        <f t="shared" si="107"/>
        <v>2</v>
      </c>
      <c r="AD55" s="251"/>
      <c r="AE55" s="326" t="s">
        <v>169</v>
      </c>
      <c r="AF55" s="322">
        <f t="shared" si="107"/>
        <v>2</v>
      </c>
      <c r="AG55" s="251"/>
      <c r="AH55" s="326" t="s">
        <v>170</v>
      </c>
      <c r="AI55" s="322">
        <f t="shared" si="107"/>
        <v>2</v>
      </c>
      <c r="AJ55" s="251"/>
      <c r="AK55" s="326" t="s">
        <v>167</v>
      </c>
      <c r="AL55" s="322">
        <f t="shared" si="107"/>
        <v>2</v>
      </c>
      <c r="AM55" s="251"/>
      <c r="AN55" s="326" t="s">
        <v>166</v>
      </c>
      <c r="AO55" s="322">
        <f t="shared" si="107"/>
        <v>2</v>
      </c>
      <c r="AP55" s="251"/>
      <c r="AQ55" s="326" t="s">
        <v>166</v>
      </c>
      <c r="AR55" s="322">
        <f t="shared" si="107"/>
        <v>2</v>
      </c>
      <c r="AS55" s="251"/>
      <c r="AT55" s="326" t="s">
        <v>166</v>
      </c>
      <c r="AU55" s="322">
        <f t="shared" si="107"/>
        <v>2</v>
      </c>
      <c r="AV55" s="251"/>
      <c r="AW55" s="326" t="s">
        <v>166</v>
      </c>
      <c r="AX55" s="322">
        <f t="shared" si="107"/>
        <v>2</v>
      </c>
      <c r="AY55" s="251"/>
      <c r="AZ55" s="534" t="s">
        <v>166</v>
      </c>
      <c r="BA55" s="322">
        <f t="shared" si="107"/>
        <v>2</v>
      </c>
      <c r="BB55" s="251"/>
      <c r="BC55" s="326" t="s">
        <v>167</v>
      </c>
      <c r="BD55" s="322">
        <f t="shared" si="107"/>
        <v>2</v>
      </c>
      <c r="BE55" s="251"/>
      <c r="BF55" s="326"/>
      <c r="BG55" s="322">
        <f t="shared" si="107"/>
        <v>0</v>
      </c>
      <c r="BH55" s="251"/>
      <c r="BI55" s="326"/>
      <c r="BJ55" s="322">
        <f t="shared" si="107"/>
        <v>0</v>
      </c>
      <c r="BK55" s="251"/>
      <c r="BL55" s="326"/>
      <c r="BM55" s="322">
        <f t="shared" si="107"/>
        <v>0</v>
      </c>
      <c r="BN55" s="251"/>
      <c r="BO55" s="326"/>
      <c r="BP55" s="322">
        <f t="shared" si="107"/>
        <v>0</v>
      </c>
      <c r="BQ55" s="251"/>
      <c r="BR55" s="326"/>
      <c r="BS55" s="322">
        <f t="shared" si="107"/>
        <v>0</v>
      </c>
      <c r="BT55" s="251"/>
      <c r="BU55" s="326"/>
      <c r="BV55" s="322">
        <f t="shared" si="107"/>
        <v>0</v>
      </c>
      <c r="BW55" s="251"/>
      <c r="BX55" s="326"/>
      <c r="BY55" s="322">
        <f t="shared" si="107"/>
        <v>0</v>
      </c>
      <c r="BZ55" s="251"/>
      <c r="CA55" s="326"/>
      <c r="CB55" s="322">
        <f t="shared" si="106"/>
        <v>0</v>
      </c>
      <c r="CC55" s="251"/>
      <c r="CD55" s="326"/>
      <c r="CE55" s="322">
        <f t="shared" si="106"/>
        <v>0</v>
      </c>
      <c r="CF55" s="251"/>
      <c r="CG55" s="251"/>
      <c r="CH55" s="251"/>
    </row>
    <row r="56" spans="1:86" ht="15" customHeight="1">
      <c r="A56" s="343"/>
      <c r="B56" s="351"/>
      <c r="C56" s="358" t="str">
        <f>+"MAX. "&amp;G5</f>
        <v>MAX. FASE DE LIGA</v>
      </c>
      <c r="D56" s="359">
        <f>+D48</f>
        <v>996</v>
      </c>
      <c r="E56" s="343"/>
      <c r="F56" s="562"/>
      <c r="G56" s="328" t="str">
        <f>CONCATENATE(League!D52,"-",League!K52)</f>
        <v>Eintracht Frankfurt-Liverpool</v>
      </c>
      <c r="H56" s="320" t="str">
        <f>CONCATENATE(IF(League!G52&gt;League!H52,1,IF(League!G52&lt;League!H52,2,IF(AND(League!G52=League!H52,League!G52&lt;&gt;"",League!H52&lt;&gt;""),"X",0))),"|",League!G52,"-",League!H52)</f>
        <v>2|1-5</v>
      </c>
      <c r="I56" s="219"/>
      <c r="J56" s="452" t="s">
        <v>157</v>
      </c>
      <c r="K56" s="322">
        <f t="shared" si="103"/>
        <v>2</v>
      </c>
      <c r="L56" s="251"/>
      <c r="M56" s="326" t="s">
        <v>173</v>
      </c>
      <c r="N56" s="322">
        <f t="shared" si="107"/>
        <v>2</v>
      </c>
      <c r="O56" s="251"/>
      <c r="P56" s="326" t="s">
        <v>157</v>
      </c>
      <c r="Q56" s="322">
        <f t="shared" si="107"/>
        <v>2</v>
      </c>
      <c r="R56" s="251"/>
      <c r="S56" s="326" t="s">
        <v>157</v>
      </c>
      <c r="T56" s="322">
        <f t="shared" si="107"/>
        <v>2</v>
      </c>
      <c r="U56" s="251"/>
      <c r="V56" s="326" t="s">
        <v>173</v>
      </c>
      <c r="W56" s="322">
        <f t="shared" si="107"/>
        <v>2</v>
      </c>
      <c r="X56" s="251"/>
      <c r="Y56" s="326" t="s">
        <v>161</v>
      </c>
      <c r="Z56" s="322">
        <f t="shared" si="107"/>
        <v>2</v>
      </c>
      <c r="AA56" s="251"/>
      <c r="AB56" s="326" t="s">
        <v>157</v>
      </c>
      <c r="AC56" s="322">
        <f t="shared" si="107"/>
        <v>2</v>
      </c>
      <c r="AD56" s="251"/>
      <c r="AE56" s="326" t="s">
        <v>161</v>
      </c>
      <c r="AF56" s="322">
        <f t="shared" si="107"/>
        <v>2</v>
      </c>
      <c r="AG56" s="251"/>
      <c r="AH56" s="326" t="s">
        <v>175</v>
      </c>
      <c r="AI56" s="322">
        <f t="shared" si="107"/>
        <v>2</v>
      </c>
      <c r="AJ56" s="251"/>
      <c r="AK56" s="326" t="s">
        <v>159</v>
      </c>
      <c r="AL56" s="322">
        <f t="shared" si="107"/>
        <v>2</v>
      </c>
      <c r="AM56" s="251"/>
      <c r="AN56" s="326" t="s">
        <v>161</v>
      </c>
      <c r="AO56" s="322">
        <f t="shared" si="107"/>
        <v>2</v>
      </c>
      <c r="AP56" s="251"/>
      <c r="AQ56" s="326" t="s">
        <v>161</v>
      </c>
      <c r="AR56" s="322">
        <f t="shared" si="107"/>
        <v>2</v>
      </c>
      <c r="AS56" s="251"/>
      <c r="AT56" s="326" t="s">
        <v>161</v>
      </c>
      <c r="AU56" s="322">
        <f t="shared" si="107"/>
        <v>2</v>
      </c>
      <c r="AV56" s="251"/>
      <c r="AW56" s="326" t="s">
        <v>161</v>
      </c>
      <c r="AX56" s="322">
        <f t="shared" si="107"/>
        <v>2</v>
      </c>
      <c r="AY56" s="251"/>
      <c r="AZ56" s="534" t="s">
        <v>161</v>
      </c>
      <c r="BA56" s="322">
        <f t="shared" si="107"/>
        <v>2</v>
      </c>
      <c r="BB56" s="251"/>
      <c r="BC56" s="326" t="s">
        <v>177</v>
      </c>
      <c r="BD56" s="322">
        <f t="shared" si="107"/>
        <v>2</v>
      </c>
      <c r="BE56" s="251"/>
      <c r="BF56" s="326"/>
      <c r="BG56" s="322">
        <f t="shared" si="107"/>
        <v>0</v>
      </c>
      <c r="BH56" s="251"/>
      <c r="BI56" s="326"/>
      <c r="BJ56" s="322">
        <f t="shared" si="107"/>
        <v>0</v>
      </c>
      <c r="BK56" s="251"/>
      <c r="BL56" s="326"/>
      <c r="BM56" s="322">
        <f t="shared" si="107"/>
        <v>0</v>
      </c>
      <c r="BN56" s="251"/>
      <c r="BO56" s="326"/>
      <c r="BP56" s="322">
        <f t="shared" si="107"/>
        <v>0</v>
      </c>
      <c r="BQ56" s="251"/>
      <c r="BR56" s="326"/>
      <c r="BS56" s="322">
        <f t="shared" si="107"/>
        <v>0</v>
      </c>
      <c r="BT56" s="251"/>
      <c r="BU56" s="326"/>
      <c r="BV56" s="322">
        <f t="shared" si="107"/>
        <v>0</v>
      </c>
      <c r="BW56" s="251"/>
      <c r="BX56" s="326"/>
      <c r="BY56" s="322">
        <f t="shared" si="107"/>
        <v>0</v>
      </c>
      <c r="BZ56" s="251"/>
      <c r="CA56" s="326"/>
      <c r="CB56" s="322">
        <f t="shared" si="106"/>
        <v>0</v>
      </c>
      <c r="CC56" s="251"/>
      <c r="CD56" s="326"/>
      <c r="CE56" s="322">
        <f t="shared" si="106"/>
        <v>0</v>
      </c>
      <c r="CF56" s="251"/>
      <c r="CG56" s="251"/>
      <c r="CH56" s="251"/>
    </row>
    <row r="57" spans="1:86" ht="15" customHeight="1">
      <c r="A57" s="343"/>
      <c r="B57" s="351"/>
      <c r="C57" s="330" t="s">
        <v>188</v>
      </c>
      <c r="D57" s="360">
        <f>+SUM($D$49:$D$53)</f>
        <v>0</v>
      </c>
      <c r="E57" s="343"/>
      <c r="F57" s="562"/>
      <c r="G57" s="319" t="str">
        <f>CONCATENATE(League!D53,"-",League!K53)</f>
        <v>Bayern München-Brugge</v>
      </c>
      <c r="H57" s="320" t="str">
        <f>CONCATENATE(IF(League!G53&gt;League!H53,1,IF(League!G53&lt;League!H53,2,IF(AND(League!G53=League!H53,League!G53&lt;&gt;"",League!H53&lt;&gt;""),"X",0))),"|",League!G53,"-",League!H53)</f>
        <v>1|4-0</v>
      </c>
      <c r="I57" s="219"/>
      <c r="J57" s="452" t="s">
        <v>163</v>
      </c>
      <c r="K57" s="322">
        <f t="shared" si="103"/>
        <v>5</v>
      </c>
      <c r="L57" s="251"/>
      <c r="M57" s="326" t="s">
        <v>165</v>
      </c>
      <c r="N57" s="322">
        <f t="shared" si="107"/>
        <v>2</v>
      </c>
      <c r="O57" s="251"/>
      <c r="P57" s="326" t="s">
        <v>171</v>
      </c>
      <c r="Q57" s="322">
        <f t="shared" si="107"/>
        <v>2</v>
      </c>
      <c r="R57" s="251"/>
      <c r="S57" s="326" t="s">
        <v>163</v>
      </c>
      <c r="T57" s="322">
        <f t="shared" si="107"/>
        <v>5</v>
      </c>
      <c r="U57" s="251"/>
      <c r="V57" s="326" t="s">
        <v>171</v>
      </c>
      <c r="W57" s="322">
        <f t="shared" si="107"/>
        <v>2</v>
      </c>
      <c r="X57" s="251"/>
      <c r="Y57" s="326" t="s">
        <v>171</v>
      </c>
      <c r="Z57" s="322">
        <f t="shared" si="107"/>
        <v>2</v>
      </c>
      <c r="AA57" s="251"/>
      <c r="AB57" s="326" t="s">
        <v>170</v>
      </c>
      <c r="AC57" s="322">
        <f t="shared" si="107"/>
        <v>2</v>
      </c>
      <c r="AD57" s="251"/>
      <c r="AE57" s="326" t="s">
        <v>165</v>
      </c>
      <c r="AF57" s="322">
        <f t="shared" si="107"/>
        <v>2</v>
      </c>
      <c r="AG57" s="251"/>
      <c r="AH57" s="326" t="s">
        <v>163</v>
      </c>
      <c r="AI57" s="322">
        <f t="shared" si="107"/>
        <v>5</v>
      </c>
      <c r="AJ57" s="251"/>
      <c r="AK57" s="326" t="s">
        <v>163</v>
      </c>
      <c r="AL57" s="322">
        <f t="shared" si="107"/>
        <v>5</v>
      </c>
      <c r="AM57" s="251"/>
      <c r="AN57" s="326" t="s">
        <v>166</v>
      </c>
      <c r="AO57" s="322">
        <f t="shared" si="107"/>
        <v>2</v>
      </c>
      <c r="AP57" s="251"/>
      <c r="AQ57" s="326" t="s">
        <v>165</v>
      </c>
      <c r="AR57" s="322">
        <f t="shared" si="107"/>
        <v>2</v>
      </c>
      <c r="AS57" s="251"/>
      <c r="AT57" s="326" t="s">
        <v>165</v>
      </c>
      <c r="AU57" s="322">
        <f t="shared" si="107"/>
        <v>2</v>
      </c>
      <c r="AV57" s="251"/>
      <c r="AW57" s="326" t="s">
        <v>170</v>
      </c>
      <c r="AX57" s="322">
        <f t="shared" si="107"/>
        <v>2</v>
      </c>
      <c r="AY57" s="251"/>
      <c r="AZ57" s="534" t="s">
        <v>167</v>
      </c>
      <c r="BA57" s="322">
        <f t="shared" si="107"/>
        <v>2</v>
      </c>
      <c r="BB57" s="251"/>
      <c r="BC57" s="326" t="s">
        <v>163</v>
      </c>
      <c r="BD57" s="322">
        <f t="shared" si="107"/>
        <v>5</v>
      </c>
      <c r="BE57" s="251"/>
      <c r="BF57" s="326"/>
      <c r="BG57" s="322">
        <f t="shared" si="107"/>
        <v>0</v>
      </c>
      <c r="BH57" s="251"/>
      <c r="BI57" s="326"/>
      <c r="BJ57" s="322">
        <f t="shared" si="107"/>
        <v>0</v>
      </c>
      <c r="BK57" s="251"/>
      <c r="BL57" s="326"/>
      <c r="BM57" s="322">
        <f t="shared" si="107"/>
        <v>0</v>
      </c>
      <c r="BN57" s="251"/>
      <c r="BO57" s="326"/>
      <c r="BP57" s="322">
        <f t="shared" si="107"/>
        <v>0</v>
      </c>
      <c r="BQ57" s="251"/>
      <c r="BR57" s="326"/>
      <c r="BS57" s="322">
        <f t="shared" si="107"/>
        <v>0</v>
      </c>
      <c r="BT57" s="251"/>
      <c r="BU57" s="326"/>
      <c r="BV57" s="322">
        <f t="shared" si="107"/>
        <v>0</v>
      </c>
      <c r="BW57" s="251"/>
      <c r="BX57" s="326"/>
      <c r="BY57" s="322">
        <f t="shared" si="107"/>
        <v>0</v>
      </c>
      <c r="BZ57" s="251"/>
      <c r="CA57" s="326"/>
      <c r="CB57" s="322">
        <f t="shared" si="106"/>
        <v>0</v>
      </c>
      <c r="CC57" s="251"/>
      <c r="CD57" s="326"/>
      <c r="CE57" s="322">
        <f t="shared" si="106"/>
        <v>0</v>
      </c>
      <c r="CF57" s="251"/>
      <c r="CG57" s="251"/>
      <c r="CH57" s="251"/>
    </row>
    <row r="58" spans="1:86" ht="15" customHeight="1">
      <c r="A58" s="343"/>
      <c r="B58" s="351"/>
      <c r="C58" s="362" t="s">
        <v>189</v>
      </c>
      <c r="D58" s="363">
        <f>+D54</f>
        <v>0</v>
      </c>
      <c r="E58" s="343"/>
      <c r="F58" s="562"/>
      <c r="G58" s="328" t="str">
        <f>CONCATENATE(League!D54,"-",League!K54)</f>
        <v>Real Madrid-Juventus</v>
      </c>
      <c r="H58" s="320" t="str">
        <f>CONCATENATE(IF(League!G54&gt;League!H54,1,IF(League!G54&lt;League!H54,2,IF(AND(League!G54=League!H54,League!G54&lt;&gt;"",League!H54&lt;&gt;""),"X",0))),"|",League!G54,"-",League!H54)</f>
        <v>1|1-0</v>
      </c>
      <c r="I58" s="219"/>
      <c r="J58" s="452" t="s">
        <v>169</v>
      </c>
      <c r="K58" s="322">
        <f t="shared" si="103"/>
        <v>2</v>
      </c>
      <c r="L58" s="251"/>
      <c r="M58" s="326" t="s">
        <v>169</v>
      </c>
      <c r="N58" s="322">
        <f t="shared" si="107"/>
        <v>2</v>
      </c>
      <c r="O58" s="251"/>
      <c r="P58" s="326" t="s">
        <v>158</v>
      </c>
      <c r="Q58" s="322">
        <f t="shared" si="107"/>
        <v>0</v>
      </c>
      <c r="R58" s="251"/>
      <c r="S58" s="326" t="s">
        <v>170</v>
      </c>
      <c r="T58" s="322">
        <f t="shared" si="107"/>
        <v>2</v>
      </c>
      <c r="U58" s="251"/>
      <c r="V58" s="326" t="s">
        <v>158</v>
      </c>
      <c r="W58" s="322">
        <f t="shared" si="107"/>
        <v>0</v>
      </c>
      <c r="X58" s="251"/>
      <c r="Y58" s="326" t="s">
        <v>166</v>
      </c>
      <c r="Z58" s="322">
        <f t="shared" si="107"/>
        <v>2</v>
      </c>
      <c r="AA58" s="251"/>
      <c r="AB58" s="326" t="s">
        <v>170</v>
      </c>
      <c r="AC58" s="322">
        <f t="shared" si="107"/>
        <v>2</v>
      </c>
      <c r="AD58" s="251"/>
      <c r="AE58" s="326" t="s">
        <v>166</v>
      </c>
      <c r="AF58" s="322">
        <f t="shared" si="107"/>
        <v>2</v>
      </c>
      <c r="AG58" s="251"/>
      <c r="AH58" s="326" t="s">
        <v>166</v>
      </c>
      <c r="AI58" s="322">
        <f t="shared" si="107"/>
        <v>2</v>
      </c>
      <c r="AJ58" s="251"/>
      <c r="AK58" s="326" t="s">
        <v>165</v>
      </c>
      <c r="AL58" s="322">
        <f t="shared" si="107"/>
        <v>2</v>
      </c>
      <c r="AM58" s="251"/>
      <c r="AN58" s="326" t="s">
        <v>170</v>
      </c>
      <c r="AO58" s="322">
        <f t="shared" si="107"/>
        <v>2</v>
      </c>
      <c r="AP58" s="251"/>
      <c r="AQ58" s="326" t="s">
        <v>166</v>
      </c>
      <c r="AR58" s="322">
        <f t="shared" si="107"/>
        <v>2</v>
      </c>
      <c r="AS58" s="251"/>
      <c r="AT58" s="326" t="s">
        <v>166</v>
      </c>
      <c r="AU58" s="322">
        <f t="shared" si="107"/>
        <v>2</v>
      </c>
      <c r="AV58" s="251"/>
      <c r="AW58" s="326" t="s">
        <v>166</v>
      </c>
      <c r="AX58" s="322">
        <f t="shared" si="107"/>
        <v>2</v>
      </c>
      <c r="AY58" s="251"/>
      <c r="AZ58" s="534" t="s">
        <v>164</v>
      </c>
      <c r="BA58" s="322">
        <f t="shared" si="107"/>
        <v>5</v>
      </c>
      <c r="BB58" s="251"/>
      <c r="BC58" s="326" t="s">
        <v>167</v>
      </c>
      <c r="BD58" s="322">
        <f t="shared" si="107"/>
        <v>2</v>
      </c>
      <c r="BE58" s="251"/>
      <c r="BF58" s="326"/>
      <c r="BG58" s="322">
        <f t="shared" si="107"/>
        <v>0</v>
      </c>
      <c r="BH58" s="251"/>
      <c r="BI58" s="326"/>
      <c r="BJ58" s="322">
        <f t="shared" si="107"/>
        <v>0</v>
      </c>
      <c r="BK58" s="251"/>
      <c r="BL58" s="326"/>
      <c r="BM58" s="322">
        <f t="shared" si="107"/>
        <v>0</v>
      </c>
      <c r="BN58" s="251"/>
      <c r="BO58" s="326"/>
      <c r="BP58" s="322">
        <f t="shared" si="107"/>
        <v>0</v>
      </c>
      <c r="BQ58" s="251"/>
      <c r="BR58" s="326"/>
      <c r="BS58" s="322">
        <f t="shared" si="107"/>
        <v>0</v>
      </c>
      <c r="BT58" s="251"/>
      <c r="BU58" s="326"/>
      <c r="BV58" s="322">
        <f t="shared" si="107"/>
        <v>0</v>
      </c>
      <c r="BW58" s="251"/>
      <c r="BX58" s="326"/>
      <c r="BY58" s="322">
        <f t="shared" si="107"/>
        <v>0</v>
      </c>
      <c r="BZ58" s="251"/>
      <c r="CA58" s="326"/>
      <c r="CB58" s="322">
        <f t="shared" si="106"/>
        <v>0</v>
      </c>
      <c r="CC58" s="251"/>
      <c r="CD58" s="326"/>
      <c r="CE58" s="322">
        <f t="shared" si="106"/>
        <v>0</v>
      </c>
      <c r="CF58" s="251"/>
      <c r="CG58" s="251"/>
      <c r="CH58" s="251"/>
    </row>
    <row r="59" spans="1:86" ht="15" customHeight="1">
      <c r="A59" s="343"/>
      <c r="B59" s="351"/>
      <c r="C59" s="364" t="s">
        <v>190</v>
      </c>
      <c r="D59" s="365">
        <f>+D56+D57+D58</f>
        <v>996</v>
      </c>
      <c r="E59" s="343"/>
      <c r="F59" s="562"/>
      <c r="G59" s="334" t="str">
        <f>CONCATENATE(League!D55,"-",League!K55)</f>
        <v>Sporting Portugal-Marseille</v>
      </c>
      <c r="H59" s="335" t="str">
        <f>CONCATENATE(IF(League!G55&gt;League!H55,1,IF(League!G55&lt;League!H55,2,IF(AND(League!G55=League!H55,League!G55&lt;&gt;"",League!H55&lt;&gt;""),"X",0))),"|",League!G55,"-",League!H55)</f>
        <v>1|2-1</v>
      </c>
      <c r="I59" s="219"/>
      <c r="J59" s="456" t="s">
        <v>158</v>
      </c>
      <c r="K59" s="337">
        <f t="shared" si="103"/>
        <v>0</v>
      </c>
      <c r="L59" s="251"/>
      <c r="M59" s="336" t="s">
        <v>166</v>
      </c>
      <c r="N59" s="337">
        <f t="shared" si="107"/>
        <v>5</v>
      </c>
      <c r="O59" s="251"/>
      <c r="P59" s="336" t="s">
        <v>168</v>
      </c>
      <c r="Q59" s="337">
        <f t="shared" si="107"/>
        <v>0</v>
      </c>
      <c r="R59" s="251"/>
      <c r="S59" s="336" t="s">
        <v>160</v>
      </c>
      <c r="T59" s="337">
        <f t="shared" si="107"/>
        <v>0</v>
      </c>
      <c r="U59" s="251"/>
      <c r="V59" s="336" t="s">
        <v>161</v>
      </c>
      <c r="W59" s="337">
        <f t="shared" si="107"/>
        <v>0</v>
      </c>
      <c r="X59" s="251"/>
      <c r="Y59" s="336" t="s">
        <v>160</v>
      </c>
      <c r="Z59" s="337">
        <f t="shared" si="107"/>
        <v>0</v>
      </c>
      <c r="AA59" s="251"/>
      <c r="AB59" s="336" t="s">
        <v>167</v>
      </c>
      <c r="AC59" s="337">
        <f t="shared" si="107"/>
        <v>2</v>
      </c>
      <c r="AD59" s="251"/>
      <c r="AE59" s="336" t="s">
        <v>160</v>
      </c>
      <c r="AF59" s="337">
        <f t="shared" si="107"/>
        <v>0</v>
      </c>
      <c r="AG59" s="251"/>
      <c r="AH59" s="336" t="s">
        <v>166</v>
      </c>
      <c r="AI59" s="337">
        <f t="shared" si="107"/>
        <v>5</v>
      </c>
      <c r="AJ59" s="251"/>
      <c r="AK59" s="336" t="s">
        <v>158</v>
      </c>
      <c r="AL59" s="337">
        <f t="shared" si="107"/>
        <v>0</v>
      </c>
      <c r="AM59" s="251"/>
      <c r="AN59" s="336" t="s">
        <v>161</v>
      </c>
      <c r="AO59" s="337">
        <f t="shared" si="107"/>
        <v>0</v>
      </c>
      <c r="AP59" s="251"/>
      <c r="AQ59" s="336" t="s">
        <v>167</v>
      </c>
      <c r="AR59" s="337">
        <f t="shared" si="107"/>
        <v>2</v>
      </c>
      <c r="AS59" s="251"/>
      <c r="AT59" s="336" t="s">
        <v>158</v>
      </c>
      <c r="AU59" s="337">
        <f t="shared" si="107"/>
        <v>0</v>
      </c>
      <c r="AV59" s="251"/>
      <c r="AW59" s="336" t="s">
        <v>167</v>
      </c>
      <c r="AX59" s="337">
        <f t="shared" si="107"/>
        <v>2</v>
      </c>
      <c r="AY59" s="251"/>
      <c r="AZ59" s="538" t="s">
        <v>166</v>
      </c>
      <c r="BA59" s="337">
        <f t="shared" si="107"/>
        <v>5</v>
      </c>
      <c r="BB59" s="251"/>
      <c r="BC59" s="336" t="s">
        <v>160</v>
      </c>
      <c r="BD59" s="337">
        <f t="shared" si="107"/>
        <v>0</v>
      </c>
      <c r="BE59" s="251"/>
      <c r="BF59" s="336"/>
      <c r="BG59" s="337">
        <f t="shared" si="107"/>
        <v>0</v>
      </c>
      <c r="BH59" s="251"/>
      <c r="BI59" s="336"/>
      <c r="BJ59" s="337">
        <f t="shared" si="107"/>
        <v>0</v>
      </c>
      <c r="BK59" s="251"/>
      <c r="BL59" s="336"/>
      <c r="BM59" s="337">
        <f t="shared" si="107"/>
        <v>0</v>
      </c>
      <c r="BN59" s="251"/>
      <c r="BO59" s="336"/>
      <c r="BP59" s="337">
        <f t="shared" si="107"/>
        <v>0</v>
      </c>
      <c r="BQ59" s="251"/>
      <c r="BR59" s="336"/>
      <c r="BS59" s="337">
        <f t="shared" si="107"/>
        <v>0</v>
      </c>
      <c r="BT59" s="251"/>
      <c r="BU59" s="336"/>
      <c r="BV59" s="337">
        <f t="shared" si="107"/>
        <v>0</v>
      </c>
      <c r="BW59" s="251"/>
      <c r="BX59" s="336"/>
      <c r="BY59" s="337">
        <f t="shared" si="107"/>
        <v>0</v>
      </c>
      <c r="BZ59" s="251"/>
      <c r="CA59" s="336"/>
      <c r="CB59" s="337">
        <f t="shared" si="106"/>
        <v>0</v>
      </c>
      <c r="CC59" s="251"/>
      <c r="CD59" s="336"/>
      <c r="CE59" s="337">
        <f t="shared" si="106"/>
        <v>0</v>
      </c>
      <c r="CF59" s="251"/>
      <c r="CG59" s="251"/>
      <c r="CH59" s="251"/>
    </row>
    <row r="60" spans="1:86" ht="15" customHeight="1">
      <c r="A60" s="338"/>
      <c r="B60" s="357"/>
      <c r="C60" s="351"/>
      <c r="D60" s="351"/>
      <c r="E60" s="338"/>
      <c r="F60" s="561" t="str">
        <f>+Idiomas!D102</f>
        <v>J4</v>
      </c>
      <c r="G60" s="319" t="str">
        <f>CONCATENATE(League!D56,"-",League!K56)</f>
        <v>Slavia Praha-Arsenal</v>
      </c>
      <c r="H60" s="320" t="str">
        <f>CONCATENATE(IF(League!G56&gt;League!H56,1,IF(League!G56&lt;League!H56,2,IF(AND(League!G56=League!H56,League!G56&lt;&gt;"",League!H56&lt;&gt;""),"X",0))),"|",League!G56,"-",League!H56)</f>
        <v>2|0-3</v>
      </c>
      <c r="I60" s="339"/>
      <c r="J60" s="452" t="s">
        <v>158</v>
      </c>
      <c r="K60" s="341">
        <f t="shared" si="103"/>
        <v>0</v>
      </c>
      <c r="L60" s="342"/>
      <c r="M60" s="340" t="s">
        <v>161</v>
      </c>
      <c r="N60" s="341">
        <f t="shared" si="107"/>
        <v>2</v>
      </c>
      <c r="O60" s="342"/>
      <c r="P60" s="340" t="s">
        <v>177</v>
      </c>
      <c r="Q60" s="341">
        <f t="shared" si="107"/>
        <v>2</v>
      </c>
      <c r="R60" s="342"/>
      <c r="S60" s="340" t="s">
        <v>177</v>
      </c>
      <c r="T60" s="341">
        <f t="shared" si="107"/>
        <v>2</v>
      </c>
      <c r="U60" s="342"/>
      <c r="V60" s="340" t="s">
        <v>157</v>
      </c>
      <c r="W60" s="341">
        <f t="shared" si="107"/>
        <v>2</v>
      </c>
      <c r="X60" s="342"/>
      <c r="Y60" s="340" t="s">
        <v>162</v>
      </c>
      <c r="Z60" s="341">
        <f t="shared" si="107"/>
        <v>2</v>
      </c>
      <c r="AA60" s="342"/>
      <c r="AB60" s="340" t="s">
        <v>157</v>
      </c>
      <c r="AC60" s="341">
        <f t="shared" si="107"/>
        <v>2</v>
      </c>
      <c r="AD60" s="342"/>
      <c r="AE60" s="340" t="s">
        <v>157</v>
      </c>
      <c r="AF60" s="341">
        <f t="shared" si="107"/>
        <v>2</v>
      </c>
      <c r="AG60" s="342"/>
      <c r="AH60" s="340" t="s">
        <v>162</v>
      </c>
      <c r="AI60" s="341">
        <f t="shared" si="107"/>
        <v>2</v>
      </c>
      <c r="AJ60" s="342"/>
      <c r="AK60" s="340" t="s">
        <v>159</v>
      </c>
      <c r="AL60" s="341">
        <f t="shared" si="107"/>
        <v>5</v>
      </c>
      <c r="AM60" s="342"/>
      <c r="AN60" s="340" t="s">
        <v>161</v>
      </c>
      <c r="AO60" s="341">
        <f t="shared" si="107"/>
        <v>2</v>
      </c>
      <c r="AP60" s="342"/>
      <c r="AQ60" s="340" t="s">
        <v>161</v>
      </c>
      <c r="AR60" s="341">
        <f t="shared" si="107"/>
        <v>2</v>
      </c>
      <c r="AS60" s="342"/>
      <c r="AT60" s="340" t="s">
        <v>161</v>
      </c>
      <c r="AU60" s="341">
        <f t="shared" si="107"/>
        <v>2</v>
      </c>
      <c r="AV60" s="342"/>
      <c r="AW60" s="340" t="s">
        <v>161</v>
      </c>
      <c r="AX60" s="341">
        <f t="shared" si="107"/>
        <v>2</v>
      </c>
      <c r="AY60" s="342"/>
      <c r="AZ60" s="534" t="s">
        <v>158</v>
      </c>
      <c r="BA60" s="341">
        <f t="shared" si="107"/>
        <v>0</v>
      </c>
      <c r="BB60" s="342"/>
      <c r="BC60" s="340" t="s">
        <v>157</v>
      </c>
      <c r="BD60" s="341">
        <f t="shared" si="107"/>
        <v>2</v>
      </c>
      <c r="BE60" s="342"/>
      <c r="BF60" s="340" t="str">
        <f>+Idiomas!$D$241</f>
        <v>Pegar Valores (J4)</v>
      </c>
      <c r="BG60" s="341">
        <f t="shared" si="107"/>
        <v>0</v>
      </c>
      <c r="BH60" s="342"/>
      <c r="BI60" s="340" t="str">
        <f>+Idiomas!$D$241</f>
        <v>Pegar Valores (J4)</v>
      </c>
      <c r="BJ60" s="341">
        <f t="shared" si="107"/>
        <v>0</v>
      </c>
      <c r="BK60" s="342"/>
      <c r="BL60" s="340" t="str">
        <f>+Idiomas!$D$241</f>
        <v>Pegar Valores (J4)</v>
      </c>
      <c r="BM60" s="341">
        <f t="shared" si="107"/>
        <v>0</v>
      </c>
      <c r="BN60" s="342"/>
      <c r="BO60" s="340" t="str">
        <f>+Idiomas!$D$241</f>
        <v>Pegar Valores (J4)</v>
      </c>
      <c r="BP60" s="341">
        <f t="shared" si="107"/>
        <v>0</v>
      </c>
      <c r="BQ60" s="342"/>
      <c r="BR60" s="340" t="str">
        <f>+Idiomas!$D$241</f>
        <v>Pegar Valores (J4)</v>
      </c>
      <c r="BS60" s="341">
        <f t="shared" si="107"/>
        <v>0</v>
      </c>
      <c r="BT60" s="342"/>
      <c r="BU60" s="340" t="str">
        <f>+Idiomas!$D$241</f>
        <v>Pegar Valores (J4)</v>
      </c>
      <c r="BV60" s="341">
        <f t="shared" si="107"/>
        <v>0</v>
      </c>
      <c r="BW60" s="342"/>
      <c r="BX60" s="340" t="str">
        <f>+Idiomas!$D$241</f>
        <v>Pegar Valores (J4)</v>
      </c>
      <c r="BY60" s="341">
        <f t="shared" si="107"/>
        <v>0</v>
      </c>
      <c r="BZ60" s="342"/>
      <c r="CA60" s="340" t="str">
        <f>+Idiomas!$D$241</f>
        <v>Pegar Valores (J4)</v>
      </c>
      <c r="CB60" s="341">
        <f t="shared" si="106"/>
        <v>0</v>
      </c>
      <c r="CC60" s="342"/>
      <c r="CD60" s="340" t="str">
        <f>+Idiomas!$D$241</f>
        <v>Pegar Valores (J4)</v>
      </c>
      <c r="CE60" s="341">
        <f t="shared" si="106"/>
        <v>0</v>
      </c>
      <c r="CF60" s="342"/>
      <c r="CG60" s="342"/>
      <c r="CH60" s="342"/>
    </row>
    <row r="61" spans="1:86" ht="15" customHeight="1">
      <c r="A61" s="343"/>
      <c r="B61" s="351"/>
      <c r="C61" s="351"/>
      <c r="D61" s="351"/>
      <c r="E61" s="343"/>
      <c r="F61" s="561"/>
      <c r="G61" s="319" t="str">
        <f>CONCATENATE(League!D57,"-",League!K57)</f>
        <v>Napoli-Eintracht Frankfurt</v>
      </c>
      <c r="H61" s="320" t="str">
        <f>CONCATENATE(IF(League!G57&gt;League!H57,1,IF(League!G57&lt;League!H57,2,IF(AND(League!G57=League!H57,League!G57&lt;&gt;"",League!H57&lt;&gt;""),"X",0))),"|",League!G57,"-",League!H57)</f>
        <v>X|0-0</v>
      </c>
      <c r="I61" s="219"/>
      <c r="J61" s="452" t="s">
        <v>164</v>
      </c>
      <c r="K61" s="322">
        <f t="shared" si="103"/>
        <v>0</v>
      </c>
      <c r="L61" s="251"/>
      <c r="M61" s="326" t="s">
        <v>160</v>
      </c>
      <c r="N61" s="322">
        <f t="shared" si="107"/>
        <v>2</v>
      </c>
      <c r="O61" s="251"/>
      <c r="P61" s="326" t="s">
        <v>166</v>
      </c>
      <c r="Q61" s="322">
        <f t="shared" si="107"/>
        <v>0</v>
      </c>
      <c r="R61" s="251"/>
      <c r="S61" s="326" t="s">
        <v>158</v>
      </c>
      <c r="T61" s="322">
        <f t="shared" si="107"/>
        <v>2</v>
      </c>
      <c r="U61" s="251"/>
      <c r="V61" s="326" t="s">
        <v>160</v>
      </c>
      <c r="W61" s="322">
        <f t="shared" si="107"/>
        <v>2</v>
      </c>
      <c r="X61" s="251"/>
      <c r="Y61" s="326" t="s">
        <v>167</v>
      </c>
      <c r="Z61" s="322">
        <f t="shared" si="107"/>
        <v>0</v>
      </c>
      <c r="AA61" s="251"/>
      <c r="AB61" s="326" t="s">
        <v>166</v>
      </c>
      <c r="AC61" s="322">
        <f t="shared" si="107"/>
        <v>0</v>
      </c>
      <c r="AD61" s="251"/>
      <c r="AE61" s="326" t="s">
        <v>166</v>
      </c>
      <c r="AF61" s="322">
        <f t="shared" si="107"/>
        <v>0</v>
      </c>
      <c r="AG61" s="251"/>
      <c r="AH61" s="326" t="s">
        <v>167</v>
      </c>
      <c r="AI61" s="322">
        <f t="shared" si="107"/>
        <v>0</v>
      </c>
      <c r="AJ61" s="251"/>
      <c r="AK61" s="326" t="s">
        <v>167</v>
      </c>
      <c r="AL61" s="322">
        <f t="shared" si="107"/>
        <v>0</v>
      </c>
      <c r="AM61" s="251"/>
      <c r="AN61" s="326" t="s">
        <v>160</v>
      </c>
      <c r="AO61" s="322">
        <f t="shared" si="107"/>
        <v>2</v>
      </c>
      <c r="AP61" s="251"/>
      <c r="AQ61" s="326" t="s">
        <v>166</v>
      </c>
      <c r="AR61" s="322">
        <f t="shared" si="107"/>
        <v>0</v>
      </c>
      <c r="AS61" s="251"/>
      <c r="AT61" s="326" t="s">
        <v>166</v>
      </c>
      <c r="AU61" s="322">
        <f t="shared" si="107"/>
        <v>0</v>
      </c>
      <c r="AV61" s="251"/>
      <c r="AW61" s="326" t="s">
        <v>166</v>
      </c>
      <c r="AX61" s="322">
        <f t="shared" si="107"/>
        <v>0</v>
      </c>
      <c r="AY61" s="251"/>
      <c r="AZ61" s="534" t="s">
        <v>158</v>
      </c>
      <c r="BA61" s="322">
        <f t="shared" si="107"/>
        <v>2</v>
      </c>
      <c r="BB61" s="251"/>
      <c r="BC61" s="326" t="s">
        <v>167</v>
      </c>
      <c r="BD61" s="322">
        <f t="shared" si="107"/>
        <v>0</v>
      </c>
      <c r="BE61" s="251"/>
      <c r="BF61" s="326"/>
      <c r="BG61" s="322">
        <f t="shared" si="107"/>
        <v>0</v>
      </c>
      <c r="BH61" s="251"/>
      <c r="BI61" s="326"/>
      <c r="BJ61" s="322">
        <f t="shared" si="107"/>
        <v>0</v>
      </c>
      <c r="BK61" s="251"/>
      <c r="BL61" s="326"/>
      <c r="BM61" s="322">
        <f t="shared" si="107"/>
        <v>0</v>
      </c>
      <c r="BN61" s="251"/>
      <c r="BO61" s="326"/>
      <c r="BP61" s="322">
        <f t="shared" si="107"/>
        <v>0</v>
      </c>
      <c r="BQ61" s="251"/>
      <c r="BR61" s="326"/>
      <c r="BS61" s="322">
        <f t="shared" si="107"/>
        <v>0</v>
      </c>
      <c r="BT61" s="251"/>
      <c r="BU61" s="326"/>
      <c r="BV61" s="322">
        <f t="shared" si="107"/>
        <v>0</v>
      </c>
      <c r="BW61" s="251"/>
      <c r="BX61" s="326"/>
      <c r="BY61" s="322">
        <f t="shared" si="107"/>
        <v>0</v>
      </c>
      <c r="BZ61" s="251"/>
      <c r="CA61" s="326"/>
      <c r="CB61" s="322">
        <f t="shared" si="106"/>
        <v>0</v>
      </c>
      <c r="CC61" s="251"/>
      <c r="CD61" s="326"/>
      <c r="CE61" s="322">
        <f t="shared" si="106"/>
        <v>0</v>
      </c>
      <c r="CF61" s="251"/>
      <c r="CG61" s="251"/>
      <c r="CH61" s="251"/>
    </row>
    <row r="62" spans="1:86" ht="15" customHeight="1">
      <c r="A62" s="343"/>
      <c r="B62" s="351"/>
      <c r="C62" s="351"/>
      <c r="D62" s="351"/>
      <c r="E62" s="343"/>
      <c r="F62" s="561"/>
      <c r="G62" s="328" t="str">
        <f>CONCATENATE(League!D58,"-",League!K58)</f>
        <v>Atlético Madrid-Union Saint-Gilloise</v>
      </c>
      <c r="H62" s="320" t="str">
        <f>CONCATENATE(IF(League!G58&gt;League!H58,1,IF(League!G58&lt;League!H58,2,IF(AND(League!G58=League!H58,League!G58&lt;&gt;"",League!H58&lt;&gt;""),"X",0))),"|",League!G58,"-",League!H58)</f>
        <v>1|3-1</v>
      </c>
      <c r="I62" s="219"/>
      <c r="J62" s="452" t="s">
        <v>163</v>
      </c>
      <c r="K62" s="322">
        <f t="shared" si="103"/>
        <v>2</v>
      </c>
      <c r="L62" s="251"/>
      <c r="M62" s="326" t="s">
        <v>165</v>
      </c>
      <c r="N62" s="322">
        <f t="shared" si="107"/>
        <v>2</v>
      </c>
      <c r="O62" s="251"/>
      <c r="P62" s="326" t="s">
        <v>171</v>
      </c>
      <c r="Q62" s="322">
        <f t="shared" si="107"/>
        <v>2</v>
      </c>
      <c r="R62" s="251"/>
      <c r="S62" s="326" t="s">
        <v>171</v>
      </c>
      <c r="T62" s="322">
        <f t="shared" si="107"/>
        <v>2</v>
      </c>
      <c r="U62" s="251"/>
      <c r="V62" s="326" t="s">
        <v>171</v>
      </c>
      <c r="W62" s="322">
        <f t="shared" si="107"/>
        <v>2</v>
      </c>
      <c r="X62" s="251"/>
      <c r="Y62" s="326" t="s">
        <v>170</v>
      </c>
      <c r="Z62" s="322">
        <f t="shared" si="107"/>
        <v>5</v>
      </c>
      <c r="AA62" s="251"/>
      <c r="AB62" s="326" t="s">
        <v>165</v>
      </c>
      <c r="AC62" s="322">
        <f t="shared" si="107"/>
        <v>2</v>
      </c>
      <c r="AD62" s="251"/>
      <c r="AE62" s="326" t="s">
        <v>166</v>
      </c>
      <c r="AF62" s="322">
        <f t="shared" si="107"/>
        <v>2</v>
      </c>
      <c r="AG62" s="251"/>
      <c r="AH62" s="326" t="s">
        <v>164</v>
      </c>
      <c r="AI62" s="322">
        <f t="shared" si="107"/>
        <v>2</v>
      </c>
      <c r="AJ62" s="251"/>
      <c r="AK62" s="326" t="s">
        <v>165</v>
      </c>
      <c r="AL62" s="322">
        <f t="shared" si="107"/>
        <v>2</v>
      </c>
      <c r="AM62" s="251"/>
      <c r="AN62" s="326" t="s">
        <v>165</v>
      </c>
      <c r="AO62" s="322">
        <f t="shared" si="107"/>
        <v>2</v>
      </c>
      <c r="AP62" s="251"/>
      <c r="AQ62" s="326" t="s">
        <v>170</v>
      </c>
      <c r="AR62" s="322">
        <f t="shared" si="107"/>
        <v>5</v>
      </c>
      <c r="AS62" s="251"/>
      <c r="AT62" s="326" t="s">
        <v>167</v>
      </c>
      <c r="AU62" s="322">
        <f t="shared" si="107"/>
        <v>2</v>
      </c>
      <c r="AV62" s="251"/>
      <c r="AW62" s="326" t="s">
        <v>166</v>
      </c>
      <c r="AX62" s="322">
        <f t="shared" si="107"/>
        <v>2</v>
      </c>
      <c r="AY62" s="251"/>
      <c r="AZ62" s="534" t="s">
        <v>165</v>
      </c>
      <c r="BA62" s="322">
        <f t="shared" si="107"/>
        <v>2</v>
      </c>
      <c r="BB62" s="251"/>
      <c r="BC62" s="326" t="s">
        <v>165</v>
      </c>
      <c r="BD62" s="322">
        <f t="shared" si="107"/>
        <v>2</v>
      </c>
      <c r="BE62" s="251"/>
      <c r="BF62" s="326"/>
      <c r="BG62" s="322">
        <f t="shared" si="107"/>
        <v>0</v>
      </c>
      <c r="BH62" s="251"/>
      <c r="BI62" s="326"/>
      <c r="BJ62" s="322">
        <f t="shared" si="107"/>
        <v>0</v>
      </c>
      <c r="BK62" s="251"/>
      <c r="BL62" s="326"/>
      <c r="BM62" s="322">
        <f t="shared" si="107"/>
        <v>0</v>
      </c>
      <c r="BN62" s="251"/>
      <c r="BO62" s="326"/>
      <c r="BP62" s="322">
        <f t="shared" si="107"/>
        <v>0</v>
      </c>
      <c r="BQ62" s="251"/>
      <c r="BR62" s="326"/>
      <c r="BS62" s="322">
        <f t="shared" si="107"/>
        <v>0</v>
      </c>
      <c r="BT62" s="251"/>
      <c r="BU62" s="326"/>
      <c r="BV62" s="322">
        <f t="shared" si="107"/>
        <v>0</v>
      </c>
      <c r="BW62" s="251"/>
      <c r="BX62" s="326"/>
      <c r="BY62" s="322">
        <f t="shared" si="107"/>
        <v>0</v>
      </c>
      <c r="BZ62" s="251"/>
      <c r="CA62" s="326"/>
      <c r="CB62" s="322">
        <f t="shared" si="106"/>
        <v>0</v>
      </c>
      <c r="CC62" s="251"/>
      <c r="CD62" s="326"/>
      <c r="CE62" s="322">
        <f t="shared" si="106"/>
        <v>0</v>
      </c>
      <c r="CF62" s="251"/>
      <c r="CG62" s="251"/>
      <c r="CH62" s="251"/>
    </row>
    <row r="63" spans="1:86" ht="15" customHeight="1">
      <c r="A63" s="343"/>
      <c r="B63" s="351"/>
      <c r="C63" s="351"/>
      <c r="D63" s="351"/>
      <c r="E63" s="343"/>
      <c r="F63" s="561"/>
      <c r="G63" s="319" t="str">
        <f>CONCATENATE(League!D59,"-",League!K59)</f>
        <v>Bodø/Glimt-Monaco</v>
      </c>
      <c r="H63" s="320" t="str">
        <f>CONCATENATE(IF(League!G59&gt;League!H59,1,IF(League!G59&lt;League!H59,2,IF(AND(League!G59=League!H59,League!G59&lt;&gt;"",League!H59&lt;&gt;""),"X",0))),"|",League!G59,"-",League!H59)</f>
        <v>2|0-1</v>
      </c>
      <c r="I63" s="219"/>
      <c r="J63" s="452" t="s">
        <v>158</v>
      </c>
      <c r="K63" s="322">
        <f t="shared" si="103"/>
        <v>0</v>
      </c>
      <c r="L63" s="251"/>
      <c r="M63" s="326" t="s">
        <v>157</v>
      </c>
      <c r="N63" s="322">
        <f t="shared" si="107"/>
        <v>2</v>
      </c>
      <c r="O63" s="251"/>
      <c r="P63" s="326" t="s">
        <v>157</v>
      </c>
      <c r="Q63" s="322">
        <f t="shared" si="107"/>
        <v>2</v>
      </c>
      <c r="R63" s="251"/>
      <c r="S63" s="326" t="s">
        <v>176</v>
      </c>
      <c r="T63" s="322">
        <f t="shared" si="107"/>
        <v>0</v>
      </c>
      <c r="U63" s="251"/>
      <c r="V63" s="326" t="s">
        <v>161</v>
      </c>
      <c r="W63" s="322">
        <f t="shared" si="107"/>
        <v>2</v>
      </c>
      <c r="X63" s="251"/>
      <c r="Y63" s="326" t="s">
        <v>174</v>
      </c>
      <c r="Z63" s="322">
        <f t="shared" si="107"/>
        <v>5</v>
      </c>
      <c r="AA63" s="251"/>
      <c r="AB63" s="326" t="s">
        <v>157</v>
      </c>
      <c r="AC63" s="322">
        <f t="shared" si="107"/>
        <v>2</v>
      </c>
      <c r="AD63" s="251"/>
      <c r="AE63" s="326" t="s">
        <v>174</v>
      </c>
      <c r="AF63" s="322">
        <f t="shared" si="107"/>
        <v>5</v>
      </c>
      <c r="AG63" s="251"/>
      <c r="AH63" s="326" t="s">
        <v>161</v>
      </c>
      <c r="AI63" s="322">
        <f t="shared" si="107"/>
        <v>2</v>
      </c>
      <c r="AJ63" s="251"/>
      <c r="AK63" s="326" t="s">
        <v>159</v>
      </c>
      <c r="AL63" s="322">
        <f t="shared" si="107"/>
        <v>2</v>
      </c>
      <c r="AM63" s="251"/>
      <c r="AN63" s="326" t="s">
        <v>161</v>
      </c>
      <c r="AO63" s="322">
        <f t="shared" si="107"/>
        <v>2</v>
      </c>
      <c r="AP63" s="251"/>
      <c r="AQ63" s="326" t="s">
        <v>161</v>
      </c>
      <c r="AR63" s="322">
        <f t="shared" si="107"/>
        <v>2</v>
      </c>
      <c r="AS63" s="251"/>
      <c r="AT63" s="326" t="s">
        <v>161</v>
      </c>
      <c r="AU63" s="322">
        <f t="shared" si="107"/>
        <v>2</v>
      </c>
      <c r="AV63" s="251"/>
      <c r="AW63" s="326" t="s">
        <v>161</v>
      </c>
      <c r="AX63" s="322">
        <f t="shared" si="107"/>
        <v>2</v>
      </c>
      <c r="AY63" s="251"/>
      <c r="AZ63" s="534" t="s">
        <v>174</v>
      </c>
      <c r="BA63" s="322">
        <f t="shared" si="107"/>
        <v>5</v>
      </c>
      <c r="BB63" s="251"/>
      <c r="BC63" s="326" t="s">
        <v>157</v>
      </c>
      <c r="BD63" s="322">
        <f t="shared" si="107"/>
        <v>2</v>
      </c>
      <c r="BE63" s="251"/>
      <c r="BF63" s="326"/>
      <c r="BG63" s="322">
        <f t="shared" si="107"/>
        <v>0</v>
      </c>
      <c r="BH63" s="251"/>
      <c r="BI63" s="326"/>
      <c r="BJ63" s="322">
        <f t="shared" si="107"/>
        <v>0</v>
      </c>
      <c r="BK63" s="251"/>
      <c r="BL63" s="326"/>
      <c r="BM63" s="322">
        <f t="shared" si="107"/>
        <v>0</v>
      </c>
      <c r="BN63" s="251"/>
      <c r="BO63" s="326"/>
      <c r="BP63" s="322">
        <f t="shared" si="107"/>
        <v>0</v>
      </c>
      <c r="BQ63" s="251"/>
      <c r="BR63" s="326"/>
      <c r="BS63" s="322">
        <f t="shared" si="107"/>
        <v>0</v>
      </c>
      <c r="BT63" s="251"/>
      <c r="BU63" s="326"/>
      <c r="BV63" s="322">
        <f t="shared" si="107"/>
        <v>0</v>
      </c>
      <c r="BW63" s="251"/>
      <c r="BX63" s="326"/>
      <c r="BY63" s="322">
        <f t="shared" si="107"/>
        <v>0</v>
      </c>
      <c r="BZ63" s="251"/>
      <c r="CA63" s="326"/>
      <c r="CB63" s="322">
        <f t="shared" si="106"/>
        <v>0</v>
      </c>
      <c r="CC63" s="251"/>
      <c r="CD63" s="326"/>
      <c r="CE63" s="322">
        <f t="shared" si="106"/>
        <v>0</v>
      </c>
      <c r="CF63" s="251"/>
      <c r="CG63" s="251"/>
      <c r="CH63" s="251"/>
    </row>
    <row r="64" spans="1:86" ht="15" customHeight="1">
      <c r="A64" s="338"/>
      <c r="B64" s="357"/>
      <c r="C64" s="351"/>
      <c r="D64" s="351"/>
      <c r="E64" s="338"/>
      <c r="F64" s="561"/>
      <c r="G64" s="328" t="str">
        <f>CONCATENATE(League!D60,"-",League!K60)</f>
        <v>Juventus-Sporting Portugal</v>
      </c>
      <c r="H64" s="320" t="str">
        <f>CONCATENATE(IF(League!G60&gt;League!H60,1,IF(League!G60&lt;League!H60,2,IF(AND(League!G60=League!H60,League!G60&lt;&gt;"",League!H60&lt;&gt;""),"X",0))),"|",League!G60,"-",League!H60)</f>
        <v>X|1-1</v>
      </c>
      <c r="I64" s="339"/>
      <c r="J64" s="452" t="s">
        <v>170</v>
      </c>
      <c r="K64" s="322">
        <f t="shared" si="103"/>
        <v>0</v>
      </c>
      <c r="L64" s="342"/>
      <c r="M64" s="326" t="s">
        <v>170</v>
      </c>
      <c r="N64" s="322">
        <f t="shared" si="107"/>
        <v>0</v>
      </c>
      <c r="O64" s="342"/>
      <c r="P64" s="326" t="s">
        <v>166</v>
      </c>
      <c r="Q64" s="322">
        <f t="shared" si="107"/>
        <v>0</v>
      </c>
      <c r="R64" s="342"/>
      <c r="S64" s="326" t="s">
        <v>166</v>
      </c>
      <c r="T64" s="322">
        <f t="shared" si="107"/>
        <v>0</v>
      </c>
      <c r="U64" s="342"/>
      <c r="V64" s="326" t="s">
        <v>166</v>
      </c>
      <c r="W64" s="322">
        <f t="shared" si="107"/>
        <v>0</v>
      </c>
      <c r="X64" s="342"/>
      <c r="Y64" s="326" t="s">
        <v>166</v>
      </c>
      <c r="Z64" s="322">
        <f t="shared" si="107"/>
        <v>0</v>
      </c>
      <c r="AA64" s="342"/>
      <c r="AB64" s="326" t="s">
        <v>166</v>
      </c>
      <c r="AC64" s="322">
        <f t="shared" si="107"/>
        <v>0</v>
      </c>
      <c r="AD64" s="342"/>
      <c r="AE64" s="326" t="s">
        <v>169</v>
      </c>
      <c r="AF64" s="322">
        <f t="shared" si="107"/>
        <v>0</v>
      </c>
      <c r="AG64" s="342"/>
      <c r="AH64" s="326" t="s">
        <v>167</v>
      </c>
      <c r="AI64" s="322">
        <f t="shared" si="107"/>
        <v>0</v>
      </c>
      <c r="AJ64" s="342"/>
      <c r="AK64" s="326" t="s">
        <v>167</v>
      </c>
      <c r="AL64" s="322">
        <f t="shared" si="107"/>
        <v>0</v>
      </c>
      <c r="AM64" s="342"/>
      <c r="AN64" s="326" t="s">
        <v>166</v>
      </c>
      <c r="AO64" s="322">
        <f t="shared" si="107"/>
        <v>0</v>
      </c>
      <c r="AP64" s="342"/>
      <c r="AQ64" s="326" t="s">
        <v>167</v>
      </c>
      <c r="AR64" s="322">
        <f t="shared" si="107"/>
        <v>0</v>
      </c>
      <c r="AS64" s="342"/>
      <c r="AT64" s="326" t="s">
        <v>166</v>
      </c>
      <c r="AU64" s="322">
        <f t="shared" si="107"/>
        <v>0</v>
      </c>
      <c r="AV64" s="342"/>
      <c r="AW64" s="326" t="s">
        <v>166</v>
      </c>
      <c r="AX64" s="322">
        <f t="shared" si="107"/>
        <v>0</v>
      </c>
      <c r="AY64" s="342"/>
      <c r="AZ64" s="534" t="s">
        <v>164</v>
      </c>
      <c r="BA64" s="322">
        <f t="shared" si="107"/>
        <v>0</v>
      </c>
      <c r="BB64" s="342"/>
      <c r="BC64" s="326" t="s">
        <v>167</v>
      </c>
      <c r="BD64" s="322">
        <f t="shared" si="107"/>
        <v>0</v>
      </c>
      <c r="BE64" s="342"/>
      <c r="BF64" s="326"/>
      <c r="BG64" s="322">
        <f t="shared" si="107"/>
        <v>0</v>
      </c>
      <c r="BH64" s="342"/>
      <c r="BI64" s="326"/>
      <c r="BJ64" s="322">
        <f t="shared" si="107"/>
        <v>0</v>
      </c>
      <c r="BK64" s="342"/>
      <c r="BL64" s="326"/>
      <c r="BM64" s="322">
        <f t="shared" si="107"/>
        <v>0</v>
      </c>
      <c r="BN64" s="342"/>
      <c r="BO64" s="326"/>
      <c r="BP64" s="322">
        <f t="shared" si="107"/>
        <v>0</v>
      </c>
      <c r="BQ64" s="342"/>
      <c r="BR64" s="326"/>
      <c r="BS64" s="322">
        <f t="shared" si="107"/>
        <v>0</v>
      </c>
      <c r="BT64" s="342"/>
      <c r="BU64" s="326"/>
      <c r="BV64" s="322">
        <f t="shared" si="107"/>
        <v>0</v>
      </c>
      <c r="BW64" s="342"/>
      <c r="BX64" s="326"/>
      <c r="BY64" s="322">
        <f t="shared" si="107"/>
        <v>0</v>
      </c>
      <c r="BZ64" s="342"/>
      <c r="CA64" s="326"/>
      <c r="CB64" s="322">
        <f t="shared" si="106"/>
        <v>0</v>
      </c>
      <c r="CC64" s="342"/>
      <c r="CD64" s="326"/>
      <c r="CE64" s="322">
        <f t="shared" si="106"/>
        <v>0</v>
      </c>
      <c r="CF64" s="342"/>
      <c r="CG64" s="342"/>
      <c r="CH64" s="342"/>
    </row>
    <row r="65" spans="1:86" ht="15" customHeight="1">
      <c r="A65" s="343"/>
      <c r="B65" s="351"/>
      <c r="C65" s="351"/>
      <c r="D65" s="351"/>
      <c r="E65" s="343"/>
      <c r="F65" s="561"/>
      <c r="G65" s="319" t="str">
        <f>CONCATENATE(League!D61,"-",League!K61)</f>
        <v>Liverpool-Real Madrid</v>
      </c>
      <c r="H65" s="320" t="str">
        <f>CONCATENATE(IF(League!G61&gt;League!H61,1,IF(League!G61&lt;League!H61,2,IF(AND(League!G61=League!H61,League!G61&lt;&gt;"",League!H61&lt;&gt;""),"X",0))),"|",League!G61,"-",League!H61)</f>
        <v>1|1-0</v>
      </c>
      <c r="I65" s="219"/>
      <c r="J65" s="452" t="s">
        <v>158</v>
      </c>
      <c r="K65" s="322">
        <f t="shared" si="103"/>
        <v>0</v>
      </c>
      <c r="L65" s="251"/>
      <c r="M65" s="326" t="s">
        <v>166</v>
      </c>
      <c r="N65" s="322">
        <f t="shared" si="107"/>
        <v>2</v>
      </c>
      <c r="O65" s="251"/>
      <c r="P65" s="326" t="s">
        <v>167</v>
      </c>
      <c r="Q65" s="322">
        <f t="shared" si="107"/>
        <v>2</v>
      </c>
      <c r="R65" s="251"/>
      <c r="S65" s="326" t="s">
        <v>170</v>
      </c>
      <c r="T65" s="322">
        <f t="shared" si="107"/>
        <v>2</v>
      </c>
      <c r="U65" s="251"/>
      <c r="V65" s="326" t="s">
        <v>169</v>
      </c>
      <c r="W65" s="322">
        <f t="shared" si="107"/>
        <v>2</v>
      </c>
      <c r="X65" s="251"/>
      <c r="Y65" s="326" t="s">
        <v>166</v>
      </c>
      <c r="Z65" s="322">
        <f t="shared" si="107"/>
        <v>2</v>
      </c>
      <c r="AA65" s="251"/>
      <c r="AB65" s="326" t="s">
        <v>166</v>
      </c>
      <c r="AC65" s="322">
        <f t="shared" si="107"/>
        <v>2</v>
      </c>
      <c r="AD65" s="251"/>
      <c r="AE65" s="326" t="s">
        <v>173</v>
      </c>
      <c r="AF65" s="322">
        <f t="shared" si="107"/>
        <v>0</v>
      </c>
      <c r="AG65" s="251"/>
      <c r="AH65" s="326" t="s">
        <v>169</v>
      </c>
      <c r="AI65" s="322">
        <f t="shared" si="107"/>
        <v>2</v>
      </c>
      <c r="AJ65" s="251"/>
      <c r="AK65" s="326" t="s">
        <v>170</v>
      </c>
      <c r="AL65" s="322">
        <f t="shared" si="107"/>
        <v>2</v>
      </c>
      <c r="AM65" s="251"/>
      <c r="AN65" s="326" t="s">
        <v>166</v>
      </c>
      <c r="AO65" s="322">
        <f t="shared" si="107"/>
        <v>2</v>
      </c>
      <c r="AP65" s="251"/>
      <c r="AQ65" s="326" t="s">
        <v>160</v>
      </c>
      <c r="AR65" s="322">
        <f t="shared" si="107"/>
        <v>0</v>
      </c>
      <c r="AS65" s="251"/>
      <c r="AT65" s="326" t="s">
        <v>158</v>
      </c>
      <c r="AU65" s="322">
        <f t="shared" si="107"/>
        <v>0</v>
      </c>
      <c r="AV65" s="251"/>
      <c r="AW65" s="326" t="s">
        <v>166</v>
      </c>
      <c r="AX65" s="322">
        <f t="shared" si="107"/>
        <v>2</v>
      </c>
      <c r="AY65" s="251"/>
      <c r="AZ65" s="534" t="s">
        <v>160</v>
      </c>
      <c r="BA65" s="322">
        <f t="shared" ref="BA65:CE76" si="108">IFERROR(SUM(IF($H65=AZ65,$D$10),IF(LEFT($H65,1)=LEFT(AZ65,1),$D$8),IF(MID($H65,FIND("|",$H65)+1,FIND("-",$H65)-FIND("|",$H65)-1)-MID($H65,FIND("-",$H65)+1,11)=MID(AZ65,FIND("|",AZ65)+1,FIND("-",AZ65)-FIND("|",AZ65)-1)-MID(AZ65,FIND("-",AZ65)+1,11),$D$9)),)</f>
        <v>0</v>
      </c>
      <c r="BB65" s="251"/>
      <c r="BC65" s="326" t="s">
        <v>173</v>
      </c>
      <c r="BD65" s="322">
        <f t="shared" si="108"/>
        <v>0</v>
      </c>
      <c r="BE65" s="251"/>
      <c r="BF65" s="326"/>
      <c r="BG65" s="322">
        <f t="shared" si="108"/>
        <v>0</v>
      </c>
      <c r="BH65" s="251"/>
      <c r="BI65" s="326"/>
      <c r="BJ65" s="322">
        <f t="shared" si="108"/>
        <v>0</v>
      </c>
      <c r="BK65" s="251"/>
      <c r="BL65" s="326"/>
      <c r="BM65" s="322">
        <f t="shared" si="108"/>
        <v>0</v>
      </c>
      <c r="BN65" s="251"/>
      <c r="BO65" s="326"/>
      <c r="BP65" s="322">
        <f t="shared" si="108"/>
        <v>0</v>
      </c>
      <c r="BQ65" s="251"/>
      <c r="BR65" s="326"/>
      <c r="BS65" s="322">
        <f t="shared" si="108"/>
        <v>0</v>
      </c>
      <c r="BT65" s="251"/>
      <c r="BU65" s="326"/>
      <c r="BV65" s="322">
        <f t="shared" si="108"/>
        <v>0</v>
      </c>
      <c r="BW65" s="251"/>
      <c r="BX65" s="326"/>
      <c r="BY65" s="322">
        <f t="shared" si="108"/>
        <v>0</v>
      </c>
      <c r="BZ65" s="251"/>
      <c r="CA65" s="326"/>
      <c r="CB65" s="322">
        <f t="shared" si="108"/>
        <v>0</v>
      </c>
      <c r="CC65" s="251"/>
      <c r="CD65" s="326"/>
      <c r="CE65" s="322">
        <f t="shared" si="108"/>
        <v>0</v>
      </c>
      <c r="CF65" s="251"/>
      <c r="CG65" s="251"/>
      <c r="CH65" s="251"/>
    </row>
    <row r="66" spans="1:86" ht="15" customHeight="1">
      <c r="A66" s="343"/>
      <c r="B66" s="351"/>
      <c r="C66" s="351"/>
      <c r="D66" s="351"/>
      <c r="E66" s="343"/>
      <c r="F66" s="561"/>
      <c r="G66" s="328" t="str">
        <f>CONCATENATE(League!D62,"-",League!K62)</f>
        <v>Olympiakos-PSV Eindhoven</v>
      </c>
      <c r="H66" s="320" t="str">
        <f>CONCATENATE(IF(League!G62&gt;League!H62,1,IF(League!G62&lt;League!H62,2,IF(AND(League!G62=League!H62,League!G62&lt;&gt;"",League!H62&lt;&gt;""),"X",0))),"|",League!G62,"-",League!H62)</f>
        <v>X|1-1</v>
      </c>
      <c r="I66" s="219"/>
      <c r="J66" s="452" t="s">
        <v>170</v>
      </c>
      <c r="K66" s="322">
        <f t="shared" si="103"/>
        <v>0</v>
      </c>
      <c r="L66" s="251"/>
      <c r="M66" s="326" t="s">
        <v>158</v>
      </c>
      <c r="N66" s="322">
        <f t="shared" ref="N66:BY77" si="109">IFERROR(SUM(IF($H66=M66,$D$10),IF(LEFT($H66,1)=LEFT(M66,1),$D$8),IF(MID($H66,FIND("|",$H66)+1,FIND("-",$H66)-FIND("|",$H66)-1)-MID($H66,FIND("-",$H66)+1,11)=MID(M66,FIND("|",M66)+1,FIND("-",M66)-FIND("|",M66)-1)-MID(M66,FIND("-",M66)+1,11),$D$9)),)</f>
        <v>5</v>
      </c>
      <c r="O66" s="251"/>
      <c r="P66" s="326" t="s">
        <v>164</v>
      </c>
      <c r="Q66" s="322">
        <f t="shared" si="109"/>
        <v>0</v>
      </c>
      <c r="R66" s="251"/>
      <c r="S66" s="326" t="s">
        <v>158</v>
      </c>
      <c r="T66" s="322">
        <f t="shared" si="109"/>
        <v>5</v>
      </c>
      <c r="U66" s="251"/>
      <c r="V66" s="326" t="s">
        <v>158</v>
      </c>
      <c r="W66" s="322">
        <f t="shared" si="109"/>
        <v>5</v>
      </c>
      <c r="X66" s="251"/>
      <c r="Y66" s="326" t="s">
        <v>158</v>
      </c>
      <c r="Z66" s="322">
        <f t="shared" si="109"/>
        <v>5</v>
      </c>
      <c r="AA66" s="251"/>
      <c r="AB66" s="326" t="s">
        <v>157</v>
      </c>
      <c r="AC66" s="322">
        <f t="shared" si="109"/>
        <v>0</v>
      </c>
      <c r="AD66" s="251"/>
      <c r="AE66" s="326" t="s">
        <v>161</v>
      </c>
      <c r="AF66" s="322">
        <f t="shared" si="109"/>
        <v>0</v>
      </c>
      <c r="AG66" s="251"/>
      <c r="AH66" s="326" t="s">
        <v>161</v>
      </c>
      <c r="AI66" s="322">
        <f t="shared" si="109"/>
        <v>0</v>
      </c>
      <c r="AJ66" s="251"/>
      <c r="AK66" s="326" t="s">
        <v>162</v>
      </c>
      <c r="AL66" s="322">
        <f t="shared" si="109"/>
        <v>0</v>
      </c>
      <c r="AM66" s="251"/>
      <c r="AN66" s="326" t="s">
        <v>161</v>
      </c>
      <c r="AO66" s="322">
        <f t="shared" si="109"/>
        <v>0</v>
      </c>
      <c r="AP66" s="251"/>
      <c r="AQ66" s="326" t="s">
        <v>158</v>
      </c>
      <c r="AR66" s="322">
        <f t="shared" si="109"/>
        <v>5</v>
      </c>
      <c r="AS66" s="251"/>
      <c r="AT66" s="326" t="s">
        <v>162</v>
      </c>
      <c r="AU66" s="322">
        <f t="shared" si="109"/>
        <v>0</v>
      </c>
      <c r="AV66" s="251"/>
      <c r="AW66" s="326" t="s">
        <v>161</v>
      </c>
      <c r="AX66" s="322">
        <f t="shared" si="109"/>
        <v>0</v>
      </c>
      <c r="AY66" s="251"/>
      <c r="AZ66" s="534" t="s">
        <v>164</v>
      </c>
      <c r="BA66" s="322">
        <f t="shared" si="109"/>
        <v>0</v>
      </c>
      <c r="BB66" s="251"/>
      <c r="BC66" s="326" t="s">
        <v>166</v>
      </c>
      <c r="BD66" s="322">
        <f t="shared" si="109"/>
        <v>0</v>
      </c>
      <c r="BE66" s="251"/>
      <c r="BF66" s="326"/>
      <c r="BG66" s="322">
        <f t="shared" si="109"/>
        <v>0</v>
      </c>
      <c r="BH66" s="251"/>
      <c r="BI66" s="326"/>
      <c r="BJ66" s="322">
        <f t="shared" si="109"/>
        <v>0</v>
      </c>
      <c r="BK66" s="251"/>
      <c r="BL66" s="326"/>
      <c r="BM66" s="322">
        <f t="shared" si="109"/>
        <v>0</v>
      </c>
      <c r="BN66" s="251"/>
      <c r="BO66" s="326"/>
      <c r="BP66" s="322">
        <f t="shared" si="109"/>
        <v>0</v>
      </c>
      <c r="BQ66" s="251"/>
      <c r="BR66" s="326"/>
      <c r="BS66" s="322">
        <f t="shared" si="109"/>
        <v>0</v>
      </c>
      <c r="BT66" s="251"/>
      <c r="BU66" s="326"/>
      <c r="BV66" s="322">
        <f t="shared" si="109"/>
        <v>0</v>
      </c>
      <c r="BW66" s="251"/>
      <c r="BX66" s="326"/>
      <c r="BY66" s="322">
        <f t="shared" si="109"/>
        <v>0</v>
      </c>
      <c r="BZ66" s="251"/>
      <c r="CA66" s="326"/>
      <c r="CB66" s="322">
        <f t="shared" si="108"/>
        <v>0</v>
      </c>
      <c r="CC66" s="251"/>
      <c r="CD66" s="326"/>
      <c r="CE66" s="322">
        <f t="shared" si="108"/>
        <v>0</v>
      </c>
      <c r="CF66" s="251"/>
      <c r="CG66" s="251"/>
      <c r="CH66" s="251"/>
    </row>
    <row r="67" spans="1:86" ht="15" customHeight="1">
      <c r="A67" s="343"/>
      <c r="B67" s="351"/>
      <c r="C67" s="351"/>
      <c r="D67" s="351"/>
      <c r="E67" s="343"/>
      <c r="F67" s="561"/>
      <c r="G67" s="319" t="str">
        <f>CONCATENATE(League!D63,"-",League!K63)</f>
        <v>PSG-Bayern München</v>
      </c>
      <c r="H67" s="320" t="str">
        <f>CONCATENATE(IF(League!G63&gt;League!H63,1,IF(League!G63&lt;League!H63,2,IF(AND(League!G63=League!H63,League!G63&lt;&gt;"",League!H63&lt;&gt;""),"X",0))),"|",League!G63,"-",League!H63)</f>
        <v>2|1-2</v>
      </c>
      <c r="I67" s="219"/>
      <c r="J67" s="452" t="s">
        <v>158</v>
      </c>
      <c r="K67" s="322">
        <f t="shared" si="103"/>
        <v>0</v>
      </c>
      <c r="L67" s="251"/>
      <c r="M67" s="326" t="s">
        <v>160</v>
      </c>
      <c r="N67" s="322">
        <f t="shared" si="109"/>
        <v>0</v>
      </c>
      <c r="O67" s="251"/>
      <c r="P67" s="326" t="s">
        <v>164</v>
      </c>
      <c r="Q67" s="322">
        <f t="shared" si="109"/>
        <v>0</v>
      </c>
      <c r="R67" s="251"/>
      <c r="S67" s="326" t="s">
        <v>169</v>
      </c>
      <c r="T67" s="322">
        <f t="shared" si="109"/>
        <v>0</v>
      </c>
      <c r="U67" s="251"/>
      <c r="V67" s="326" t="s">
        <v>160</v>
      </c>
      <c r="W67" s="322">
        <f t="shared" si="109"/>
        <v>0</v>
      </c>
      <c r="X67" s="251"/>
      <c r="Y67" s="326" t="s">
        <v>160</v>
      </c>
      <c r="Z67" s="322">
        <f t="shared" si="109"/>
        <v>0</v>
      </c>
      <c r="AA67" s="251"/>
      <c r="AB67" s="326" t="s">
        <v>166</v>
      </c>
      <c r="AC67" s="322">
        <f t="shared" si="109"/>
        <v>0</v>
      </c>
      <c r="AD67" s="251"/>
      <c r="AE67" s="326" t="s">
        <v>160</v>
      </c>
      <c r="AF67" s="322">
        <f t="shared" si="109"/>
        <v>0</v>
      </c>
      <c r="AG67" s="251"/>
      <c r="AH67" s="326" t="s">
        <v>168</v>
      </c>
      <c r="AI67" s="322">
        <f t="shared" si="109"/>
        <v>0</v>
      </c>
      <c r="AJ67" s="251"/>
      <c r="AK67" s="326" t="s">
        <v>170</v>
      </c>
      <c r="AL67" s="322">
        <f t="shared" si="109"/>
        <v>0</v>
      </c>
      <c r="AM67" s="251"/>
      <c r="AN67" s="326" t="s">
        <v>170</v>
      </c>
      <c r="AO67" s="322">
        <f t="shared" si="109"/>
        <v>0</v>
      </c>
      <c r="AP67" s="251"/>
      <c r="AQ67" s="326" t="s">
        <v>160</v>
      </c>
      <c r="AR67" s="322">
        <f t="shared" si="109"/>
        <v>0</v>
      </c>
      <c r="AS67" s="251"/>
      <c r="AT67" s="326" t="s">
        <v>160</v>
      </c>
      <c r="AU67" s="322">
        <f t="shared" si="109"/>
        <v>0</v>
      </c>
      <c r="AV67" s="251"/>
      <c r="AW67" s="326" t="s">
        <v>166</v>
      </c>
      <c r="AX67" s="322">
        <f t="shared" si="109"/>
        <v>0</v>
      </c>
      <c r="AY67" s="251"/>
      <c r="AZ67" s="534" t="s">
        <v>160</v>
      </c>
      <c r="BA67" s="322">
        <f t="shared" si="109"/>
        <v>0</v>
      </c>
      <c r="BB67" s="251"/>
      <c r="BC67" s="326" t="s">
        <v>173</v>
      </c>
      <c r="BD67" s="322">
        <f t="shared" si="109"/>
        <v>2</v>
      </c>
      <c r="BE67" s="251"/>
      <c r="BF67" s="326"/>
      <c r="BG67" s="322">
        <f t="shared" si="109"/>
        <v>0</v>
      </c>
      <c r="BH67" s="251"/>
      <c r="BI67" s="326"/>
      <c r="BJ67" s="322">
        <f t="shared" si="109"/>
        <v>0</v>
      </c>
      <c r="BK67" s="251"/>
      <c r="BL67" s="326"/>
      <c r="BM67" s="322">
        <f t="shared" si="109"/>
        <v>0</v>
      </c>
      <c r="BN67" s="251"/>
      <c r="BO67" s="326"/>
      <c r="BP67" s="322">
        <f t="shared" si="109"/>
        <v>0</v>
      </c>
      <c r="BQ67" s="251"/>
      <c r="BR67" s="326"/>
      <c r="BS67" s="322">
        <f t="shared" si="109"/>
        <v>0</v>
      </c>
      <c r="BT67" s="251"/>
      <c r="BU67" s="326"/>
      <c r="BV67" s="322">
        <f t="shared" si="109"/>
        <v>0</v>
      </c>
      <c r="BW67" s="251"/>
      <c r="BX67" s="326"/>
      <c r="BY67" s="322">
        <f t="shared" si="109"/>
        <v>0</v>
      </c>
      <c r="BZ67" s="251"/>
      <c r="CA67" s="326"/>
      <c r="CB67" s="322">
        <f t="shared" si="108"/>
        <v>0</v>
      </c>
      <c r="CC67" s="251"/>
      <c r="CD67" s="326"/>
      <c r="CE67" s="322">
        <f t="shared" si="108"/>
        <v>0</v>
      </c>
      <c r="CF67" s="251"/>
      <c r="CG67" s="251"/>
      <c r="CH67" s="251"/>
    </row>
    <row r="68" spans="1:86" ht="15" customHeight="1">
      <c r="A68" s="338"/>
      <c r="B68" s="357"/>
      <c r="C68" s="351"/>
      <c r="D68" s="351"/>
      <c r="E68" s="338"/>
      <c r="F68" s="561"/>
      <c r="G68" s="328" t="str">
        <f>CONCATENATE(League!D64,"-",League!K64)</f>
        <v>Tottenham-Copenhagen</v>
      </c>
      <c r="H68" s="320" t="str">
        <f>CONCATENATE(IF(League!G64&gt;League!H64,1,IF(League!G64&lt;League!H64,2,IF(AND(League!G64=League!H64,League!G64&lt;&gt;"",League!H64&lt;&gt;""),"X",0))),"|",League!G64,"-",League!H64)</f>
        <v>1|4-0</v>
      </c>
      <c r="I68" s="339"/>
      <c r="J68" s="452" t="s">
        <v>165</v>
      </c>
      <c r="K68" s="322">
        <f t="shared" si="103"/>
        <v>2</v>
      </c>
      <c r="L68" s="342"/>
      <c r="M68" s="326" t="s">
        <v>167</v>
      </c>
      <c r="N68" s="322">
        <f t="shared" si="109"/>
        <v>2</v>
      </c>
      <c r="O68" s="342"/>
      <c r="P68" s="326" t="s">
        <v>170</v>
      </c>
      <c r="Q68" s="322">
        <f t="shared" si="109"/>
        <v>2</v>
      </c>
      <c r="R68" s="342"/>
      <c r="S68" s="326" t="s">
        <v>167</v>
      </c>
      <c r="T68" s="322">
        <f t="shared" si="109"/>
        <v>2</v>
      </c>
      <c r="U68" s="342"/>
      <c r="V68" s="326" t="s">
        <v>166</v>
      </c>
      <c r="W68" s="322">
        <f t="shared" si="109"/>
        <v>2</v>
      </c>
      <c r="X68" s="342"/>
      <c r="Y68" s="326" t="s">
        <v>167</v>
      </c>
      <c r="Z68" s="322">
        <f t="shared" si="109"/>
        <v>2</v>
      </c>
      <c r="AA68" s="342"/>
      <c r="AB68" s="326" t="s">
        <v>158</v>
      </c>
      <c r="AC68" s="322">
        <f t="shared" si="109"/>
        <v>0</v>
      </c>
      <c r="AD68" s="342"/>
      <c r="AE68" s="326" t="s">
        <v>166</v>
      </c>
      <c r="AF68" s="322">
        <f t="shared" si="109"/>
        <v>2</v>
      </c>
      <c r="AG68" s="342"/>
      <c r="AH68" s="326" t="s">
        <v>167</v>
      </c>
      <c r="AI68" s="322">
        <f t="shared" si="109"/>
        <v>2</v>
      </c>
      <c r="AJ68" s="342"/>
      <c r="AK68" s="326" t="s">
        <v>165</v>
      </c>
      <c r="AL68" s="322">
        <f t="shared" si="109"/>
        <v>2</v>
      </c>
      <c r="AM68" s="342"/>
      <c r="AN68" s="326" t="s">
        <v>166</v>
      </c>
      <c r="AO68" s="322">
        <f t="shared" si="109"/>
        <v>2</v>
      </c>
      <c r="AP68" s="342"/>
      <c r="AQ68" s="326" t="s">
        <v>165</v>
      </c>
      <c r="AR68" s="322">
        <f t="shared" si="109"/>
        <v>2</v>
      </c>
      <c r="AS68" s="342"/>
      <c r="AT68" s="326" t="s">
        <v>165</v>
      </c>
      <c r="AU68" s="322">
        <f t="shared" si="109"/>
        <v>2</v>
      </c>
      <c r="AV68" s="342"/>
      <c r="AW68" s="326" t="s">
        <v>166</v>
      </c>
      <c r="AX68" s="322">
        <f t="shared" si="109"/>
        <v>2</v>
      </c>
      <c r="AY68" s="342"/>
      <c r="AZ68" s="534" t="s">
        <v>167</v>
      </c>
      <c r="BA68" s="322">
        <f t="shared" si="109"/>
        <v>2</v>
      </c>
      <c r="BB68" s="342"/>
      <c r="BC68" s="326" t="s">
        <v>170</v>
      </c>
      <c r="BD68" s="322">
        <f t="shared" si="109"/>
        <v>2</v>
      </c>
      <c r="BE68" s="342"/>
      <c r="BF68" s="326"/>
      <c r="BG68" s="322">
        <f t="shared" si="109"/>
        <v>0</v>
      </c>
      <c r="BH68" s="342"/>
      <c r="BI68" s="326"/>
      <c r="BJ68" s="322">
        <f t="shared" si="109"/>
        <v>0</v>
      </c>
      <c r="BK68" s="342"/>
      <c r="BL68" s="326"/>
      <c r="BM68" s="322">
        <f t="shared" si="109"/>
        <v>0</v>
      </c>
      <c r="BN68" s="342"/>
      <c r="BO68" s="326"/>
      <c r="BP68" s="322">
        <f t="shared" si="109"/>
        <v>0</v>
      </c>
      <c r="BQ68" s="342"/>
      <c r="BR68" s="326"/>
      <c r="BS68" s="322">
        <f t="shared" si="109"/>
        <v>0</v>
      </c>
      <c r="BT68" s="342"/>
      <c r="BU68" s="326"/>
      <c r="BV68" s="322">
        <f t="shared" si="109"/>
        <v>0</v>
      </c>
      <c r="BW68" s="342"/>
      <c r="BX68" s="326"/>
      <c r="BY68" s="322">
        <f t="shared" si="109"/>
        <v>0</v>
      </c>
      <c r="BZ68" s="342"/>
      <c r="CA68" s="326"/>
      <c r="CB68" s="322">
        <f t="shared" si="108"/>
        <v>0</v>
      </c>
      <c r="CC68" s="342"/>
      <c r="CD68" s="326"/>
      <c r="CE68" s="322">
        <f t="shared" si="108"/>
        <v>0</v>
      </c>
      <c r="CF68" s="342"/>
      <c r="CG68" s="342"/>
      <c r="CH68" s="342"/>
    </row>
    <row r="69" spans="1:86" ht="15" customHeight="1">
      <c r="A69" s="343"/>
      <c r="B69" s="351"/>
      <c r="C69" s="351"/>
      <c r="D69" s="351"/>
      <c r="E69" s="343"/>
      <c r="F69" s="561"/>
      <c r="G69" s="319" t="str">
        <f>CONCATENATE(League!D65,"-",League!K65)</f>
        <v>Pafos-Villarreal</v>
      </c>
      <c r="H69" s="320" t="str">
        <f>CONCATENATE(IF(League!G65&gt;League!H65,1,IF(League!G65&lt;League!H65,2,IF(AND(League!G65=League!H65,League!G65&lt;&gt;"",League!H65&lt;&gt;""),"X",0))),"|",League!G65,"-",League!H65)</f>
        <v>1|1-0</v>
      </c>
      <c r="I69" s="219"/>
      <c r="J69" s="452" t="s">
        <v>161</v>
      </c>
      <c r="K69" s="322">
        <f t="shared" si="103"/>
        <v>0</v>
      </c>
      <c r="L69" s="251"/>
      <c r="M69" s="326" t="s">
        <v>162</v>
      </c>
      <c r="N69" s="322">
        <f t="shared" si="109"/>
        <v>0</v>
      </c>
      <c r="O69" s="251"/>
      <c r="P69" s="326" t="s">
        <v>162</v>
      </c>
      <c r="Q69" s="322">
        <f t="shared" si="109"/>
        <v>0</v>
      </c>
      <c r="R69" s="251"/>
      <c r="S69" s="326" t="s">
        <v>157</v>
      </c>
      <c r="T69" s="322">
        <f t="shared" si="109"/>
        <v>0</v>
      </c>
      <c r="U69" s="251"/>
      <c r="V69" s="326" t="s">
        <v>157</v>
      </c>
      <c r="W69" s="322">
        <f t="shared" si="109"/>
        <v>0</v>
      </c>
      <c r="X69" s="251"/>
      <c r="Y69" s="326" t="s">
        <v>159</v>
      </c>
      <c r="Z69" s="322">
        <f t="shared" si="109"/>
        <v>0</v>
      </c>
      <c r="AA69" s="251"/>
      <c r="AB69" s="326" t="s">
        <v>157</v>
      </c>
      <c r="AC69" s="322">
        <f t="shared" si="109"/>
        <v>0</v>
      </c>
      <c r="AD69" s="251"/>
      <c r="AE69" s="326" t="s">
        <v>173</v>
      </c>
      <c r="AF69" s="322">
        <f t="shared" si="109"/>
        <v>0</v>
      </c>
      <c r="AG69" s="251"/>
      <c r="AH69" s="326" t="s">
        <v>161</v>
      </c>
      <c r="AI69" s="322">
        <f t="shared" si="109"/>
        <v>0</v>
      </c>
      <c r="AJ69" s="251"/>
      <c r="AK69" s="326" t="s">
        <v>159</v>
      </c>
      <c r="AL69" s="322">
        <f t="shared" si="109"/>
        <v>0</v>
      </c>
      <c r="AM69" s="251"/>
      <c r="AN69" s="326" t="s">
        <v>161</v>
      </c>
      <c r="AO69" s="322">
        <f t="shared" si="109"/>
        <v>0</v>
      </c>
      <c r="AP69" s="251"/>
      <c r="AQ69" s="326" t="s">
        <v>162</v>
      </c>
      <c r="AR69" s="322">
        <f t="shared" si="109"/>
        <v>0</v>
      </c>
      <c r="AS69" s="251"/>
      <c r="AT69" s="326" t="s">
        <v>174</v>
      </c>
      <c r="AU69" s="322">
        <f t="shared" si="109"/>
        <v>0</v>
      </c>
      <c r="AV69" s="251"/>
      <c r="AW69" s="326" t="s">
        <v>162</v>
      </c>
      <c r="AX69" s="322">
        <f t="shared" si="109"/>
        <v>0</v>
      </c>
      <c r="AY69" s="251"/>
      <c r="AZ69" s="534" t="s">
        <v>174</v>
      </c>
      <c r="BA69" s="322">
        <f t="shared" si="109"/>
        <v>0</v>
      </c>
      <c r="BB69" s="251"/>
      <c r="BC69" s="326" t="s">
        <v>179</v>
      </c>
      <c r="BD69" s="322">
        <f t="shared" si="109"/>
        <v>0</v>
      </c>
      <c r="BE69" s="251"/>
      <c r="BF69" s="326"/>
      <c r="BG69" s="322">
        <f t="shared" si="109"/>
        <v>0</v>
      </c>
      <c r="BH69" s="251"/>
      <c r="BI69" s="326"/>
      <c r="BJ69" s="322">
        <f t="shared" si="109"/>
        <v>0</v>
      </c>
      <c r="BK69" s="251"/>
      <c r="BL69" s="326"/>
      <c r="BM69" s="322">
        <f t="shared" si="109"/>
        <v>0</v>
      </c>
      <c r="BN69" s="251"/>
      <c r="BO69" s="326"/>
      <c r="BP69" s="322">
        <f t="shared" si="109"/>
        <v>0</v>
      </c>
      <c r="BQ69" s="251"/>
      <c r="BR69" s="326"/>
      <c r="BS69" s="322">
        <f t="shared" si="109"/>
        <v>0</v>
      </c>
      <c r="BT69" s="251"/>
      <c r="BU69" s="326"/>
      <c r="BV69" s="322">
        <f t="shared" si="109"/>
        <v>0</v>
      </c>
      <c r="BW69" s="251"/>
      <c r="BX69" s="326"/>
      <c r="BY69" s="322">
        <f t="shared" si="109"/>
        <v>0</v>
      </c>
      <c r="BZ69" s="251"/>
      <c r="CA69" s="326"/>
      <c r="CB69" s="322">
        <f t="shared" si="108"/>
        <v>0</v>
      </c>
      <c r="CC69" s="251"/>
      <c r="CD69" s="326"/>
      <c r="CE69" s="322">
        <f t="shared" si="108"/>
        <v>0</v>
      </c>
      <c r="CF69" s="251"/>
      <c r="CG69" s="251"/>
      <c r="CH69" s="251"/>
    </row>
    <row r="70" spans="1:86" ht="15" customHeight="1">
      <c r="A70" s="343"/>
      <c r="B70" s="351"/>
      <c r="C70" s="343"/>
      <c r="D70" s="343"/>
      <c r="E70" s="343"/>
      <c r="F70" s="561"/>
      <c r="G70" s="328" t="str">
        <f>CONCATENATE(League!D66,"-",League!K66)</f>
        <v>Qarabağ-Chelsea</v>
      </c>
      <c r="H70" s="320" t="str">
        <f>CONCATENATE(IF(League!G66&gt;League!H66,1,IF(League!G66&lt;League!H66,2,IF(AND(League!G66=League!H66,League!G66&lt;&gt;"",League!H66&lt;&gt;""),"X",0))),"|",League!G66,"-",League!H66)</f>
        <v>X|2-2</v>
      </c>
      <c r="I70" s="219"/>
      <c r="J70" s="452" t="s">
        <v>180</v>
      </c>
      <c r="K70" s="322">
        <f t="shared" ref="K70:K101" si="110">IFERROR(SUM(IF($H70=J70,$D$10),IF(LEFT($H70,1)=LEFT(J70,1),$D$8),IF(MID($H70,FIND("|",$H70)+1,FIND("-",$H70)-FIND("|",$H70)-1)-MID($H70,FIND("-",$H70)+1,11)=MID(J70,FIND("|",J70)+1,FIND("-",J70)-FIND("|",J70)-1)-MID(J70,FIND("-",J70)+1,11),$D$9)),)</f>
        <v>0</v>
      </c>
      <c r="L70" s="251"/>
      <c r="M70" s="326" t="s">
        <v>157</v>
      </c>
      <c r="N70" s="322">
        <f t="shared" si="109"/>
        <v>0</v>
      </c>
      <c r="O70" s="251"/>
      <c r="P70" s="326" t="s">
        <v>177</v>
      </c>
      <c r="Q70" s="322">
        <f t="shared" si="109"/>
        <v>0</v>
      </c>
      <c r="R70" s="251"/>
      <c r="S70" s="326" t="s">
        <v>157</v>
      </c>
      <c r="T70" s="322">
        <f t="shared" si="109"/>
        <v>0</v>
      </c>
      <c r="U70" s="251"/>
      <c r="V70" s="326" t="s">
        <v>177</v>
      </c>
      <c r="W70" s="322">
        <f t="shared" si="109"/>
        <v>0</v>
      </c>
      <c r="X70" s="251"/>
      <c r="Y70" s="326" t="s">
        <v>179</v>
      </c>
      <c r="Z70" s="322">
        <f t="shared" si="109"/>
        <v>0</v>
      </c>
      <c r="AA70" s="251"/>
      <c r="AB70" s="326" t="s">
        <v>179</v>
      </c>
      <c r="AC70" s="322">
        <f t="shared" si="109"/>
        <v>0</v>
      </c>
      <c r="AD70" s="251"/>
      <c r="AE70" s="326" t="s">
        <v>177</v>
      </c>
      <c r="AF70" s="322">
        <f t="shared" si="109"/>
        <v>0</v>
      </c>
      <c r="AG70" s="251"/>
      <c r="AH70" s="326" t="s">
        <v>158</v>
      </c>
      <c r="AI70" s="322">
        <f t="shared" si="109"/>
        <v>2</v>
      </c>
      <c r="AJ70" s="251"/>
      <c r="AK70" s="326" t="s">
        <v>159</v>
      </c>
      <c r="AL70" s="322">
        <f t="shared" si="109"/>
        <v>0</v>
      </c>
      <c r="AM70" s="251"/>
      <c r="AN70" s="326" t="s">
        <v>157</v>
      </c>
      <c r="AO70" s="322">
        <f t="shared" si="109"/>
        <v>0</v>
      </c>
      <c r="AP70" s="251"/>
      <c r="AQ70" s="326" t="s">
        <v>162</v>
      </c>
      <c r="AR70" s="322">
        <f t="shared" si="109"/>
        <v>0</v>
      </c>
      <c r="AS70" s="251"/>
      <c r="AT70" s="326" t="s">
        <v>157</v>
      </c>
      <c r="AU70" s="322">
        <f t="shared" si="109"/>
        <v>0</v>
      </c>
      <c r="AV70" s="251"/>
      <c r="AW70" s="326" t="s">
        <v>161</v>
      </c>
      <c r="AX70" s="322">
        <f t="shared" si="109"/>
        <v>0</v>
      </c>
      <c r="AY70" s="251"/>
      <c r="AZ70" s="534" t="s">
        <v>174</v>
      </c>
      <c r="BA70" s="322">
        <f t="shared" si="109"/>
        <v>0</v>
      </c>
      <c r="BB70" s="251"/>
      <c r="BC70" s="326" t="s">
        <v>177</v>
      </c>
      <c r="BD70" s="322">
        <f t="shared" si="109"/>
        <v>0</v>
      </c>
      <c r="BE70" s="251"/>
      <c r="BF70" s="326"/>
      <c r="BG70" s="322">
        <f t="shared" si="109"/>
        <v>0</v>
      </c>
      <c r="BH70" s="251"/>
      <c r="BI70" s="326"/>
      <c r="BJ70" s="322">
        <f t="shared" si="109"/>
        <v>0</v>
      </c>
      <c r="BK70" s="251"/>
      <c r="BL70" s="326"/>
      <c r="BM70" s="322">
        <f t="shared" si="109"/>
        <v>0</v>
      </c>
      <c r="BN70" s="251"/>
      <c r="BO70" s="326"/>
      <c r="BP70" s="322">
        <f t="shared" si="109"/>
        <v>0</v>
      </c>
      <c r="BQ70" s="251"/>
      <c r="BR70" s="326"/>
      <c r="BS70" s="322">
        <f t="shared" si="109"/>
        <v>0</v>
      </c>
      <c r="BT70" s="251"/>
      <c r="BU70" s="326"/>
      <c r="BV70" s="322">
        <f t="shared" si="109"/>
        <v>0</v>
      </c>
      <c r="BW70" s="251"/>
      <c r="BX70" s="326"/>
      <c r="BY70" s="322">
        <f t="shared" si="109"/>
        <v>0</v>
      </c>
      <c r="BZ70" s="251"/>
      <c r="CA70" s="326"/>
      <c r="CB70" s="322">
        <f t="shared" si="108"/>
        <v>0</v>
      </c>
      <c r="CC70" s="251"/>
      <c r="CD70" s="326"/>
      <c r="CE70" s="322">
        <f t="shared" si="108"/>
        <v>0</v>
      </c>
      <c r="CF70" s="251"/>
      <c r="CG70" s="251"/>
      <c r="CH70" s="251"/>
    </row>
    <row r="71" spans="1:86" ht="15" customHeight="1">
      <c r="A71" s="338"/>
      <c r="B71" s="357"/>
      <c r="C71" s="343"/>
      <c r="D71" s="343"/>
      <c r="E71" s="338"/>
      <c r="F71" s="561"/>
      <c r="G71" s="319" t="str">
        <f>CONCATENATE(League!D67,"-",League!K67)</f>
        <v>Ajax-Galatasaray</v>
      </c>
      <c r="H71" s="320" t="str">
        <f>CONCATENATE(IF(League!G67&gt;League!H67,1,IF(League!G67&lt;League!H67,2,IF(AND(League!G67=League!H67,League!G67&lt;&gt;"",League!H67&lt;&gt;""),"X",0))),"|",League!G67,"-",League!H67)</f>
        <v>2|0-3</v>
      </c>
      <c r="I71" s="339"/>
      <c r="J71" s="452" t="s">
        <v>166</v>
      </c>
      <c r="K71" s="322">
        <f t="shared" si="110"/>
        <v>0</v>
      </c>
      <c r="L71" s="342"/>
      <c r="M71" s="326" t="s">
        <v>164</v>
      </c>
      <c r="N71" s="322">
        <f t="shared" si="109"/>
        <v>0</v>
      </c>
      <c r="O71" s="342"/>
      <c r="P71" s="326" t="s">
        <v>166</v>
      </c>
      <c r="Q71" s="322">
        <f t="shared" si="109"/>
        <v>0</v>
      </c>
      <c r="R71" s="342"/>
      <c r="S71" s="326" t="s">
        <v>170</v>
      </c>
      <c r="T71" s="322">
        <f t="shared" si="109"/>
        <v>0</v>
      </c>
      <c r="U71" s="342"/>
      <c r="V71" s="326" t="s">
        <v>160</v>
      </c>
      <c r="W71" s="322">
        <f t="shared" si="109"/>
        <v>0</v>
      </c>
      <c r="X71" s="342"/>
      <c r="Y71" s="326" t="s">
        <v>167</v>
      </c>
      <c r="Z71" s="322">
        <f t="shared" si="109"/>
        <v>0</v>
      </c>
      <c r="AA71" s="342"/>
      <c r="AB71" s="326" t="s">
        <v>166</v>
      </c>
      <c r="AC71" s="322">
        <f t="shared" si="109"/>
        <v>0</v>
      </c>
      <c r="AD71" s="342"/>
      <c r="AE71" s="326" t="s">
        <v>169</v>
      </c>
      <c r="AF71" s="322">
        <f t="shared" si="109"/>
        <v>0</v>
      </c>
      <c r="AG71" s="342"/>
      <c r="AH71" s="326" t="s">
        <v>167</v>
      </c>
      <c r="AI71" s="322">
        <f t="shared" si="109"/>
        <v>0</v>
      </c>
      <c r="AJ71" s="342"/>
      <c r="AK71" s="326" t="s">
        <v>167</v>
      </c>
      <c r="AL71" s="322">
        <f t="shared" si="109"/>
        <v>0</v>
      </c>
      <c r="AM71" s="342"/>
      <c r="AN71" s="326" t="s">
        <v>166</v>
      </c>
      <c r="AO71" s="322">
        <f t="shared" si="109"/>
        <v>0</v>
      </c>
      <c r="AP71" s="342"/>
      <c r="AQ71" s="326" t="s">
        <v>161</v>
      </c>
      <c r="AR71" s="322">
        <f t="shared" si="109"/>
        <v>2</v>
      </c>
      <c r="AS71" s="342"/>
      <c r="AT71" s="326" t="s">
        <v>166</v>
      </c>
      <c r="AU71" s="322">
        <f t="shared" si="109"/>
        <v>0</v>
      </c>
      <c r="AV71" s="342"/>
      <c r="AW71" s="326" t="s">
        <v>161</v>
      </c>
      <c r="AX71" s="322">
        <f t="shared" si="109"/>
        <v>2</v>
      </c>
      <c r="AY71" s="342"/>
      <c r="AZ71" s="534" t="s">
        <v>158</v>
      </c>
      <c r="BA71" s="322">
        <f t="shared" si="109"/>
        <v>0</v>
      </c>
      <c r="BB71" s="342"/>
      <c r="BC71" s="326" t="s">
        <v>161</v>
      </c>
      <c r="BD71" s="322">
        <f t="shared" si="109"/>
        <v>2</v>
      </c>
      <c r="BE71" s="342"/>
      <c r="BF71" s="326"/>
      <c r="BG71" s="322">
        <f t="shared" si="109"/>
        <v>0</v>
      </c>
      <c r="BH71" s="342"/>
      <c r="BI71" s="326"/>
      <c r="BJ71" s="322">
        <f t="shared" si="109"/>
        <v>0</v>
      </c>
      <c r="BK71" s="342"/>
      <c r="BL71" s="326"/>
      <c r="BM71" s="322">
        <f t="shared" si="109"/>
        <v>0</v>
      </c>
      <c r="BN71" s="342"/>
      <c r="BO71" s="326"/>
      <c r="BP71" s="322">
        <f t="shared" si="109"/>
        <v>0</v>
      </c>
      <c r="BQ71" s="342"/>
      <c r="BR71" s="326"/>
      <c r="BS71" s="322">
        <f t="shared" si="109"/>
        <v>0</v>
      </c>
      <c r="BT71" s="342"/>
      <c r="BU71" s="326"/>
      <c r="BV71" s="322">
        <f t="shared" si="109"/>
        <v>0</v>
      </c>
      <c r="BW71" s="342"/>
      <c r="BX71" s="326"/>
      <c r="BY71" s="322">
        <f t="shared" si="109"/>
        <v>0</v>
      </c>
      <c r="BZ71" s="342"/>
      <c r="CA71" s="326"/>
      <c r="CB71" s="322">
        <f t="shared" si="108"/>
        <v>0</v>
      </c>
      <c r="CC71" s="342"/>
      <c r="CD71" s="326"/>
      <c r="CE71" s="322">
        <f t="shared" si="108"/>
        <v>0</v>
      </c>
      <c r="CF71" s="342"/>
      <c r="CG71" s="342"/>
      <c r="CH71" s="342"/>
    </row>
    <row r="72" spans="1:86" ht="15" customHeight="1">
      <c r="A72" s="343"/>
      <c r="B72" s="351"/>
      <c r="C72" s="338"/>
      <c r="D72" s="338"/>
      <c r="E72" s="343"/>
      <c r="F72" s="561"/>
      <c r="G72" s="328" t="str">
        <f>CONCATENATE(League!D68,"-",League!K68)</f>
        <v>Brugge-Barcelona</v>
      </c>
      <c r="H72" s="320" t="str">
        <f>CONCATENATE(IF(League!G68&gt;League!H68,1,IF(League!G68&lt;League!H68,2,IF(AND(League!G68=League!H68,League!G68&lt;&gt;"",League!H68&lt;&gt;""),"X",0))),"|",League!G68,"-",League!H68)</f>
        <v>X|3-3</v>
      </c>
      <c r="I72" s="219"/>
      <c r="J72" s="452" t="s">
        <v>179</v>
      </c>
      <c r="K72" s="322">
        <f t="shared" si="110"/>
        <v>0</v>
      </c>
      <c r="L72" s="251"/>
      <c r="M72" s="326" t="s">
        <v>157</v>
      </c>
      <c r="N72" s="322">
        <f t="shared" si="109"/>
        <v>0</v>
      </c>
      <c r="O72" s="251"/>
      <c r="P72" s="326" t="s">
        <v>162</v>
      </c>
      <c r="Q72" s="322">
        <f t="shared" si="109"/>
        <v>0</v>
      </c>
      <c r="R72" s="251"/>
      <c r="S72" s="326" t="s">
        <v>162</v>
      </c>
      <c r="T72" s="322">
        <f t="shared" si="109"/>
        <v>0</v>
      </c>
      <c r="U72" s="251"/>
      <c r="V72" s="326" t="s">
        <v>173</v>
      </c>
      <c r="W72" s="322">
        <f t="shared" si="109"/>
        <v>0</v>
      </c>
      <c r="X72" s="251"/>
      <c r="Y72" s="326" t="s">
        <v>179</v>
      </c>
      <c r="Z72" s="322">
        <f t="shared" si="109"/>
        <v>0</v>
      </c>
      <c r="AA72" s="251"/>
      <c r="AB72" s="326" t="s">
        <v>161</v>
      </c>
      <c r="AC72" s="322">
        <f t="shared" si="109"/>
        <v>0</v>
      </c>
      <c r="AD72" s="251"/>
      <c r="AE72" s="326" t="s">
        <v>157</v>
      </c>
      <c r="AF72" s="322">
        <f t="shared" si="109"/>
        <v>0</v>
      </c>
      <c r="AG72" s="251"/>
      <c r="AH72" s="326" t="s">
        <v>173</v>
      </c>
      <c r="AI72" s="322">
        <f t="shared" si="109"/>
        <v>0</v>
      </c>
      <c r="AJ72" s="251"/>
      <c r="AK72" s="326" t="s">
        <v>159</v>
      </c>
      <c r="AL72" s="322">
        <f t="shared" si="109"/>
        <v>0</v>
      </c>
      <c r="AM72" s="251"/>
      <c r="AN72" s="326" t="s">
        <v>157</v>
      </c>
      <c r="AO72" s="322">
        <f t="shared" si="109"/>
        <v>0</v>
      </c>
      <c r="AP72" s="251"/>
      <c r="AQ72" s="326" t="s">
        <v>157</v>
      </c>
      <c r="AR72" s="322">
        <f t="shared" si="109"/>
        <v>0</v>
      </c>
      <c r="AS72" s="251"/>
      <c r="AT72" s="326" t="s">
        <v>161</v>
      </c>
      <c r="AU72" s="322">
        <f t="shared" si="109"/>
        <v>0</v>
      </c>
      <c r="AV72" s="251"/>
      <c r="AW72" s="326" t="s">
        <v>157</v>
      </c>
      <c r="AX72" s="322">
        <f t="shared" si="109"/>
        <v>0</v>
      </c>
      <c r="AY72" s="251"/>
      <c r="AZ72" s="534" t="s">
        <v>159</v>
      </c>
      <c r="BA72" s="322">
        <f t="shared" si="109"/>
        <v>0</v>
      </c>
      <c r="BB72" s="251"/>
      <c r="BC72" s="326" t="s">
        <v>177</v>
      </c>
      <c r="BD72" s="322">
        <f t="shared" si="109"/>
        <v>0</v>
      </c>
      <c r="BE72" s="251"/>
      <c r="BF72" s="326"/>
      <c r="BG72" s="322">
        <f t="shared" si="109"/>
        <v>0</v>
      </c>
      <c r="BH72" s="251"/>
      <c r="BI72" s="326"/>
      <c r="BJ72" s="322">
        <f t="shared" si="109"/>
        <v>0</v>
      </c>
      <c r="BK72" s="251"/>
      <c r="BL72" s="326"/>
      <c r="BM72" s="322">
        <f t="shared" si="109"/>
        <v>0</v>
      </c>
      <c r="BN72" s="251"/>
      <c r="BO72" s="326"/>
      <c r="BP72" s="322">
        <f t="shared" si="109"/>
        <v>0</v>
      </c>
      <c r="BQ72" s="251"/>
      <c r="BR72" s="326"/>
      <c r="BS72" s="322">
        <f t="shared" si="109"/>
        <v>0</v>
      </c>
      <c r="BT72" s="251"/>
      <c r="BU72" s="326"/>
      <c r="BV72" s="322">
        <f t="shared" si="109"/>
        <v>0</v>
      </c>
      <c r="BW72" s="251"/>
      <c r="BX72" s="326"/>
      <c r="BY72" s="322">
        <f t="shared" si="109"/>
        <v>0</v>
      </c>
      <c r="BZ72" s="251"/>
      <c r="CA72" s="326"/>
      <c r="CB72" s="322">
        <f t="shared" si="108"/>
        <v>0</v>
      </c>
      <c r="CC72" s="251"/>
      <c r="CD72" s="326"/>
      <c r="CE72" s="322">
        <f t="shared" si="108"/>
        <v>0</v>
      </c>
      <c r="CF72" s="251"/>
      <c r="CG72" s="251"/>
      <c r="CH72" s="251"/>
    </row>
    <row r="73" spans="1:86" ht="15" customHeight="1">
      <c r="A73" s="343"/>
      <c r="B73" s="351"/>
      <c r="C73" s="343"/>
      <c r="D73" s="343"/>
      <c r="E73" s="343"/>
      <c r="F73" s="561"/>
      <c r="G73" s="319" t="str">
        <f>CONCATENATE(League!D69,"-",League!K69)</f>
        <v>Inter Milan-Kairat Almaty </v>
      </c>
      <c r="H73" s="320" t="str">
        <f>CONCATENATE(IF(League!G69&gt;League!H69,1,IF(League!G69&lt;League!H69,2,IF(AND(League!G69=League!H69,League!G69&lt;&gt;"",League!H69&lt;&gt;""),"X",0))),"|",League!G69,"-",League!H69)</f>
        <v>1|2-1</v>
      </c>
      <c r="I73" s="219"/>
      <c r="J73" s="452" t="s">
        <v>172</v>
      </c>
      <c r="K73" s="322">
        <f t="shared" si="110"/>
        <v>2</v>
      </c>
      <c r="L73" s="251"/>
      <c r="M73" s="326" t="s">
        <v>167</v>
      </c>
      <c r="N73" s="322">
        <f t="shared" si="109"/>
        <v>2</v>
      </c>
      <c r="O73" s="251"/>
      <c r="P73" s="326" t="s">
        <v>167</v>
      </c>
      <c r="Q73" s="322">
        <f t="shared" si="109"/>
        <v>2</v>
      </c>
      <c r="R73" s="251"/>
      <c r="S73" s="326" t="s">
        <v>165</v>
      </c>
      <c r="T73" s="322">
        <f t="shared" si="109"/>
        <v>2</v>
      </c>
      <c r="U73" s="251"/>
      <c r="V73" s="326" t="s">
        <v>164</v>
      </c>
      <c r="W73" s="322">
        <f t="shared" si="109"/>
        <v>2</v>
      </c>
      <c r="X73" s="251"/>
      <c r="Y73" s="326" t="s">
        <v>165</v>
      </c>
      <c r="Z73" s="322">
        <f t="shared" si="109"/>
        <v>2</v>
      </c>
      <c r="AA73" s="251"/>
      <c r="AB73" s="326" t="s">
        <v>163</v>
      </c>
      <c r="AC73" s="322">
        <f t="shared" si="109"/>
        <v>2</v>
      </c>
      <c r="AD73" s="251"/>
      <c r="AE73" s="326" t="s">
        <v>167</v>
      </c>
      <c r="AF73" s="322">
        <f t="shared" si="109"/>
        <v>2</v>
      </c>
      <c r="AG73" s="251"/>
      <c r="AH73" s="326" t="s">
        <v>167</v>
      </c>
      <c r="AI73" s="322">
        <f t="shared" si="109"/>
        <v>2</v>
      </c>
      <c r="AJ73" s="251"/>
      <c r="AK73" s="326" t="s">
        <v>163</v>
      </c>
      <c r="AL73" s="322">
        <f t="shared" si="109"/>
        <v>2</v>
      </c>
      <c r="AM73" s="251"/>
      <c r="AN73" s="326" t="s">
        <v>165</v>
      </c>
      <c r="AO73" s="322">
        <f t="shared" si="109"/>
        <v>2</v>
      </c>
      <c r="AP73" s="251"/>
      <c r="AQ73" s="326" t="s">
        <v>165</v>
      </c>
      <c r="AR73" s="322">
        <f t="shared" si="109"/>
        <v>2</v>
      </c>
      <c r="AS73" s="251"/>
      <c r="AT73" s="326" t="s">
        <v>167</v>
      </c>
      <c r="AU73" s="322">
        <f t="shared" si="109"/>
        <v>2</v>
      </c>
      <c r="AV73" s="251"/>
      <c r="AW73" s="326" t="s">
        <v>166</v>
      </c>
      <c r="AX73" s="322">
        <f t="shared" si="109"/>
        <v>5</v>
      </c>
      <c r="AY73" s="251"/>
      <c r="AZ73" s="534" t="s">
        <v>165</v>
      </c>
      <c r="BA73" s="322">
        <f t="shared" si="109"/>
        <v>2</v>
      </c>
      <c r="BB73" s="251"/>
      <c r="BC73" s="326" t="s">
        <v>165</v>
      </c>
      <c r="BD73" s="322">
        <f t="shared" si="109"/>
        <v>2</v>
      </c>
      <c r="BE73" s="251"/>
      <c r="BF73" s="326"/>
      <c r="BG73" s="322">
        <f t="shared" si="109"/>
        <v>0</v>
      </c>
      <c r="BH73" s="251"/>
      <c r="BI73" s="326"/>
      <c r="BJ73" s="322">
        <f t="shared" si="109"/>
        <v>0</v>
      </c>
      <c r="BK73" s="251"/>
      <c r="BL73" s="326"/>
      <c r="BM73" s="322">
        <f t="shared" si="109"/>
        <v>0</v>
      </c>
      <c r="BN73" s="251"/>
      <c r="BO73" s="326"/>
      <c r="BP73" s="322">
        <f t="shared" si="109"/>
        <v>0</v>
      </c>
      <c r="BQ73" s="251"/>
      <c r="BR73" s="326"/>
      <c r="BS73" s="322">
        <f t="shared" si="109"/>
        <v>0</v>
      </c>
      <c r="BT73" s="251"/>
      <c r="BU73" s="326"/>
      <c r="BV73" s="322">
        <f t="shared" si="109"/>
        <v>0</v>
      </c>
      <c r="BW73" s="251"/>
      <c r="BX73" s="326"/>
      <c r="BY73" s="322">
        <f t="shared" si="109"/>
        <v>0</v>
      </c>
      <c r="BZ73" s="251"/>
      <c r="CA73" s="326"/>
      <c r="CB73" s="322">
        <f t="shared" si="108"/>
        <v>0</v>
      </c>
      <c r="CC73" s="251"/>
      <c r="CD73" s="326"/>
      <c r="CE73" s="322">
        <f t="shared" si="108"/>
        <v>0</v>
      </c>
      <c r="CF73" s="251"/>
      <c r="CG73" s="251"/>
      <c r="CH73" s="251"/>
    </row>
    <row r="74" spans="1:86" ht="15" customHeight="1">
      <c r="A74" s="343"/>
      <c r="B74" s="351"/>
      <c r="C74" s="345"/>
      <c r="D74" s="345"/>
      <c r="E74" s="343"/>
      <c r="F74" s="561"/>
      <c r="G74" s="328" t="str">
        <f>CONCATENATE(League!D70,"-",League!K70)</f>
        <v>Manchester City-Borussia Dortmund</v>
      </c>
      <c r="H74" s="320" t="str">
        <f>CONCATENATE(IF(League!G70&gt;League!H70,1,IF(League!G70&lt;League!H70,2,IF(AND(League!G70=League!H70,League!G70&lt;&gt;"",League!H70&lt;&gt;""),"X",0))),"|",League!G70,"-",League!H70)</f>
        <v>1|4-1</v>
      </c>
      <c r="I74" s="219"/>
      <c r="J74" s="452" t="s">
        <v>170</v>
      </c>
      <c r="K74" s="322">
        <f t="shared" si="110"/>
        <v>2</v>
      </c>
      <c r="L74" s="251"/>
      <c r="M74" s="326" t="s">
        <v>166</v>
      </c>
      <c r="N74" s="322">
        <f t="shared" si="109"/>
        <v>2</v>
      </c>
      <c r="O74" s="251"/>
      <c r="P74" s="326" t="s">
        <v>166</v>
      </c>
      <c r="Q74" s="322">
        <f t="shared" si="109"/>
        <v>2</v>
      </c>
      <c r="R74" s="251"/>
      <c r="S74" s="326" t="s">
        <v>165</v>
      </c>
      <c r="T74" s="322">
        <f t="shared" si="109"/>
        <v>2</v>
      </c>
      <c r="U74" s="251"/>
      <c r="V74" s="326" t="s">
        <v>160</v>
      </c>
      <c r="W74" s="322">
        <f t="shared" si="109"/>
        <v>0</v>
      </c>
      <c r="X74" s="251"/>
      <c r="Y74" s="326" t="s">
        <v>169</v>
      </c>
      <c r="Z74" s="322">
        <f t="shared" si="109"/>
        <v>2</v>
      </c>
      <c r="AA74" s="251"/>
      <c r="AB74" s="326" t="s">
        <v>170</v>
      </c>
      <c r="AC74" s="322">
        <f t="shared" si="109"/>
        <v>2</v>
      </c>
      <c r="AD74" s="251"/>
      <c r="AE74" s="326" t="s">
        <v>169</v>
      </c>
      <c r="AF74" s="322">
        <f t="shared" si="109"/>
        <v>2</v>
      </c>
      <c r="AG74" s="251"/>
      <c r="AH74" s="326" t="s">
        <v>165</v>
      </c>
      <c r="AI74" s="322">
        <f t="shared" si="109"/>
        <v>2</v>
      </c>
      <c r="AJ74" s="251"/>
      <c r="AK74" s="326" t="s">
        <v>165</v>
      </c>
      <c r="AL74" s="322">
        <f t="shared" si="109"/>
        <v>2</v>
      </c>
      <c r="AM74" s="251"/>
      <c r="AN74" s="326" t="s">
        <v>166</v>
      </c>
      <c r="AO74" s="322">
        <f t="shared" si="109"/>
        <v>2</v>
      </c>
      <c r="AP74" s="251"/>
      <c r="AQ74" s="326" t="s">
        <v>166</v>
      </c>
      <c r="AR74" s="322">
        <f t="shared" si="109"/>
        <v>2</v>
      </c>
      <c r="AS74" s="251"/>
      <c r="AT74" s="326" t="s">
        <v>166</v>
      </c>
      <c r="AU74" s="322">
        <f t="shared" si="109"/>
        <v>2</v>
      </c>
      <c r="AV74" s="251"/>
      <c r="AW74" s="326" t="s">
        <v>170</v>
      </c>
      <c r="AX74" s="322">
        <f t="shared" si="109"/>
        <v>2</v>
      </c>
      <c r="AY74" s="251"/>
      <c r="AZ74" s="534" t="s">
        <v>166</v>
      </c>
      <c r="BA74" s="322">
        <f t="shared" si="109"/>
        <v>2</v>
      </c>
      <c r="BB74" s="251"/>
      <c r="BC74" s="326" t="s">
        <v>170</v>
      </c>
      <c r="BD74" s="322">
        <f t="shared" si="109"/>
        <v>2</v>
      </c>
      <c r="BE74" s="251"/>
      <c r="BF74" s="326"/>
      <c r="BG74" s="322">
        <f t="shared" si="109"/>
        <v>0</v>
      </c>
      <c r="BH74" s="251"/>
      <c r="BI74" s="326"/>
      <c r="BJ74" s="322">
        <f t="shared" si="109"/>
        <v>0</v>
      </c>
      <c r="BK74" s="251"/>
      <c r="BL74" s="326"/>
      <c r="BM74" s="322">
        <f t="shared" si="109"/>
        <v>0</v>
      </c>
      <c r="BN74" s="251"/>
      <c r="BO74" s="326"/>
      <c r="BP74" s="322">
        <f t="shared" si="109"/>
        <v>0</v>
      </c>
      <c r="BQ74" s="251"/>
      <c r="BR74" s="326"/>
      <c r="BS74" s="322">
        <f t="shared" si="109"/>
        <v>0</v>
      </c>
      <c r="BT74" s="251"/>
      <c r="BU74" s="326"/>
      <c r="BV74" s="322">
        <f t="shared" si="109"/>
        <v>0</v>
      </c>
      <c r="BW74" s="251"/>
      <c r="BX74" s="326"/>
      <c r="BY74" s="322">
        <f t="shared" si="109"/>
        <v>0</v>
      </c>
      <c r="BZ74" s="251"/>
      <c r="CA74" s="326"/>
      <c r="CB74" s="322">
        <f t="shared" si="108"/>
        <v>0</v>
      </c>
      <c r="CC74" s="251"/>
      <c r="CD74" s="326"/>
      <c r="CE74" s="322">
        <f t="shared" si="108"/>
        <v>0</v>
      </c>
      <c r="CF74" s="251"/>
      <c r="CG74" s="251"/>
      <c r="CH74" s="251"/>
    </row>
    <row r="75" spans="1:86" ht="15" customHeight="1">
      <c r="A75" s="338"/>
      <c r="B75" s="357"/>
      <c r="C75" s="366"/>
      <c r="D75" s="366"/>
      <c r="E75" s="338"/>
      <c r="F75" s="561"/>
      <c r="G75" s="319" t="str">
        <f>CONCATENATE(League!D71,"-",League!K71)</f>
        <v>Newcastle-Athletic Bilbao</v>
      </c>
      <c r="H75" s="320" t="str">
        <f>CONCATENATE(IF(League!G71&gt;League!H71,1,IF(League!G71&lt;League!H71,2,IF(AND(League!G71=League!H71,League!G71&lt;&gt;"",League!H71&lt;&gt;""),"X",0))),"|",League!G71,"-",League!H71)</f>
        <v>1|2-0</v>
      </c>
      <c r="I75" s="339"/>
      <c r="J75" s="452" t="s">
        <v>158</v>
      </c>
      <c r="K75" s="322">
        <f t="shared" si="110"/>
        <v>0</v>
      </c>
      <c r="L75" s="342"/>
      <c r="M75" s="326" t="s">
        <v>158</v>
      </c>
      <c r="N75" s="322">
        <f t="shared" si="109"/>
        <v>0</v>
      </c>
      <c r="O75" s="342"/>
      <c r="P75" s="326" t="s">
        <v>161</v>
      </c>
      <c r="Q75" s="322">
        <f t="shared" si="109"/>
        <v>0</v>
      </c>
      <c r="R75" s="342"/>
      <c r="S75" s="326" t="s">
        <v>160</v>
      </c>
      <c r="T75" s="322">
        <f t="shared" si="109"/>
        <v>0</v>
      </c>
      <c r="U75" s="342"/>
      <c r="V75" s="326" t="s">
        <v>158</v>
      </c>
      <c r="W75" s="322">
        <f t="shared" si="109"/>
        <v>0</v>
      </c>
      <c r="X75" s="342"/>
      <c r="Y75" s="326" t="s">
        <v>166</v>
      </c>
      <c r="Z75" s="322">
        <f t="shared" si="109"/>
        <v>2</v>
      </c>
      <c r="AA75" s="342"/>
      <c r="AB75" s="326" t="s">
        <v>174</v>
      </c>
      <c r="AC75" s="322">
        <f t="shared" si="109"/>
        <v>0</v>
      </c>
      <c r="AD75" s="342"/>
      <c r="AE75" s="326" t="s">
        <v>169</v>
      </c>
      <c r="AF75" s="322">
        <f t="shared" si="109"/>
        <v>2</v>
      </c>
      <c r="AG75" s="342"/>
      <c r="AH75" s="326" t="s">
        <v>170</v>
      </c>
      <c r="AI75" s="322">
        <f t="shared" si="109"/>
        <v>2</v>
      </c>
      <c r="AJ75" s="342"/>
      <c r="AK75" s="326" t="s">
        <v>167</v>
      </c>
      <c r="AL75" s="322">
        <f t="shared" si="109"/>
        <v>5</v>
      </c>
      <c r="AM75" s="342"/>
      <c r="AN75" s="326" t="s">
        <v>170</v>
      </c>
      <c r="AO75" s="322">
        <f t="shared" si="109"/>
        <v>2</v>
      </c>
      <c r="AP75" s="342"/>
      <c r="AQ75" s="326" t="s">
        <v>167</v>
      </c>
      <c r="AR75" s="322">
        <f t="shared" si="109"/>
        <v>5</v>
      </c>
      <c r="AS75" s="342"/>
      <c r="AT75" s="326" t="s">
        <v>158</v>
      </c>
      <c r="AU75" s="322">
        <f t="shared" si="109"/>
        <v>0</v>
      </c>
      <c r="AV75" s="342"/>
      <c r="AW75" s="326" t="s">
        <v>166</v>
      </c>
      <c r="AX75" s="322">
        <f t="shared" si="109"/>
        <v>2</v>
      </c>
      <c r="AY75" s="342"/>
      <c r="AZ75" s="534" t="s">
        <v>160</v>
      </c>
      <c r="BA75" s="322">
        <f t="shared" si="109"/>
        <v>0</v>
      </c>
      <c r="BB75" s="342"/>
      <c r="BC75" s="326" t="s">
        <v>157</v>
      </c>
      <c r="BD75" s="322">
        <f t="shared" si="109"/>
        <v>0</v>
      </c>
      <c r="BE75" s="342"/>
      <c r="BF75" s="326"/>
      <c r="BG75" s="322">
        <f t="shared" si="109"/>
        <v>0</v>
      </c>
      <c r="BH75" s="342"/>
      <c r="BI75" s="326"/>
      <c r="BJ75" s="322">
        <f t="shared" si="109"/>
        <v>0</v>
      </c>
      <c r="BK75" s="342"/>
      <c r="BL75" s="326"/>
      <c r="BM75" s="322">
        <f t="shared" si="109"/>
        <v>0</v>
      </c>
      <c r="BN75" s="342"/>
      <c r="BO75" s="326"/>
      <c r="BP75" s="322">
        <f t="shared" si="109"/>
        <v>0</v>
      </c>
      <c r="BQ75" s="342"/>
      <c r="BR75" s="326"/>
      <c r="BS75" s="322">
        <f t="shared" si="109"/>
        <v>0</v>
      </c>
      <c r="BT75" s="342"/>
      <c r="BU75" s="326"/>
      <c r="BV75" s="322">
        <f t="shared" si="109"/>
        <v>0</v>
      </c>
      <c r="BW75" s="342"/>
      <c r="BX75" s="326"/>
      <c r="BY75" s="322">
        <f t="shared" si="109"/>
        <v>0</v>
      </c>
      <c r="BZ75" s="342"/>
      <c r="CA75" s="326"/>
      <c r="CB75" s="322">
        <f t="shared" si="108"/>
        <v>0</v>
      </c>
      <c r="CC75" s="342"/>
      <c r="CD75" s="326"/>
      <c r="CE75" s="322">
        <f t="shared" si="108"/>
        <v>0</v>
      </c>
      <c r="CF75" s="342"/>
      <c r="CG75" s="342"/>
      <c r="CH75" s="342"/>
    </row>
    <row r="76" spans="1:86" ht="15" customHeight="1">
      <c r="A76" s="343"/>
      <c r="B76" s="351"/>
      <c r="C76" s="345"/>
      <c r="D76" s="345"/>
      <c r="E76" s="343"/>
      <c r="F76" s="561"/>
      <c r="G76" s="328" t="str">
        <f>CONCATENATE(League!D72,"-",League!K72)</f>
        <v>Marseille-Atalanta</v>
      </c>
      <c r="H76" s="320" t="str">
        <f>CONCATENATE(IF(League!G72&gt;League!H72,1,IF(League!G72&lt;League!H72,2,IF(AND(League!G72=League!H72,League!G72&lt;&gt;"",League!H72&lt;&gt;""),"X",0))),"|",League!G72,"-",League!H72)</f>
        <v>2|0-1</v>
      </c>
      <c r="I76" s="219"/>
      <c r="J76" s="452" t="s">
        <v>169</v>
      </c>
      <c r="K76" s="322">
        <f t="shared" si="110"/>
        <v>0</v>
      </c>
      <c r="L76" s="251"/>
      <c r="M76" s="326" t="s">
        <v>160</v>
      </c>
      <c r="N76" s="322">
        <f t="shared" si="109"/>
        <v>0</v>
      </c>
      <c r="O76" s="251"/>
      <c r="P76" s="326" t="s">
        <v>168</v>
      </c>
      <c r="Q76" s="322">
        <f t="shared" si="109"/>
        <v>0</v>
      </c>
      <c r="R76" s="251"/>
      <c r="S76" s="326" t="s">
        <v>164</v>
      </c>
      <c r="T76" s="322">
        <f t="shared" si="109"/>
        <v>0</v>
      </c>
      <c r="U76" s="251"/>
      <c r="V76" s="326" t="s">
        <v>167</v>
      </c>
      <c r="W76" s="322">
        <f t="shared" si="109"/>
        <v>0</v>
      </c>
      <c r="X76" s="251"/>
      <c r="Y76" s="326" t="s">
        <v>167</v>
      </c>
      <c r="Z76" s="322">
        <f t="shared" si="109"/>
        <v>0</v>
      </c>
      <c r="AA76" s="251"/>
      <c r="AB76" s="326" t="s">
        <v>164</v>
      </c>
      <c r="AC76" s="322">
        <f t="shared" si="109"/>
        <v>0</v>
      </c>
      <c r="AD76" s="251"/>
      <c r="AE76" s="326" t="s">
        <v>160</v>
      </c>
      <c r="AF76" s="322">
        <f t="shared" si="109"/>
        <v>0</v>
      </c>
      <c r="AG76" s="251"/>
      <c r="AH76" s="326" t="s">
        <v>167</v>
      </c>
      <c r="AI76" s="322">
        <f t="shared" si="109"/>
        <v>0</v>
      </c>
      <c r="AJ76" s="251"/>
      <c r="AK76" s="326" t="s">
        <v>162</v>
      </c>
      <c r="AL76" s="322">
        <f t="shared" si="109"/>
        <v>2</v>
      </c>
      <c r="AM76" s="251"/>
      <c r="AN76" s="326" t="s">
        <v>161</v>
      </c>
      <c r="AO76" s="322">
        <f t="shared" si="109"/>
        <v>2</v>
      </c>
      <c r="AP76" s="251"/>
      <c r="AQ76" s="326" t="s">
        <v>161</v>
      </c>
      <c r="AR76" s="322">
        <f t="shared" si="109"/>
        <v>2</v>
      </c>
      <c r="AS76" s="251"/>
      <c r="AT76" s="326" t="s">
        <v>161</v>
      </c>
      <c r="AU76" s="322">
        <f t="shared" si="109"/>
        <v>2</v>
      </c>
      <c r="AV76" s="251"/>
      <c r="AW76" s="326" t="s">
        <v>161</v>
      </c>
      <c r="AX76" s="322">
        <f t="shared" si="109"/>
        <v>2</v>
      </c>
      <c r="AY76" s="251"/>
      <c r="AZ76" s="534" t="s">
        <v>158</v>
      </c>
      <c r="BA76" s="322">
        <f t="shared" si="109"/>
        <v>0</v>
      </c>
      <c r="BB76" s="251"/>
      <c r="BC76" s="326" t="s">
        <v>158</v>
      </c>
      <c r="BD76" s="322">
        <f t="shared" si="109"/>
        <v>0</v>
      </c>
      <c r="BE76" s="251"/>
      <c r="BF76" s="326"/>
      <c r="BG76" s="322">
        <f t="shared" si="109"/>
        <v>0</v>
      </c>
      <c r="BH76" s="251"/>
      <c r="BI76" s="326"/>
      <c r="BJ76" s="322">
        <f t="shared" si="109"/>
        <v>0</v>
      </c>
      <c r="BK76" s="251"/>
      <c r="BL76" s="326"/>
      <c r="BM76" s="322">
        <f t="shared" si="109"/>
        <v>0</v>
      </c>
      <c r="BN76" s="251"/>
      <c r="BO76" s="326"/>
      <c r="BP76" s="322">
        <f t="shared" si="109"/>
        <v>0</v>
      </c>
      <c r="BQ76" s="251"/>
      <c r="BR76" s="326"/>
      <c r="BS76" s="322">
        <f t="shared" si="109"/>
        <v>0</v>
      </c>
      <c r="BT76" s="251"/>
      <c r="BU76" s="326"/>
      <c r="BV76" s="322">
        <f t="shared" si="109"/>
        <v>0</v>
      </c>
      <c r="BW76" s="251"/>
      <c r="BX76" s="326"/>
      <c r="BY76" s="322">
        <f t="shared" si="109"/>
        <v>0</v>
      </c>
      <c r="BZ76" s="251"/>
      <c r="CA76" s="326"/>
      <c r="CB76" s="322">
        <f t="shared" si="108"/>
        <v>0</v>
      </c>
      <c r="CC76" s="251"/>
      <c r="CD76" s="326"/>
      <c r="CE76" s="322">
        <f t="shared" si="108"/>
        <v>0</v>
      </c>
      <c r="CF76" s="251"/>
      <c r="CG76" s="251"/>
      <c r="CH76" s="251"/>
    </row>
    <row r="77" spans="1:86" ht="15" customHeight="1">
      <c r="A77" s="343"/>
      <c r="B77" s="351"/>
      <c r="C77" s="345"/>
      <c r="D77" s="345"/>
      <c r="E77" s="345"/>
      <c r="F77" s="561"/>
      <c r="G77" s="334" t="str">
        <f>CONCATENATE(League!D73,"-",League!K73)</f>
        <v>Benfica-Bayer Leverkusen</v>
      </c>
      <c r="H77" s="335" t="str">
        <f>CONCATENATE(IF(League!G73&gt;League!H73,1,IF(League!G73&lt;League!H73,2,IF(AND(League!G73=League!H73,League!G73&lt;&gt;"",League!H73&lt;&gt;""),"X",0))),"|",League!G73,"-",League!H73)</f>
        <v>2|0-1</v>
      </c>
      <c r="I77" s="219"/>
      <c r="J77" s="455" t="s">
        <v>158</v>
      </c>
      <c r="K77" s="337">
        <f t="shared" si="110"/>
        <v>0</v>
      </c>
      <c r="L77" s="251"/>
      <c r="M77" s="336" t="s">
        <v>160</v>
      </c>
      <c r="N77" s="337">
        <f t="shared" si="109"/>
        <v>0</v>
      </c>
      <c r="O77" s="251"/>
      <c r="P77" s="336" t="s">
        <v>164</v>
      </c>
      <c r="Q77" s="337">
        <f t="shared" si="109"/>
        <v>0</v>
      </c>
      <c r="R77" s="251"/>
      <c r="S77" s="336" t="s">
        <v>170</v>
      </c>
      <c r="T77" s="337">
        <f t="shared" si="109"/>
        <v>0</v>
      </c>
      <c r="U77" s="251"/>
      <c r="V77" s="336" t="s">
        <v>169</v>
      </c>
      <c r="W77" s="337">
        <f t="shared" si="109"/>
        <v>0</v>
      </c>
      <c r="X77" s="251"/>
      <c r="Y77" s="336" t="s">
        <v>169</v>
      </c>
      <c r="Z77" s="337">
        <f t="shared" si="109"/>
        <v>0</v>
      </c>
      <c r="AA77" s="251"/>
      <c r="AB77" s="336" t="s">
        <v>166</v>
      </c>
      <c r="AC77" s="337">
        <f t="shared" si="109"/>
        <v>0</v>
      </c>
      <c r="AD77" s="251"/>
      <c r="AE77" s="336" t="s">
        <v>157</v>
      </c>
      <c r="AF77" s="337">
        <f t="shared" si="109"/>
        <v>2</v>
      </c>
      <c r="AG77" s="251"/>
      <c r="AH77" s="336" t="s">
        <v>170</v>
      </c>
      <c r="AI77" s="337">
        <f t="shared" si="109"/>
        <v>0</v>
      </c>
      <c r="AJ77" s="251"/>
      <c r="AK77" s="336" t="s">
        <v>162</v>
      </c>
      <c r="AL77" s="337">
        <f t="shared" si="109"/>
        <v>2</v>
      </c>
      <c r="AM77" s="251"/>
      <c r="AN77" s="336" t="s">
        <v>166</v>
      </c>
      <c r="AO77" s="337">
        <f t="shared" si="109"/>
        <v>0</v>
      </c>
      <c r="AP77" s="251"/>
      <c r="AQ77" s="336" t="s">
        <v>158</v>
      </c>
      <c r="AR77" s="337">
        <f t="shared" si="109"/>
        <v>0</v>
      </c>
      <c r="AS77" s="251"/>
      <c r="AT77" s="336" t="s">
        <v>160</v>
      </c>
      <c r="AU77" s="337">
        <f t="shared" si="109"/>
        <v>0</v>
      </c>
      <c r="AV77" s="251"/>
      <c r="AW77" s="336" t="s">
        <v>161</v>
      </c>
      <c r="AX77" s="337">
        <f t="shared" si="109"/>
        <v>2</v>
      </c>
      <c r="AY77" s="251"/>
      <c r="AZ77" s="537" t="s">
        <v>164</v>
      </c>
      <c r="BA77" s="337">
        <f t="shared" ref="BA77:CE88" si="111">IFERROR(SUM(IF($H77=AZ77,$D$10),IF(LEFT($H77,1)=LEFT(AZ77,1),$D$8),IF(MID($H77,FIND("|",$H77)+1,FIND("-",$H77)-FIND("|",$H77)-1)-MID($H77,FIND("-",$H77)+1,11)=MID(AZ77,FIND("|",AZ77)+1,FIND("-",AZ77)-FIND("|",AZ77)-1)-MID(AZ77,FIND("-",AZ77)+1,11),$D$9)),)</f>
        <v>0</v>
      </c>
      <c r="BB77" s="251"/>
      <c r="BC77" s="336" t="s">
        <v>160</v>
      </c>
      <c r="BD77" s="337">
        <f t="shared" si="111"/>
        <v>0</v>
      </c>
      <c r="BE77" s="251"/>
      <c r="BF77" s="336"/>
      <c r="BG77" s="337">
        <f t="shared" si="111"/>
        <v>0</v>
      </c>
      <c r="BH77" s="251"/>
      <c r="BI77" s="336"/>
      <c r="BJ77" s="337">
        <f t="shared" si="111"/>
        <v>0</v>
      </c>
      <c r="BK77" s="251"/>
      <c r="BL77" s="336"/>
      <c r="BM77" s="337">
        <f t="shared" si="111"/>
        <v>0</v>
      </c>
      <c r="BN77" s="251"/>
      <c r="BO77" s="336"/>
      <c r="BP77" s="337">
        <f t="shared" si="111"/>
        <v>0</v>
      </c>
      <c r="BQ77" s="251"/>
      <c r="BR77" s="336"/>
      <c r="BS77" s="337">
        <f t="shared" si="111"/>
        <v>0</v>
      </c>
      <c r="BT77" s="251"/>
      <c r="BU77" s="336"/>
      <c r="BV77" s="337">
        <f t="shared" si="111"/>
        <v>0</v>
      </c>
      <c r="BW77" s="251"/>
      <c r="BX77" s="336"/>
      <c r="BY77" s="337">
        <f t="shared" si="111"/>
        <v>0</v>
      </c>
      <c r="BZ77" s="251"/>
      <c r="CA77" s="336"/>
      <c r="CB77" s="337">
        <f t="shared" si="111"/>
        <v>0</v>
      </c>
      <c r="CC77" s="251"/>
      <c r="CD77" s="336"/>
      <c r="CE77" s="337">
        <f t="shared" si="111"/>
        <v>0</v>
      </c>
      <c r="CF77" s="251"/>
      <c r="CG77" s="251"/>
      <c r="CH77" s="251"/>
    </row>
    <row r="78" spans="1:86" ht="15" customHeight="1">
      <c r="A78" s="338"/>
      <c r="B78" s="357"/>
      <c r="C78" s="345"/>
      <c r="D78" s="345"/>
      <c r="E78" s="366"/>
      <c r="F78" s="562" t="str">
        <f>+Idiomas!D103</f>
        <v>J5</v>
      </c>
      <c r="G78" s="319" t="str">
        <f>CONCATENATE(League!D74,"-",League!K74)</f>
        <v>Ajax-Benfica</v>
      </c>
      <c r="H78" s="320" t="str">
        <f>CONCATENATE(IF(League!G74&gt;League!H74,1,IF(League!G74&lt;League!H74,2,IF(AND(League!G74=League!H74,League!G74&lt;&gt;"",League!H74&lt;&gt;""),"X",0))),"|",League!G74,"-",League!H74)</f>
        <v>2|0-2</v>
      </c>
      <c r="I78" s="339"/>
      <c r="J78" s="452" t="s">
        <v>168</v>
      </c>
      <c r="K78" s="341">
        <f t="shared" si="110"/>
        <v>0</v>
      </c>
      <c r="L78" s="342"/>
      <c r="M78" s="340" t="s">
        <v>161</v>
      </c>
      <c r="N78" s="341">
        <f t="shared" ref="N78:BY89" si="112">IFERROR(SUM(IF($H78=M78,$D$10),IF(LEFT($H78,1)=LEFT(M78,1),$D$8),IF(MID($H78,FIND("|",$H78)+1,FIND("-",$H78)-FIND("|",$H78)-1)-MID($H78,FIND("-",$H78)+1,11)=MID(M78,FIND("|",M78)+1,FIND("-",M78)-FIND("|",M78)-1)-MID(M78,FIND("-",M78)+1,11),$D$9)),)</f>
        <v>2</v>
      </c>
      <c r="O78" s="342"/>
      <c r="P78" s="340" t="s">
        <v>166</v>
      </c>
      <c r="Q78" s="341">
        <f t="shared" si="112"/>
        <v>0</v>
      </c>
      <c r="R78" s="342"/>
      <c r="S78" s="340" t="s">
        <v>158</v>
      </c>
      <c r="T78" s="341">
        <f t="shared" si="112"/>
        <v>0</v>
      </c>
      <c r="U78" s="342"/>
      <c r="V78" s="340" t="s">
        <v>161</v>
      </c>
      <c r="W78" s="341">
        <f t="shared" si="112"/>
        <v>2</v>
      </c>
      <c r="X78" s="342"/>
      <c r="Y78" s="340" t="s">
        <v>160</v>
      </c>
      <c r="Z78" s="341">
        <f t="shared" si="112"/>
        <v>0</v>
      </c>
      <c r="AA78" s="342"/>
      <c r="AB78" s="340" t="s">
        <v>160</v>
      </c>
      <c r="AC78" s="341">
        <f t="shared" si="112"/>
        <v>0</v>
      </c>
      <c r="AD78" s="342"/>
      <c r="AE78" s="340" t="s">
        <v>175</v>
      </c>
      <c r="AF78" s="341">
        <f t="shared" si="112"/>
        <v>2</v>
      </c>
      <c r="AG78" s="342"/>
      <c r="AH78" s="340" t="s">
        <v>166</v>
      </c>
      <c r="AI78" s="341">
        <f t="shared" si="112"/>
        <v>0</v>
      </c>
      <c r="AJ78" s="342"/>
      <c r="AK78" s="340" t="s">
        <v>162</v>
      </c>
      <c r="AL78" s="341">
        <f t="shared" si="112"/>
        <v>5</v>
      </c>
      <c r="AM78" s="342"/>
      <c r="AN78" s="340" t="s">
        <v>166</v>
      </c>
      <c r="AO78" s="341">
        <f t="shared" si="112"/>
        <v>0</v>
      </c>
      <c r="AP78" s="342"/>
      <c r="AQ78" s="340" t="s">
        <v>166</v>
      </c>
      <c r="AR78" s="341">
        <f t="shared" si="112"/>
        <v>0</v>
      </c>
      <c r="AS78" s="342"/>
      <c r="AT78" s="340" t="s">
        <v>158</v>
      </c>
      <c r="AU78" s="341">
        <f t="shared" si="112"/>
        <v>0</v>
      </c>
      <c r="AV78" s="342"/>
      <c r="AW78" s="340" t="s">
        <v>161</v>
      </c>
      <c r="AX78" s="341">
        <f t="shared" si="112"/>
        <v>2</v>
      </c>
      <c r="AY78" s="342"/>
      <c r="AZ78" s="534" t="s">
        <v>158</v>
      </c>
      <c r="BA78" s="341">
        <f t="shared" si="112"/>
        <v>0</v>
      </c>
      <c r="BB78" s="342"/>
      <c r="BC78" s="340" t="s">
        <v>169</v>
      </c>
      <c r="BD78" s="341">
        <f t="shared" si="112"/>
        <v>0</v>
      </c>
      <c r="BE78" s="342"/>
      <c r="BF78" s="340" t="str">
        <f>+Idiomas!$D$242</f>
        <v>Pegar Valores (J5)</v>
      </c>
      <c r="BG78" s="341">
        <f t="shared" si="112"/>
        <v>0</v>
      </c>
      <c r="BH78" s="342"/>
      <c r="BI78" s="340" t="str">
        <f>+Idiomas!$D$242</f>
        <v>Pegar Valores (J5)</v>
      </c>
      <c r="BJ78" s="341">
        <f t="shared" si="112"/>
        <v>0</v>
      </c>
      <c r="BK78" s="342"/>
      <c r="BL78" s="340" t="str">
        <f>+Idiomas!$D$242</f>
        <v>Pegar Valores (J5)</v>
      </c>
      <c r="BM78" s="341">
        <f t="shared" si="112"/>
        <v>0</v>
      </c>
      <c r="BN78" s="342"/>
      <c r="BO78" s="340" t="str">
        <f>+Idiomas!$D$242</f>
        <v>Pegar Valores (J5)</v>
      </c>
      <c r="BP78" s="341">
        <f t="shared" si="112"/>
        <v>0</v>
      </c>
      <c r="BQ78" s="342"/>
      <c r="BR78" s="340" t="str">
        <f>+Idiomas!$D$242</f>
        <v>Pegar Valores (J5)</v>
      </c>
      <c r="BS78" s="341">
        <f t="shared" si="112"/>
        <v>0</v>
      </c>
      <c r="BT78" s="342"/>
      <c r="BU78" s="340" t="str">
        <f>+Idiomas!$D$242</f>
        <v>Pegar Valores (J5)</v>
      </c>
      <c r="BV78" s="341">
        <f t="shared" si="112"/>
        <v>0</v>
      </c>
      <c r="BW78" s="342"/>
      <c r="BX78" s="340" t="str">
        <f>+Idiomas!$D$242</f>
        <v>Pegar Valores (J5)</v>
      </c>
      <c r="BY78" s="341">
        <f t="shared" si="112"/>
        <v>0</v>
      </c>
      <c r="BZ78" s="342"/>
      <c r="CA78" s="340" t="str">
        <f>+Idiomas!$D$242</f>
        <v>Pegar Valores (J5)</v>
      </c>
      <c r="CB78" s="341">
        <f t="shared" si="111"/>
        <v>0</v>
      </c>
      <c r="CC78" s="342"/>
      <c r="CD78" s="340" t="str">
        <f>+Idiomas!$D$242</f>
        <v>Pegar Valores (J5)</v>
      </c>
      <c r="CE78" s="341">
        <f t="shared" si="111"/>
        <v>0</v>
      </c>
      <c r="CF78" s="342"/>
      <c r="CG78" s="342"/>
      <c r="CH78" s="342"/>
    </row>
    <row r="79" spans="1:86" ht="15" customHeight="1">
      <c r="A79" s="343"/>
      <c r="B79" s="351"/>
      <c r="C79" s="345"/>
      <c r="D79" s="345"/>
      <c r="E79" s="345"/>
      <c r="F79" s="562"/>
      <c r="G79" s="319" t="str">
        <f>CONCATENATE(League!D75,"-",League!K75)</f>
        <v>Galatasaray-Union Saint-Gilloise</v>
      </c>
      <c r="H79" s="320" t="str">
        <f>CONCATENATE(IF(League!G75&gt;League!H75,1,IF(League!G75&lt;League!H75,2,IF(AND(League!G75=League!H75,League!G75&lt;&gt;"",League!H75&lt;&gt;""),"X",0))),"|",League!G75,"-",League!H75)</f>
        <v>2|0-1</v>
      </c>
      <c r="I79" s="219"/>
      <c r="J79" s="452" t="s">
        <v>167</v>
      </c>
      <c r="K79" s="322">
        <f t="shared" si="110"/>
        <v>0</v>
      </c>
      <c r="L79" s="251"/>
      <c r="M79" s="326" t="s">
        <v>167</v>
      </c>
      <c r="N79" s="322">
        <f t="shared" si="112"/>
        <v>0</v>
      </c>
      <c r="O79" s="251"/>
      <c r="P79" s="326" t="s">
        <v>165</v>
      </c>
      <c r="Q79" s="322">
        <f t="shared" si="112"/>
        <v>0</v>
      </c>
      <c r="R79" s="251"/>
      <c r="S79" s="326" t="s">
        <v>167</v>
      </c>
      <c r="T79" s="322">
        <f t="shared" si="112"/>
        <v>0</v>
      </c>
      <c r="U79" s="251"/>
      <c r="V79" s="326" t="s">
        <v>166</v>
      </c>
      <c r="W79" s="322">
        <f t="shared" si="112"/>
        <v>0</v>
      </c>
      <c r="X79" s="251"/>
      <c r="Y79" s="326" t="s">
        <v>166</v>
      </c>
      <c r="Z79" s="322">
        <f t="shared" si="112"/>
        <v>0</v>
      </c>
      <c r="AA79" s="251"/>
      <c r="AB79" s="326" t="s">
        <v>165</v>
      </c>
      <c r="AC79" s="322">
        <f t="shared" si="112"/>
        <v>0</v>
      </c>
      <c r="AD79" s="251"/>
      <c r="AE79" s="326" t="s">
        <v>174</v>
      </c>
      <c r="AF79" s="322">
        <f t="shared" si="112"/>
        <v>5</v>
      </c>
      <c r="AG79" s="251"/>
      <c r="AH79" s="326" t="s">
        <v>164</v>
      </c>
      <c r="AI79" s="322">
        <f t="shared" si="112"/>
        <v>0</v>
      </c>
      <c r="AJ79" s="251"/>
      <c r="AK79" s="326" t="s">
        <v>158</v>
      </c>
      <c r="AL79" s="322">
        <f t="shared" si="112"/>
        <v>0</v>
      </c>
      <c r="AM79" s="251"/>
      <c r="AN79" s="326" t="s">
        <v>166</v>
      </c>
      <c r="AO79" s="322">
        <f t="shared" si="112"/>
        <v>0</v>
      </c>
      <c r="AP79" s="251"/>
      <c r="AQ79" s="326" t="s">
        <v>170</v>
      </c>
      <c r="AR79" s="322">
        <f t="shared" si="112"/>
        <v>0</v>
      </c>
      <c r="AS79" s="251"/>
      <c r="AT79" s="326" t="s">
        <v>166</v>
      </c>
      <c r="AU79" s="322">
        <f t="shared" si="112"/>
        <v>0</v>
      </c>
      <c r="AV79" s="251"/>
      <c r="AW79" s="326" t="s">
        <v>166</v>
      </c>
      <c r="AX79" s="322">
        <f t="shared" si="112"/>
        <v>0</v>
      </c>
      <c r="AY79" s="251"/>
      <c r="AZ79" s="534" t="s">
        <v>167</v>
      </c>
      <c r="BA79" s="322">
        <f t="shared" si="112"/>
        <v>0</v>
      </c>
      <c r="BB79" s="251"/>
      <c r="BC79" s="326" t="s">
        <v>166</v>
      </c>
      <c r="BD79" s="322">
        <f t="shared" si="112"/>
        <v>0</v>
      </c>
      <c r="BE79" s="251"/>
      <c r="BF79" s="326"/>
      <c r="BG79" s="322">
        <f t="shared" si="112"/>
        <v>0</v>
      </c>
      <c r="BH79" s="251"/>
      <c r="BI79" s="326"/>
      <c r="BJ79" s="322">
        <f t="shared" si="112"/>
        <v>0</v>
      </c>
      <c r="BK79" s="251"/>
      <c r="BL79" s="326"/>
      <c r="BM79" s="322">
        <f t="shared" si="112"/>
        <v>0</v>
      </c>
      <c r="BN79" s="251"/>
      <c r="BO79" s="326"/>
      <c r="BP79" s="322">
        <f t="shared" si="112"/>
        <v>0</v>
      </c>
      <c r="BQ79" s="251"/>
      <c r="BR79" s="326"/>
      <c r="BS79" s="322">
        <f t="shared" si="112"/>
        <v>0</v>
      </c>
      <c r="BT79" s="251"/>
      <c r="BU79" s="326"/>
      <c r="BV79" s="322">
        <f t="shared" si="112"/>
        <v>0</v>
      </c>
      <c r="BW79" s="251"/>
      <c r="BX79" s="326"/>
      <c r="BY79" s="322">
        <f t="shared" si="112"/>
        <v>0</v>
      </c>
      <c r="BZ79" s="251"/>
      <c r="CA79" s="326"/>
      <c r="CB79" s="322">
        <f t="shared" si="111"/>
        <v>0</v>
      </c>
      <c r="CC79" s="251"/>
      <c r="CD79" s="326"/>
      <c r="CE79" s="322">
        <f t="shared" si="111"/>
        <v>0</v>
      </c>
      <c r="CF79" s="251"/>
      <c r="CG79" s="251"/>
      <c r="CH79" s="251"/>
    </row>
    <row r="80" spans="1:86" ht="15" customHeight="1">
      <c r="A80" s="343"/>
      <c r="B80" s="343"/>
      <c r="C80" s="345"/>
      <c r="D80" s="345"/>
      <c r="E80" s="345"/>
      <c r="F80" s="562"/>
      <c r="G80" s="328" t="str">
        <f>CONCATENATE(League!D76,"-",League!K76)</f>
        <v>Borussia Dortmund-Villarreal</v>
      </c>
      <c r="H80" s="320" t="str">
        <f>CONCATENATE(IF(League!G76&gt;League!H76,1,IF(League!G76&lt;League!H76,2,IF(AND(League!G76=League!H76,League!G76&lt;&gt;"",League!H76&lt;&gt;""),"X",0))),"|",League!G76,"-",League!H76)</f>
        <v>1|4-0</v>
      </c>
      <c r="I80" s="219"/>
      <c r="J80" s="452" t="s">
        <v>171</v>
      </c>
      <c r="K80" s="322">
        <f t="shared" si="110"/>
        <v>2</v>
      </c>
      <c r="L80" s="251"/>
      <c r="M80" s="326" t="s">
        <v>166</v>
      </c>
      <c r="N80" s="322">
        <f t="shared" si="112"/>
        <v>2</v>
      </c>
      <c r="O80" s="251"/>
      <c r="P80" s="326" t="s">
        <v>167</v>
      </c>
      <c r="Q80" s="322">
        <f t="shared" si="112"/>
        <v>2</v>
      </c>
      <c r="R80" s="251"/>
      <c r="S80" s="326" t="s">
        <v>161</v>
      </c>
      <c r="T80" s="322">
        <f t="shared" si="112"/>
        <v>0</v>
      </c>
      <c r="U80" s="251"/>
      <c r="V80" s="326" t="s">
        <v>167</v>
      </c>
      <c r="W80" s="322">
        <f t="shared" si="112"/>
        <v>2</v>
      </c>
      <c r="X80" s="251"/>
      <c r="Y80" s="326" t="s">
        <v>164</v>
      </c>
      <c r="Z80" s="322">
        <f t="shared" si="112"/>
        <v>2</v>
      </c>
      <c r="AA80" s="251"/>
      <c r="AB80" s="326" t="s">
        <v>161</v>
      </c>
      <c r="AC80" s="322">
        <f t="shared" si="112"/>
        <v>0</v>
      </c>
      <c r="AD80" s="251"/>
      <c r="AE80" s="326" t="s">
        <v>167</v>
      </c>
      <c r="AF80" s="322">
        <f t="shared" si="112"/>
        <v>2</v>
      </c>
      <c r="AG80" s="251"/>
      <c r="AH80" s="326" t="s">
        <v>160</v>
      </c>
      <c r="AI80" s="322">
        <f t="shared" si="112"/>
        <v>0</v>
      </c>
      <c r="AJ80" s="251"/>
      <c r="AK80" s="326" t="s">
        <v>167</v>
      </c>
      <c r="AL80" s="322">
        <f t="shared" si="112"/>
        <v>2</v>
      </c>
      <c r="AM80" s="251"/>
      <c r="AN80" s="326" t="s">
        <v>166</v>
      </c>
      <c r="AO80" s="322">
        <f t="shared" si="112"/>
        <v>2</v>
      </c>
      <c r="AP80" s="251"/>
      <c r="AQ80" s="326" t="s">
        <v>160</v>
      </c>
      <c r="AR80" s="322">
        <f t="shared" si="112"/>
        <v>0</v>
      </c>
      <c r="AS80" s="251"/>
      <c r="AT80" s="326" t="s">
        <v>160</v>
      </c>
      <c r="AU80" s="322">
        <f t="shared" si="112"/>
        <v>0</v>
      </c>
      <c r="AV80" s="251"/>
      <c r="AW80" s="326" t="s">
        <v>166</v>
      </c>
      <c r="AX80" s="322">
        <f t="shared" si="112"/>
        <v>2</v>
      </c>
      <c r="AY80" s="251"/>
      <c r="AZ80" s="534" t="s">
        <v>160</v>
      </c>
      <c r="BA80" s="322">
        <f t="shared" si="112"/>
        <v>0</v>
      </c>
      <c r="BB80" s="251"/>
      <c r="BC80" s="326" t="s">
        <v>160</v>
      </c>
      <c r="BD80" s="322">
        <f t="shared" si="112"/>
        <v>0</v>
      </c>
      <c r="BE80" s="251"/>
      <c r="BF80" s="326"/>
      <c r="BG80" s="322">
        <f t="shared" si="112"/>
        <v>0</v>
      </c>
      <c r="BH80" s="251"/>
      <c r="BI80" s="326"/>
      <c r="BJ80" s="322">
        <f t="shared" si="112"/>
        <v>0</v>
      </c>
      <c r="BK80" s="251"/>
      <c r="BL80" s="326"/>
      <c r="BM80" s="322">
        <f t="shared" si="112"/>
        <v>0</v>
      </c>
      <c r="BN80" s="251"/>
      <c r="BO80" s="326"/>
      <c r="BP80" s="322">
        <f t="shared" si="112"/>
        <v>0</v>
      </c>
      <c r="BQ80" s="251"/>
      <c r="BR80" s="326"/>
      <c r="BS80" s="322">
        <f t="shared" si="112"/>
        <v>0</v>
      </c>
      <c r="BT80" s="251"/>
      <c r="BU80" s="326"/>
      <c r="BV80" s="322">
        <f t="shared" si="112"/>
        <v>0</v>
      </c>
      <c r="BW80" s="251"/>
      <c r="BX80" s="326"/>
      <c r="BY80" s="322">
        <f t="shared" si="112"/>
        <v>0</v>
      </c>
      <c r="BZ80" s="251"/>
      <c r="CA80" s="326"/>
      <c r="CB80" s="322">
        <f t="shared" si="111"/>
        <v>0</v>
      </c>
      <c r="CC80" s="251"/>
      <c r="CD80" s="326"/>
      <c r="CE80" s="322">
        <f t="shared" si="111"/>
        <v>0</v>
      </c>
      <c r="CF80" s="251"/>
      <c r="CG80" s="251"/>
      <c r="CH80" s="251"/>
    </row>
    <row r="81" spans="1:86" ht="15" customHeight="1">
      <c r="A81" s="343"/>
      <c r="B81" s="343"/>
      <c r="C81" s="345"/>
      <c r="D81" s="345"/>
      <c r="E81" s="345"/>
      <c r="F81" s="562"/>
      <c r="G81" s="319" t="str">
        <f>CONCATENATE(League!D77,"-",League!K77)</f>
        <v>Chelsea-Barcelona</v>
      </c>
      <c r="H81" s="320" t="str">
        <f>CONCATENATE(IF(League!G77&gt;League!H77,1,IF(League!G77&lt;League!H77,2,IF(AND(League!G77=League!H77,League!G77&lt;&gt;"",League!H77&lt;&gt;""),"X",0))),"|",League!G77,"-",League!H77)</f>
        <v>1|3-0</v>
      </c>
      <c r="I81" s="219"/>
      <c r="J81" s="452" t="s">
        <v>158</v>
      </c>
      <c r="K81" s="322">
        <f t="shared" si="110"/>
        <v>0</v>
      </c>
      <c r="L81" s="251"/>
      <c r="M81" s="326" t="s">
        <v>161</v>
      </c>
      <c r="N81" s="322">
        <f t="shared" si="112"/>
        <v>0</v>
      </c>
      <c r="O81" s="251"/>
      <c r="P81" s="326" t="s">
        <v>161</v>
      </c>
      <c r="Q81" s="322">
        <f t="shared" si="112"/>
        <v>0</v>
      </c>
      <c r="R81" s="251"/>
      <c r="S81" s="326" t="s">
        <v>160</v>
      </c>
      <c r="T81" s="322">
        <f t="shared" si="112"/>
        <v>0</v>
      </c>
      <c r="U81" s="251"/>
      <c r="V81" s="326" t="s">
        <v>168</v>
      </c>
      <c r="W81" s="322">
        <f t="shared" si="112"/>
        <v>0</v>
      </c>
      <c r="X81" s="251"/>
      <c r="Y81" s="326" t="s">
        <v>175</v>
      </c>
      <c r="Z81" s="322">
        <f t="shared" si="112"/>
        <v>0</v>
      </c>
      <c r="AA81" s="251"/>
      <c r="AB81" s="326" t="s">
        <v>161</v>
      </c>
      <c r="AC81" s="322">
        <f t="shared" si="112"/>
        <v>0</v>
      </c>
      <c r="AD81" s="251"/>
      <c r="AE81" s="326" t="s">
        <v>176</v>
      </c>
      <c r="AF81" s="322">
        <f t="shared" si="112"/>
        <v>0</v>
      </c>
      <c r="AG81" s="251"/>
      <c r="AH81" s="326" t="s">
        <v>166</v>
      </c>
      <c r="AI81" s="322">
        <f t="shared" si="112"/>
        <v>2</v>
      </c>
      <c r="AJ81" s="251"/>
      <c r="AK81" s="326" t="s">
        <v>162</v>
      </c>
      <c r="AL81" s="322">
        <f t="shared" si="112"/>
        <v>0</v>
      </c>
      <c r="AM81" s="251"/>
      <c r="AN81" s="326" t="s">
        <v>157</v>
      </c>
      <c r="AO81" s="322">
        <f t="shared" si="112"/>
        <v>0</v>
      </c>
      <c r="AP81" s="251"/>
      <c r="AQ81" s="326" t="s">
        <v>158</v>
      </c>
      <c r="AR81" s="322">
        <f t="shared" si="112"/>
        <v>0</v>
      </c>
      <c r="AS81" s="251"/>
      <c r="AT81" s="326" t="s">
        <v>157</v>
      </c>
      <c r="AU81" s="322">
        <f t="shared" si="112"/>
        <v>0</v>
      </c>
      <c r="AV81" s="251"/>
      <c r="AW81" s="326" t="s">
        <v>166</v>
      </c>
      <c r="AX81" s="322">
        <f t="shared" si="112"/>
        <v>2</v>
      </c>
      <c r="AY81" s="251"/>
      <c r="AZ81" s="534" t="s">
        <v>158</v>
      </c>
      <c r="BA81" s="322">
        <f t="shared" si="112"/>
        <v>0</v>
      </c>
      <c r="BB81" s="251"/>
      <c r="BC81" s="326" t="s">
        <v>160</v>
      </c>
      <c r="BD81" s="322">
        <f t="shared" si="112"/>
        <v>0</v>
      </c>
      <c r="BE81" s="251"/>
      <c r="BF81" s="326"/>
      <c r="BG81" s="322">
        <f t="shared" si="112"/>
        <v>0</v>
      </c>
      <c r="BH81" s="251"/>
      <c r="BI81" s="326"/>
      <c r="BJ81" s="322">
        <f t="shared" si="112"/>
        <v>0</v>
      </c>
      <c r="BK81" s="251"/>
      <c r="BL81" s="326"/>
      <c r="BM81" s="322">
        <f t="shared" si="112"/>
        <v>0</v>
      </c>
      <c r="BN81" s="251"/>
      <c r="BO81" s="326"/>
      <c r="BP81" s="322">
        <f t="shared" si="112"/>
        <v>0</v>
      </c>
      <c r="BQ81" s="251"/>
      <c r="BR81" s="326"/>
      <c r="BS81" s="322">
        <f t="shared" si="112"/>
        <v>0</v>
      </c>
      <c r="BT81" s="251"/>
      <c r="BU81" s="326"/>
      <c r="BV81" s="322">
        <f t="shared" si="112"/>
        <v>0</v>
      </c>
      <c r="BW81" s="251"/>
      <c r="BX81" s="326"/>
      <c r="BY81" s="322">
        <f t="shared" si="112"/>
        <v>0</v>
      </c>
      <c r="BZ81" s="251"/>
      <c r="CA81" s="326"/>
      <c r="CB81" s="322">
        <f t="shared" si="111"/>
        <v>0</v>
      </c>
      <c r="CC81" s="251"/>
      <c r="CD81" s="326"/>
      <c r="CE81" s="322">
        <f t="shared" si="111"/>
        <v>0</v>
      </c>
      <c r="CF81" s="251"/>
      <c r="CG81" s="251"/>
      <c r="CH81" s="251"/>
    </row>
    <row r="82" spans="1:86" ht="15" customHeight="1">
      <c r="A82" s="343"/>
      <c r="B82" s="343"/>
      <c r="C82" s="345"/>
      <c r="D82" s="345"/>
      <c r="E82" s="345"/>
      <c r="F82" s="562"/>
      <c r="G82" s="328" t="str">
        <f>CONCATENATE(League!D78,"-",League!K78)</f>
        <v>Bodø/Glimt-Juventus</v>
      </c>
      <c r="H82" s="320" t="str">
        <f>CONCATENATE(IF(League!G78&gt;League!H78,1,IF(League!G78&lt;League!H78,2,IF(AND(League!G78=League!H78,League!G78&lt;&gt;"",League!H78&lt;&gt;""),"X",0))),"|",League!G78,"-",League!H78)</f>
        <v>2|2-3</v>
      </c>
      <c r="I82" s="219"/>
      <c r="J82" s="452" t="s">
        <v>178</v>
      </c>
      <c r="K82" s="322">
        <f t="shared" si="110"/>
        <v>2</v>
      </c>
      <c r="L82" s="251"/>
      <c r="M82" s="326" t="s">
        <v>162</v>
      </c>
      <c r="N82" s="322">
        <f t="shared" si="112"/>
        <v>2</v>
      </c>
      <c r="O82" s="251"/>
      <c r="P82" s="326" t="s">
        <v>157</v>
      </c>
      <c r="Q82" s="322">
        <f t="shared" si="112"/>
        <v>2</v>
      </c>
      <c r="R82" s="251"/>
      <c r="S82" s="326" t="s">
        <v>158</v>
      </c>
      <c r="T82" s="322">
        <f t="shared" si="112"/>
        <v>0</v>
      </c>
      <c r="U82" s="251"/>
      <c r="V82" s="326" t="s">
        <v>157</v>
      </c>
      <c r="W82" s="322">
        <f t="shared" si="112"/>
        <v>2</v>
      </c>
      <c r="X82" s="251"/>
      <c r="Y82" s="326" t="s">
        <v>162</v>
      </c>
      <c r="Z82" s="322">
        <f t="shared" si="112"/>
        <v>2</v>
      </c>
      <c r="AA82" s="251"/>
      <c r="AB82" s="326" t="s">
        <v>159</v>
      </c>
      <c r="AC82" s="322">
        <f t="shared" si="112"/>
        <v>2</v>
      </c>
      <c r="AD82" s="251"/>
      <c r="AE82" s="326" t="s">
        <v>174</v>
      </c>
      <c r="AF82" s="322">
        <f t="shared" si="112"/>
        <v>2</v>
      </c>
      <c r="AG82" s="251"/>
      <c r="AH82" s="326" t="s">
        <v>159</v>
      </c>
      <c r="AI82" s="322">
        <f t="shared" si="112"/>
        <v>2</v>
      </c>
      <c r="AJ82" s="251"/>
      <c r="AK82" s="326" t="s">
        <v>159</v>
      </c>
      <c r="AL82" s="322">
        <f t="shared" si="112"/>
        <v>2</v>
      </c>
      <c r="AM82" s="251"/>
      <c r="AN82" s="326" t="s">
        <v>166</v>
      </c>
      <c r="AO82" s="322">
        <f t="shared" si="112"/>
        <v>0</v>
      </c>
      <c r="AP82" s="251"/>
      <c r="AQ82" s="326" t="s">
        <v>159</v>
      </c>
      <c r="AR82" s="322">
        <f t="shared" si="112"/>
        <v>2</v>
      </c>
      <c r="AS82" s="251"/>
      <c r="AT82" s="326" t="s">
        <v>162</v>
      </c>
      <c r="AU82" s="322">
        <f t="shared" si="112"/>
        <v>2</v>
      </c>
      <c r="AV82" s="251"/>
      <c r="AW82" s="326" t="s">
        <v>161</v>
      </c>
      <c r="AX82" s="322">
        <f t="shared" si="112"/>
        <v>2</v>
      </c>
      <c r="AY82" s="251"/>
      <c r="AZ82" s="534" t="s">
        <v>159</v>
      </c>
      <c r="BA82" s="322">
        <f t="shared" si="112"/>
        <v>2</v>
      </c>
      <c r="BB82" s="251"/>
      <c r="BC82" s="326" t="s">
        <v>159</v>
      </c>
      <c r="BD82" s="322">
        <f t="shared" si="112"/>
        <v>2</v>
      </c>
      <c r="BE82" s="251"/>
      <c r="BF82" s="326"/>
      <c r="BG82" s="322">
        <f t="shared" si="112"/>
        <v>0</v>
      </c>
      <c r="BH82" s="251"/>
      <c r="BI82" s="326"/>
      <c r="BJ82" s="322">
        <f t="shared" si="112"/>
        <v>0</v>
      </c>
      <c r="BK82" s="251"/>
      <c r="BL82" s="326"/>
      <c r="BM82" s="322">
        <f t="shared" si="112"/>
        <v>0</v>
      </c>
      <c r="BN82" s="251"/>
      <c r="BO82" s="326"/>
      <c r="BP82" s="322">
        <f t="shared" si="112"/>
        <v>0</v>
      </c>
      <c r="BQ82" s="251"/>
      <c r="BR82" s="326"/>
      <c r="BS82" s="322">
        <f t="shared" si="112"/>
        <v>0</v>
      </c>
      <c r="BT82" s="251"/>
      <c r="BU82" s="326"/>
      <c r="BV82" s="322">
        <f t="shared" si="112"/>
        <v>0</v>
      </c>
      <c r="BW82" s="251"/>
      <c r="BX82" s="326"/>
      <c r="BY82" s="322">
        <f t="shared" si="112"/>
        <v>0</v>
      </c>
      <c r="BZ82" s="251"/>
      <c r="CA82" s="326"/>
      <c r="CB82" s="322">
        <f t="shared" si="111"/>
        <v>0</v>
      </c>
      <c r="CC82" s="251"/>
      <c r="CD82" s="326"/>
      <c r="CE82" s="322">
        <f t="shared" si="111"/>
        <v>0</v>
      </c>
      <c r="CF82" s="251"/>
      <c r="CG82" s="251"/>
      <c r="CH82" s="251"/>
    </row>
    <row r="83" spans="1:86" ht="15" customHeight="1">
      <c r="A83" s="343"/>
      <c r="B83" s="343"/>
      <c r="C83" s="366"/>
      <c r="D83" s="366"/>
      <c r="E83" s="345"/>
      <c r="F83" s="562"/>
      <c r="G83" s="319" t="str">
        <f>CONCATENATE(League!D79,"-",League!K79)</f>
        <v>Manchester City-Bayer Leverkusen</v>
      </c>
      <c r="H83" s="320" t="str">
        <f>CONCATENATE(IF(League!G79&gt;League!H79,1,IF(League!G79&lt;League!H79,2,IF(AND(League!G79=League!H79,League!G79&lt;&gt;"",League!H79&lt;&gt;""),"X",0))),"|",League!G79,"-",League!H79)</f>
        <v>2|0-2</v>
      </c>
      <c r="I83" s="219"/>
      <c r="J83" s="452" t="s">
        <v>165</v>
      </c>
      <c r="K83" s="322">
        <f t="shared" si="110"/>
        <v>0</v>
      </c>
      <c r="L83" s="251"/>
      <c r="M83" s="326" t="s">
        <v>166</v>
      </c>
      <c r="N83" s="322">
        <f t="shared" si="112"/>
        <v>0</v>
      </c>
      <c r="O83" s="251"/>
      <c r="P83" s="326" t="s">
        <v>170</v>
      </c>
      <c r="Q83" s="322">
        <f t="shared" si="112"/>
        <v>0</v>
      </c>
      <c r="R83" s="251"/>
      <c r="S83" s="326" t="s">
        <v>165</v>
      </c>
      <c r="T83" s="322">
        <f t="shared" si="112"/>
        <v>0</v>
      </c>
      <c r="U83" s="251"/>
      <c r="V83" s="326" t="s">
        <v>164</v>
      </c>
      <c r="W83" s="322">
        <f t="shared" si="112"/>
        <v>0</v>
      </c>
      <c r="X83" s="251"/>
      <c r="Y83" s="326" t="s">
        <v>166</v>
      </c>
      <c r="Z83" s="322">
        <f t="shared" si="112"/>
        <v>0</v>
      </c>
      <c r="AA83" s="251"/>
      <c r="AB83" s="326" t="s">
        <v>165</v>
      </c>
      <c r="AC83" s="322">
        <f t="shared" si="112"/>
        <v>0</v>
      </c>
      <c r="AD83" s="251"/>
      <c r="AE83" s="326" t="s">
        <v>158</v>
      </c>
      <c r="AF83" s="322">
        <f t="shared" si="112"/>
        <v>0</v>
      </c>
      <c r="AG83" s="251"/>
      <c r="AH83" s="326" t="s">
        <v>167</v>
      </c>
      <c r="AI83" s="322">
        <f t="shared" si="112"/>
        <v>0</v>
      </c>
      <c r="AJ83" s="251"/>
      <c r="AK83" s="326" t="s">
        <v>170</v>
      </c>
      <c r="AL83" s="322">
        <f t="shared" si="112"/>
        <v>0</v>
      </c>
      <c r="AM83" s="251"/>
      <c r="AN83" s="326" t="s">
        <v>170</v>
      </c>
      <c r="AO83" s="322">
        <f t="shared" si="112"/>
        <v>0</v>
      </c>
      <c r="AP83" s="251"/>
      <c r="AQ83" s="326" t="s">
        <v>160</v>
      </c>
      <c r="AR83" s="322">
        <f t="shared" si="112"/>
        <v>0</v>
      </c>
      <c r="AS83" s="251"/>
      <c r="AT83" s="326" t="s">
        <v>166</v>
      </c>
      <c r="AU83" s="322">
        <f t="shared" si="112"/>
        <v>0</v>
      </c>
      <c r="AV83" s="251"/>
      <c r="AW83" s="326" t="s">
        <v>170</v>
      </c>
      <c r="AX83" s="322">
        <f t="shared" si="112"/>
        <v>0</v>
      </c>
      <c r="AY83" s="251"/>
      <c r="AZ83" s="534" t="s">
        <v>167</v>
      </c>
      <c r="BA83" s="322">
        <f t="shared" si="112"/>
        <v>0</v>
      </c>
      <c r="BB83" s="251"/>
      <c r="BC83" s="326" t="s">
        <v>170</v>
      </c>
      <c r="BD83" s="322">
        <f t="shared" si="112"/>
        <v>0</v>
      </c>
      <c r="BE83" s="251"/>
      <c r="BF83" s="326"/>
      <c r="BG83" s="322">
        <f t="shared" si="112"/>
        <v>0</v>
      </c>
      <c r="BH83" s="251"/>
      <c r="BI83" s="326"/>
      <c r="BJ83" s="322">
        <f t="shared" si="112"/>
        <v>0</v>
      </c>
      <c r="BK83" s="251"/>
      <c r="BL83" s="326"/>
      <c r="BM83" s="322">
        <f t="shared" si="112"/>
        <v>0</v>
      </c>
      <c r="BN83" s="251"/>
      <c r="BO83" s="326"/>
      <c r="BP83" s="322">
        <f t="shared" si="112"/>
        <v>0</v>
      </c>
      <c r="BQ83" s="251"/>
      <c r="BR83" s="326"/>
      <c r="BS83" s="322">
        <f t="shared" si="112"/>
        <v>0</v>
      </c>
      <c r="BT83" s="251"/>
      <c r="BU83" s="326"/>
      <c r="BV83" s="322">
        <f t="shared" si="112"/>
        <v>0</v>
      </c>
      <c r="BW83" s="251"/>
      <c r="BX83" s="326"/>
      <c r="BY83" s="322">
        <f t="shared" si="112"/>
        <v>0</v>
      </c>
      <c r="BZ83" s="251"/>
      <c r="CA83" s="326"/>
      <c r="CB83" s="322">
        <f t="shared" si="111"/>
        <v>0</v>
      </c>
      <c r="CC83" s="251"/>
      <c r="CD83" s="326"/>
      <c r="CE83" s="322">
        <f t="shared" si="111"/>
        <v>0</v>
      </c>
      <c r="CF83" s="251"/>
      <c r="CG83" s="251"/>
      <c r="CH83" s="251"/>
    </row>
    <row r="84" spans="1:86" ht="15" customHeight="1">
      <c r="A84" s="343"/>
      <c r="B84" s="343"/>
      <c r="C84" s="219"/>
      <c r="D84" s="219"/>
      <c r="E84" s="345"/>
      <c r="F84" s="562"/>
      <c r="G84" s="328" t="str">
        <f>CONCATENATE(League!D80,"-",League!K80)</f>
        <v>Marseille-Newcastle</v>
      </c>
      <c r="H84" s="320" t="str">
        <f>CONCATENATE(IF(League!G80&gt;League!H80,1,IF(League!G80&lt;League!H80,2,IF(AND(League!G80=League!H80,League!G80&lt;&gt;"",League!H80&lt;&gt;""),"X",0))),"|",League!G80,"-",League!H80)</f>
        <v>1|2-1</v>
      </c>
      <c r="I84" s="219"/>
      <c r="J84" s="452" t="s">
        <v>162</v>
      </c>
      <c r="K84" s="322">
        <f t="shared" si="110"/>
        <v>0</v>
      </c>
      <c r="L84" s="251"/>
      <c r="M84" s="326" t="s">
        <v>176</v>
      </c>
      <c r="N84" s="322">
        <f t="shared" si="112"/>
        <v>0</v>
      </c>
      <c r="O84" s="251"/>
      <c r="P84" s="326" t="s">
        <v>161</v>
      </c>
      <c r="Q84" s="322">
        <f t="shared" si="112"/>
        <v>0</v>
      </c>
      <c r="R84" s="251"/>
      <c r="S84" s="326" t="s">
        <v>158</v>
      </c>
      <c r="T84" s="322">
        <f t="shared" si="112"/>
        <v>0</v>
      </c>
      <c r="U84" s="251"/>
      <c r="V84" s="326" t="s">
        <v>158</v>
      </c>
      <c r="W84" s="322">
        <f t="shared" si="112"/>
        <v>0</v>
      </c>
      <c r="X84" s="251"/>
      <c r="Y84" s="326" t="s">
        <v>166</v>
      </c>
      <c r="Z84" s="322">
        <f t="shared" si="112"/>
        <v>5</v>
      </c>
      <c r="AA84" s="251"/>
      <c r="AB84" s="326" t="s">
        <v>166</v>
      </c>
      <c r="AC84" s="322">
        <f t="shared" si="112"/>
        <v>5</v>
      </c>
      <c r="AD84" s="251"/>
      <c r="AE84" s="326" t="s">
        <v>166</v>
      </c>
      <c r="AF84" s="322">
        <f t="shared" si="112"/>
        <v>5</v>
      </c>
      <c r="AG84" s="251"/>
      <c r="AH84" s="326" t="s">
        <v>164</v>
      </c>
      <c r="AI84" s="322">
        <f t="shared" si="112"/>
        <v>2</v>
      </c>
      <c r="AJ84" s="251"/>
      <c r="AK84" s="326" t="s">
        <v>158</v>
      </c>
      <c r="AL84" s="322">
        <f t="shared" si="112"/>
        <v>0</v>
      </c>
      <c r="AM84" s="251"/>
      <c r="AN84" s="326" t="s">
        <v>158</v>
      </c>
      <c r="AO84" s="322">
        <f t="shared" si="112"/>
        <v>0</v>
      </c>
      <c r="AP84" s="251"/>
      <c r="AQ84" s="326" t="s">
        <v>164</v>
      </c>
      <c r="AR84" s="322">
        <f t="shared" si="112"/>
        <v>2</v>
      </c>
      <c r="AS84" s="251"/>
      <c r="AT84" s="326" t="s">
        <v>158</v>
      </c>
      <c r="AU84" s="322">
        <f t="shared" si="112"/>
        <v>0</v>
      </c>
      <c r="AV84" s="251"/>
      <c r="AW84" s="326" t="s">
        <v>161</v>
      </c>
      <c r="AX84" s="322">
        <f t="shared" si="112"/>
        <v>0</v>
      </c>
      <c r="AY84" s="251"/>
      <c r="AZ84" s="534" t="s">
        <v>158</v>
      </c>
      <c r="BA84" s="322">
        <f t="shared" si="112"/>
        <v>0</v>
      </c>
      <c r="BB84" s="251"/>
      <c r="BC84" s="326" t="s">
        <v>160</v>
      </c>
      <c r="BD84" s="322">
        <f t="shared" si="112"/>
        <v>0</v>
      </c>
      <c r="BE84" s="251"/>
      <c r="BF84" s="326"/>
      <c r="BG84" s="322">
        <f t="shared" si="112"/>
        <v>0</v>
      </c>
      <c r="BH84" s="251"/>
      <c r="BI84" s="326"/>
      <c r="BJ84" s="322">
        <f t="shared" si="112"/>
        <v>0</v>
      </c>
      <c r="BK84" s="251"/>
      <c r="BL84" s="326"/>
      <c r="BM84" s="322">
        <f t="shared" si="112"/>
        <v>0</v>
      </c>
      <c r="BN84" s="251"/>
      <c r="BO84" s="326"/>
      <c r="BP84" s="322">
        <f t="shared" si="112"/>
        <v>0</v>
      </c>
      <c r="BQ84" s="251"/>
      <c r="BR84" s="326"/>
      <c r="BS84" s="322">
        <f t="shared" si="112"/>
        <v>0</v>
      </c>
      <c r="BT84" s="251"/>
      <c r="BU84" s="326"/>
      <c r="BV84" s="322">
        <f t="shared" si="112"/>
        <v>0</v>
      </c>
      <c r="BW84" s="251"/>
      <c r="BX84" s="326"/>
      <c r="BY84" s="322">
        <f t="shared" si="112"/>
        <v>0</v>
      </c>
      <c r="BZ84" s="251"/>
      <c r="CA84" s="326"/>
      <c r="CB84" s="322">
        <f t="shared" si="111"/>
        <v>0</v>
      </c>
      <c r="CC84" s="251"/>
      <c r="CD84" s="326"/>
      <c r="CE84" s="322">
        <f t="shared" si="111"/>
        <v>0</v>
      </c>
      <c r="CF84" s="251"/>
      <c r="CG84" s="251"/>
      <c r="CH84" s="251"/>
    </row>
    <row r="85" spans="1:86" ht="15" customHeight="1">
      <c r="A85" s="343"/>
      <c r="B85" s="343"/>
      <c r="C85" s="219"/>
      <c r="D85" s="219"/>
      <c r="E85" s="345"/>
      <c r="F85" s="562"/>
      <c r="G85" s="319" t="str">
        <f>CONCATENATE(League!D81,"-",League!K81)</f>
        <v>Slavia Praha-Athletic Bilbao</v>
      </c>
      <c r="H85" s="320" t="str">
        <f>CONCATENATE(IF(League!G81&gt;League!H81,1,IF(League!G81&lt;League!H81,2,IF(AND(League!G81=League!H81,League!G81&lt;&gt;"",League!H81&lt;&gt;""),"X",0))),"|",League!G81,"-",League!H81)</f>
        <v>X|0-0</v>
      </c>
      <c r="I85" s="219"/>
      <c r="J85" s="452" t="s">
        <v>174</v>
      </c>
      <c r="K85" s="322">
        <f t="shared" si="110"/>
        <v>0</v>
      </c>
      <c r="L85" s="251"/>
      <c r="M85" s="326" t="s">
        <v>157</v>
      </c>
      <c r="N85" s="322">
        <f t="shared" si="112"/>
        <v>0</v>
      </c>
      <c r="O85" s="251"/>
      <c r="P85" s="326" t="s">
        <v>174</v>
      </c>
      <c r="Q85" s="322">
        <f t="shared" si="112"/>
        <v>0</v>
      </c>
      <c r="R85" s="251"/>
      <c r="S85" s="326" t="s">
        <v>162</v>
      </c>
      <c r="T85" s="322">
        <f t="shared" si="112"/>
        <v>0</v>
      </c>
      <c r="U85" s="251"/>
      <c r="V85" s="326" t="s">
        <v>161</v>
      </c>
      <c r="W85" s="322">
        <f t="shared" si="112"/>
        <v>0</v>
      </c>
      <c r="X85" s="251"/>
      <c r="Y85" s="326" t="s">
        <v>158</v>
      </c>
      <c r="Z85" s="322">
        <f t="shared" si="112"/>
        <v>2</v>
      </c>
      <c r="AA85" s="251"/>
      <c r="AB85" s="326" t="s">
        <v>157</v>
      </c>
      <c r="AC85" s="322">
        <f t="shared" si="112"/>
        <v>0</v>
      </c>
      <c r="AD85" s="251"/>
      <c r="AE85" s="326" t="s">
        <v>164</v>
      </c>
      <c r="AF85" s="322">
        <f t="shared" si="112"/>
        <v>0</v>
      </c>
      <c r="AG85" s="251"/>
      <c r="AH85" s="326" t="s">
        <v>175</v>
      </c>
      <c r="AI85" s="322">
        <f t="shared" si="112"/>
        <v>0</v>
      </c>
      <c r="AJ85" s="251"/>
      <c r="AK85" s="326" t="s">
        <v>158</v>
      </c>
      <c r="AL85" s="322">
        <f t="shared" si="112"/>
        <v>2</v>
      </c>
      <c r="AM85" s="251"/>
      <c r="AN85" s="326" t="s">
        <v>161</v>
      </c>
      <c r="AO85" s="322">
        <f t="shared" si="112"/>
        <v>0</v>
      </c>
      <c r="AP85" s="251"/>
      <c r="AQ85" s="326" t="s">
        <v>158</v>
      </c>
      <c r="AR85" s="322">
        <f t="shared" si="112"/>
        <v>2</v>
      </c>
      <c r="AS85" s="251"/>
      <c r="AT85" s="326" t="s">
        <v>174</v>
      </c>
      <c r="AU85" s="322">
        <f t="shared" si="112"/>
        <v>0</v>
      </c>
      <c r="AV85" s="251"/>
      <c r="AW85" s="326" t="s">
        <v>167</v>
      </c>
      <c r="AX85" s="322">
        <f t="shared" si="112"/>
        <v>0</v>
      </c>
      <c r="AY85" s="251"/>
      <c r="AZ85" s="534" t="s">
        <v>158</v>
      </c>
      <c r="BA85" s="322">
        <f t="shared" si="112"/>
        <v>2</v>
      </c>
      <c r="BB85" s="251"/>
      <c r="BC85" s="326" t="s">
        <v>157</v>
      </c>
      <c r="BD85" s="322">
        <f t="shared" si="112"/>
        <v>0</v>
      </c>
      <c r="BE85" s="251"/>
      <c r="BF85" s="326"/>
      <c r="BG85" s="322">
        <f t="shared" si="112"/>
        <v>0</v>
      </c>
      <c r="BH85" s="251"/>
      <c r="BI85" s="326"/>
      <c r="BJ85" s="322">
        <f t="shared" si="112"/>
        <v>0</v>
      </c>
      <c r="BK85" s="251"/>
      <c r="BL85" s="326"/>
      <c r="BM85" s="322">
        <f t="shared" si="112"/>
        <v>0</v>
      </c>
      <c r="BN85" s="251"/>
      <c r="BO85" s="326"/>
      <c r="BP85" s="322">
        <f t="shared" si="112"/>
        <v>0</v>
      </c>
      <c r="BQ85" s="251"/>
      <c r="BR85" s="326"/>
      <c r="BS85" s="322">
        <f t="shared" si="112"/>
        <v>0</v>
      </c>
      <c r="BT85" s="251"/>
      <c r="BU85" s="326"/>
      <c r="BV85" s="322">
        <f t="shared" si="112"/>
        <v>0</v>
      </c>
      <c r="BW85" s="251"/>
      <c r="BX85" s="326"/>
      <c r="BY85" s="322">
        <f t="shared" si="112"/>
        <v>0</v>
      </c>
      <c r="BZ85" s="251"/>
      <c r="CA85" s="326"/>
      <c r="CB85" s="322">
        <f t="shared" si="111"/>
        <v>0</v>
      </c>
      <c r="CC85" s="251"/>
      <c r="CD85" s="326"/>
      <c r="CE85" s="322">
        <f t="shared" si="111"/>
        <v>0</v>
      </c>
      <c r="CF85" s="251"/>
      <c r="CG85" s="251"/>
      <c r="CH85" s="251"/>
    </row>
    <row r="86" spans="1:86" ht="15" customHeight="1">
      <c r="A86" s="339"/>
      <c r="B86" s="339"/>
      <c r="C86" s="219"/>
      <c r="D86" s="219"/>
      <c r="E86" s="366"/>
      <c r="F86" s="562"/>
      <c r="G86" s="328" t="str">
        <f>CONCATENATE(League!D82,"-",League!K82)</f>
        <v>Napoli-Qarabağ</v>
      </c>
      <c r="H86" s="320" t="str">
        <f>CONCATENATE(IF(League!G82&gt;League!H82,1,IF(League!G82&lt;League!H82,2,IF(AND(League!G82=League!H82,League!G82&lt;&gt;"",League!H82&lt;&gt;""),"X",0))),"|",League!G82,"-",League!H82)</f>
        <v>1|2-0</v>
      </c>
      <c r="I86" s="339"/>
      <c r="J86" s="452" t="s">
        <v>165</v>
      </c>
      <c r="K86" s="322">
        <f t="shared" si="110"/>
        <v>2</v>
      </c>
      <c r="L86" s="342"/>
      <c r="M86" s="326" t="s">
        <v>170</v>
      </c>
      <c r="N86" s="322">
        <f t="shared" si="112"/>
        <v>2</v>
      </c>
      <c r="O86" s="342"/>
      <c r="P86" s="326" t="s">
        <v>167</v>
      </c>
      <c r="Q86" s="322">
        <f t="shared" si="112"/>
        <v>5</v>
      </c>
      <c r="R86" s="342"/>
      <c r="S86" s="326" t="s">
        <v>167</v>
      </c>
      <c r="T86" s="322">
        <f t="shared" si="112"/>
        <v>5</v>
      </c>
      <c r="U86" s="342"/>
      <c r="V86" s="326" t="s">
        <v>165</v>
      </c>
      <c r="W86" s="322">
        <f t="shared" si="112"/>
        <v>2</v>
      </c>
      <c r="X86" s="342"/>
      <c r="Y86" s="326" t="s">
        <v>165</v>
      </c>
      <c r="Z86" s="322">
        <f t="shared" si="112"/>
        <v>2</v>
      </c>
      <c r="AA86" s="342"/>
      <c r="AB86" s="326" t="s">
        <v>171</v>
      </c>
      <c r="AC86" s="322">
        <f t="shared" si="112"/>
        <v>2</v>
      </c>
      <c r="AD86" s="342"/>
      <c r="AE86" s="326" t="s">
        <v>166</v>
      </c>
      <c r="AF86" s="322">
        <f t="shared" si="112"/>
        <v>2</v>
      </c>
      <c r="AG86" s="342"/>
      <c r="AH86" s="326" t="s">
        <v>167</v>
      </c>
      <c r="AI86" s="322">
        <f t="shared" si="112"/>
        <v>5</v>
      </c>
      <c r="AJ86" s="342"/>
      <c r="AK86" s="326" t="s">
        <v>165</v>
      </c>
      <c r="AL86" s="322">
        <f t="shared" si="112"/>
        <v>2</v>
      </c>
      <c r="AM86" s="342"/>
      <c r="AN86" s="326" t="s">
        <v>166</v>
      </c>
      <c r="AO86" s="322">
        <f t="shared" si="112"/>
        <v>2</v>
      </c>
      <c r="AP86" s="342"/>
      <c r="AQ86" s="326" t="s">
        <v>165</v>
      </c>
      <c r="AR86" s="322">
        <f t="shared" si="112"/>
        <v>2</v>
      </c>
      <c r="AS86" s="342"/>
      <c r="AT86" s="326" t="s">
        <v>165</v>
      </c>
      <c r="AU86" s="322">
        <f t="shared" si="112"/>
        <v>2</v>
      </c>
      <c r="AV86" s="342"/>
      <c r="AW86" s="326" t="s">
        <v>166</v>
      </c>
      <c r="AX86" s="322">
        <f t="shared" si="112"/>
        <v>2</v>
      </c>
      <c r="AY86" s="342"/>
      <c r="AZ86" s="534" t="s">
        <v>167</v>
      </c>
      <c r="BA86" s="322">
        <f t="shared" si="112"/>
        <v>5</v>
      </c>
      <c r="BB86" s="342"/>
      <c r="BC86" s="326" t="s">
        <v>170</v>
      </c>
      <c r="BD86" s="322">
        <f t="shared" si="112"/>
        <v>2</v>
      </c>
      <c r="BE86" s="342"/>
      <c r="BF86" s="326"/>
      <c r="BG86" s="322">
        <f t="shared" si="112"/>
        <v>0</v>
      </c>
      <c r="BH86" s="342"/>
      <c r="BI86" s="326"/>
      <c r="BJ86" s="322">
        <f t="shared" si="112"/>
        <v>0</v>
      </c>
      <c r="BK86" s="342"/>
      <c r="BL86" s="326"/>
      <c r="BM86" s="322">
        <f t="shared" si="112"/>
        <v>0</v>
      </c>
      <c r="BN86" s="342"/>
      <c r="BO86" s="326"/>
      <c r="BP86" s="322">
        <f t="shared" si="112"/>
        <v>0</v>
      </c>
      <c r="BQ86" s="342"/>
      <c r="BR86" s="326"/>
      <c r="BS86" s="322">
        <f t="shared" si="112"/>
        <v>0</v>
      </c>
      <c r="BT86" s="342"/>
      <c r="BU86" s="326"/>
      <c r="BV86" s="322">
        <f t="shared" si="112"/>
        <v>0</v>
      </c>
      <c r="BW86" s="342"/>
      <c r="BX86" s="326"/>
      <c r="BY86" s="322">
        <f t="shared" si="112"/>
        <v>0</v>
      </c>
      <c r="BZ86" s="342"/>
      <c r="CA86" s="326"/>
      <c r="CB86" s="322">
        <f t="shared" si="111"/>
        <v>0</v>
      </c>
      <c r="CC86" s="342"/>
      <c r="CD86" s="326"/>
      <c r="CE86" s="322">
        <f t="shared" si="111"/>
        <v>0</v>
      </c>
      <c r="CF86" s="342"/>
      <c r="CG86" s="342"/>
      <c r="CH86" s="342"/>
    </row>
    <row r="87" spans="1:86" ht="15" customHeight="1">
      <c r="A87" s="219"/>
      <c r="B87" s="219"/>
      <c r="C87" s="219"/>
      <c r="D87" s="219"/>
      <c r="E87" s="219"/>
      <c r="F87" s="562"/>
      <c r="G87" s="319" t="str">
        <f>CONCATENATE(League!D83,"-",League!K83)</f>
        <v>Copenhagen-Kairat Almaty </v>
      </c>
      <c r="H87" s="320" t="str">
        <f>CONCATENATE(IF(League!G83&gt;League!H83,1,IF(League!G83&lt;League!H83,2,IF(AND(League!G83=League!H83,League!G83&lt;&gt;"",League!H83&lt;&gt;""),"X",0))),"|",League!G83,"-",League!H83)</f>
        <v>1|3-2</v>
      </c>
      <c r="I87" s="219"/>
      <c r="J87" s="452" t="s">
        <v>168</v>
      </c>
      <c r="K87" s="322">
        <f t="shared" si="110"/>
        <v>0</v>
      </c>
      <c r="L87" s="251"/>
      <c r="M87" s="326" t="s">
        <v>164</v>
      </c>
      <c r="N87" s="322">
        <f t="shared" si="112"/>
        <v>2</v>
      </c>
      <c r="O87" s="251"/>
      <c r="P87" s="326" t="s">
        <v>167</v>
      </c>
      <c r="Q87" s="322">
        <f t="shared" si="112"/>
        <v>2</v>
      </c>
      <c r="R87" s="251"/>
      <c r="S87" s="326" t="s">
        <v>164</v>
      </c>
      <c r="T87" s="322">
        <f t="shared" si="112"/>
        <v>2</v>
      </c>
      <c r="U87" s="251"/>
      <c r="V87" s="326" t="s">
        <v>160</v>
      </c>
      <c r="W87" s="322">
        <f t="shared" si="112"/>
        <v>0</v>
      </c>
      <c r="X87" s="251"/>
      <c r="Y87" s="326" t="s">
        <v>167</v>
      </c>
      <c r="Z87" s="322">
        <f t="shared" si="112"/>
        <v>2</v>
      </c>
      <c r="AA87" s="251"/>
      <c r="AB87" s="326" t="s">
        <v>163</v>
      </c>
      <c r="AC87" s="322">
        <f t="shared" si="112"/>
        <v>2</v>
      </c>
      <c r="AD87" s="251"/>
      <c r="AE87" s="326" t="s">
        <v>160</v>
      </c>
      <c r="AF87" s="322">
        <f t="shared" si="112"/>
        <v>0</v>
      </c>
      <c r="AG87" s="251"/>
      <c r="AH87" s="326" t="s">
        <v>165</v>
      </c>
      <c r="AI87" s="322">
        <f t="shared" si="112"/>
        <v>2</v>
      </c>
      <c r="AJ87" s="251"/>
      <c r="AK87" s="326" t="s">
        <v>165</v>
      </c>
      <c r="AL87" s="322">
        <f t="shared" si="112"/>
        <v>2</v>
      </c>
      <c r="AM87" s="251"/>
      <c r="AN87" s="326" t="s">
        <v>170</v>
      </c>
      <c r="AO87" s="322">
        <f t="shared" si="112"/>
        <v>2</v>
      </c>
      <c r="AP87" s="251"/>
      <c r="AQ87" s="326" t="s">
        <v>166</v>
      </c>
      <c r="AR87" s="322">
        <f t="shared" si="112"/>
        <v>2</v>
      </c>
      <c r="AS87" s="251"/>
      <c r="AT87" s="326" t="s">
        <v>158</v>
      </c>
      <c r="AU87" s="322">
        <f t="shared" si="112"/>
        <v>0</v>
      </c>
      <c r="AV87" s="251"/>
      <c r="AW87" s="326" t="s">
        <v>158</v>
      </c>
      <c r="AX87" s="322">
        <f t="shared" si="112"/>
        <v>0</v>
      </c>
      <c r="AY87" s="251"/>
      <c r="AZ87" s="534" t="s">
        <v>164</v>
      </c>
      <c r="BA87" s="322">
        <f t="shared" si="112"/>
        <v>2</v>
      </c>
      <c r="BB87" s="251"/>
      <c r="BC87" s="326" t="s">
        <v>161</v>
      </c>
      <c r="BD87" s="322">
        <f t="shared" si="112"/>
        <v>0</v>
      </c>
      <c r="BE87" s="251"/>
      <c r="BF87" s="326"/>
      <c r="BG87" s="322">
        <f t="shared" si="112"/>
        <v>0</v>
      </c>
      <c r="BH87" s="251"/>
      <c r="BI87" s="326"/>
      <c r="BJ87" s="322">
        <f t="shared" si="112"/>
        <v>0</v>
      </c>
      <c r="BK87" s="251"/>
      <c r="BL87" s="326"/>
      <c r="BM87" s="322">
        <f t="shared" si="112"/>
        <v>0</v>
      </c>
      <c r="BN87" s="251"/>
      <c r="BO87" s="326"/>
      <c r="BP87" s="322">
        <f t="shared" si="112"/>
        <v>0</v>
      </c>
      <c r="BQ87" s="251"/>
      <c r="BR87" s="326"/>
      <c r="BS87" s="322">
        <f t="shared" si="112"/>
        <v>0</v>
      </c>
      <c r="BT87" s="251"/>
      <c r="BU87" s="326"/>
      <c r="BV87" s="322">
        <f t="shared" si="112"/>
        <v>0</v>
      </c>
      <c r="BW87" s="251"/>
      <c r="BX87" s="326"/>
      <c r="BY87" s="322">
        <f t="shared" si="112"/>
        <v>0</v>
      </c>
      <c r="BZ87" s="251"/>
      <c r="CA87" s="326"/>
      <c r="CB87" s="322">
        <f t="shared" si="111"/>
        <v>0</v>
      </c>
      <c r="CC87" s="251"/>
      <c r="CD87" s="326"/>
      <c r="CE87" s="322">
        <f t="shared" si="111"/>
        <v>0</v>
      </c>
      <c r="CF87" s="251"/>
      <c r="CG87" s="251"/>
      <c r="CH87" s="251"/>
    </row>
    <row r="88" spans="1:86" ht="15" customHeight="1">
      <c r="A88" s="219"/>
      <c r="B88" s="219"/>
      <c r="C88" s="219"/>
      <c r="D88" s="219"/>
      <c r="E88" s="219"/>
      <c r="F88" s="562"/>
      <c r="G88" s="328" t="str">
        <f>CONCATENATE(League!D84,"-",League!K84)</f>
        <v>Pafos-Monaco</v>
      </c>
      <c r="H88" s="320" t="str">
        <f>CONCATENATE(IF(League!G84&gt;League!H84,1,IF(League!G84&lt;League!H84,2,IF(AND(League!G84=League!H84,League!G84&lt;&gt;"",League!H84&lt;&gt;""),"X",0))),"|",League!G84,"-",League!H84)</f>
        <v>X|2-2</v>
      </c>
      <c r="I88" s="219"/>
      <c r="J88" s="452" t="s">
        <v>174</v>
      </c>
      <c r="K88" s="322">
        <f t="shared" si="110"/>
        <v>0</v>
      </c>
      <c r="L88" s="251"/>
      <c r="M88" s="326" t="s">
        <v>157</v>
      </c>
      <c r="N88" s="322">
        <f t="shared" si="112"/>
        <v>0</v>
      </c>
      <c r="O88" s="251"/>
      <c r="P88" s="326" t="s">
        <v>157</v>
      </c>
      <c r="Q88" s="322">
        <f t="shared" si="112"/>
        <v>0</v>
      </c>
      <c r="R88" s="251"/>
      <c r="S88" s="326" t="s">
        <v>158</v>
      </c>
      <c r="T88" s="322">
        <f t="shared" si="112"/>
        <v>2</v>
      </c>
      <c r="U88" s="251"/>
      <c r="V88" s="326" t="s">
        <v>158</v>
      </c>
      <c r="W88" s="322">
        <f t="shared" si="112"/>
        <v>2</v>
      </c>
      <c r="X88" s="251"/>
      <c r="Y88" s="326" t="s">
        <v>174</v>
      </c>
      <c r="Z88" s="322">
        <f t="shared" si="112"/>
        <v>0</v>
      </c>
      <c r="AA88" s="251"/>
      <c r="AB88" s="326" t="s">
        <v>159</v>
      </c>
      <c r="AC88" s="322">
        <f t="shared" si="112"/>
        <v>0</v>
      </c>
      <c r="AD88" s="251"/>
      <c r="AE88" s="326" t="s">
        <v>170</v>
      </c>
      <c r="AF88" s="322">
        <f t="shared" si="112"/>
        <v>0</v>
      </c>
      <c r="AG88" s="251"/>
      <c r="AH88" s="326" t="s">
        <v>162</v>
      </c>
      <c r="AI88" s="322">
        <f t="shared" si="112"/>
        <v>0</v>
      </c>
      <c r="AJ88" s="251"/>
      <c r="AK88" s="326" t="s">
        <v>159</v>
      </c>
      <c r="AL88" s="322">
        <f t="shared" si="112"/>
        <v>0</v>
      </c>
      <c r="AM88" s="251"/>
      <c r="AN88" s="326" t="s">
        <v>161</v>
      </c>
      <c r="AO88" s="322">
        <f t="shared" si="112"/>
        <v>0</v>
      </c>
      <c r="AP88" s="251"/>
      <c r="AQ88" s="326" t="s">
        <v>162</v>
      </c>
      <c r="AR88" s="322">
        <f t="shared" si="112"/>
        <v>0</v>
      </c>
      <c r="AS88" s="251"/>
      <c r="AT88" s="326" t="s">
        <v>162</v>
      </c>
      <c r="AU88" s="322">
        <f t="shared" si="112"/>
        <v>0</v>
      </c>
      <c r="AV88" s="251"/>
      <c r="AW88" s="326" t="s">
        <v>162</v>
      </c>
      <c r="AX88" s="322">
        <f t="shared" si="112"/>
        <v>0</v>
      </c>
      <c r="AY88" s="251"/>
      <c r="AZ88" s="534" t="s">
        <v>162</v>
      </c>
      <c r="BA88" s="322">
        <f t="shared" si="112"/>
        <v>0</v>
      </c>
      <c r="BB88" s="251"/>
      <c r="BC88" s="326" t="s">
        <v>162</v>
      </c>
      <c r="BD88" s="322">
        <f t="shared" si="112"/>
        <v>0</v>
      </c>
      <c r="BE88" s="251"/>
      <c r="BF88" s="326"/>
      <c r="BG88" s="322">
        <f t="shared" si="112"/>
        <v>0</v>
      </c>
      <c r="BH88" s="251"/>
      <c r="BI88" s="326"/>
      <c r="BJ88" s="322">
        <f t="shared" si="112"/>
        <v>0</v>
      </c>
      <c r="BK88" s="251"/>
      <c r="BL88" s="326"/>
      <c r="BM88" s="322">
        <f t="shared" si="112"/>
        <v>0</v>
      </c>
      <c r="BN88" s="251"/>
      <c r="BO88" s="326"/>
      <c r="BP88" s="322">
        <f t="shared" si="112"/>
        <v>0</v>
      </c>
      <c r="BQ88" s="251"/>
      <c r="BR88" s="326"/>
      <c r="BS88" s="322">
        <f t="shared" si="112"/>
        <v>0</v>
      </c>
      <c r="BT88" s="251"/>
      <c r="BU88" s="326"/>
      <c r="BV88" s="322">
        <f t="shared" si="112"/>
        <v>0</v>
      </c>
      <c r="BW88" s="251"/>
      <c r="BX88" s="326"/>
      <c r="BY88" s="322">
        <f t="shared" si="112"/>
        <v>0</v>
      </c>
      <c r="BZ88" s="251"/>
      <c r="CA88" s="326"/>
      <c r="CB88" s="322">
        <f t="shared" si="111"/>
        <v>0</v>
      </c>
      <c r="CC88" s="251"/>
      <c r="CD88" s="326"/>
      <c r="CE88" s="322">
        <f t="shared" si="111"/>
        <v>0</v>
      </c>
      <c r="CF88" s="251"/>
      <c r="CG88" s="251"/>
      <c r="CH88" s="251"/>
    </row>
    <row r="89" spans="1:86" ht="15" customHeight="1">
      <c r="A89" s="219"/>
      <c r="B89" s="219"/>
      <c r="C89" s="219"/>
      <c r="D89" s="219"/>
      <c r="E89" s="219"/>
      <c r="F89" s="562"/>
      <c r="G89" s="319" t="str">
        <f>CONCATENATE(League!D85,"-",League!K85)</f>
        <v>Arsenal-Bayern München</v>
      </c>
      <c r="H89" s="320" t="str">
        <f>CONCATENATE(IF(League!G85&gt;League!H85,1,IF(League!G85&lt;League!H85,2,IF(AND(League!G85=League!H85,League!G85&lt;&gt;"",League!H85&lt;&gt;""),"X",0))),"|",League!G85,"-",League!H85)</f>
        <v>1|3-1</v>
      </c>
      <c r="I89" s="219"/>
      <c r="J89" s="452" t="s">
        <v>160</v>
      </c>
      <c r="K89" s="322">
        <f t="shared" si="110"/>
        <v>0</v>
      </c>
      <c r="L89" s="251"/>
      <c r="M89" s="326" t="s">
        <v>160</v>
      </c>
      <c r="N89" s="322">
        <f t="shared" si="112"/>
        <v>0</v>
      </c>
      <c r="O89" s="251"/>
      <c r="P89" s="326" t="s">
        <v>166</v>
      </c>
      <c r="Q89" s="322">
        <f t="shared" si="112"/>
        <v>2</v>
      </c>
      <c r="R89" s="251"/>
      <c r="S89" s="326" t="s">
        <v>176</v>
      </c>
      <c r="T89" s="322">
        <f t="shared" si="112"/>
        <v>0</v>
      </c>
      <c r="U89" s="251"/>
      <c r="V89" s="326" t="s">
        <v>176</v>
      </c>
      <c r="W89" s="322">
        <f t="shared" si="112"/>
        <v>0</v>
      </c>
      <c r="X89" s="251"/>
      <c r="Y89" s="326" t="s">
        <v>169</v>
      </c>
      <c r="Z89" s="322">
        <f t="shared" si="112"/>
        <v>2</v>
      </c>
      <c r="AA89" s="251"/>
      <c r="AB89" s="326" t="s">
        <v>161</v>
      </c>
      <c r="AC89" s="322">
        <f t="shared" si="112"/>
        <v>0</v>
      </c>
      <c r="AD89" s="251"/>
      <c r="AE89" s="326" t="s">
        <v>166</v>
      </c>
      <c r="AF89" s="322">
        <f t="shared" si="112"/>
        <v>2</v>
      </c>
      <c r="AG89" s="251"/>
      <c r="AH89" s="326" t="s">
        <v>170</v>
      </c>
      <c r="AI89" s="322">
        <f t="shared" si="112"/>
        <v>5</v>
      </c>
      <c r="AJ89" s="251"/>
      <c r="AK89" s="326" t="s">
        <v>162</v>
      </c>
      <c r="AL89" s="322">
        <f t="shared" si="112"/>
        <v>0</v>
      </c>
      <c r="AM89" s="251"/>
      <c r="AN89" s="326" t="s">
        <v>173</v>
      </c>
      <c r="AO89" s="322">
        <f t="shared" si="112"/>
        <v>0</v>
      </c>
      <c r="AP89" s="251"/>
      <c r="AQ89" s="326" t="s">
        <v>158</v>
      </c>
      <c r="AR89" s="322">
        <f t="shared" si="112"/>
        <v>0</v>
      </c>
      <c r="AS89" s="251"/>
      <c r="AT89" s="326" t="s">
        <v>160</v>
      </c>
      <c r="AU89" s="322">
        <f t="shared" si="112"/>
        <v>0</v>
      </c>
      <c r="AV89" s="251"/>
      <c r="AW89" s="326" t="s">
        <v>161</v>
      </c>
      <c r="AX89" s="322">
        <f t="shared" si="112"/>
        <v>0</v>
      </c>
      <c r="AY89" s="251"/>
      <c r="AZ89" s="534" t="s">
        <v>169</v>
      </c>
      <c r="BA89" s="322">
        <f t="shared" ref="BA89:CE100" si="113">IFERROR(SUM(IF($H89=AZ89,$D$10),IF(LEFT($H89,1)=LEFT(AZ89,1),$D$8),IF(MID($H89,FIND("|",$H89)+1,FIND("-",$H89)-FIND("|",$H89)-1)-MID($H89,FIND("-",$H89)+1,11)=MID(AZ89,FIND("|",AZ89)+1,FIND("-",AZ89)-FIND("|",AZ89)-1)-MID(AZ89,FIND("-",AZ89)+1,11),$D$9)),)</f>
        <v>2</v>
      </c>
      <c r="BB89" s="251"/>
      <c r="BC89" s="326" t="s">
        <v>160</v>
      </c>
      <c r="BD89" s="322">
        <f t="shared" si="113"/>
        <v>0</v>
      </c>
      <c r="BE89" s="251"/>
      <c r="BF89" s="326"/>
      <c r="BG89" s="322">
        <f t="shared" si="113"/>
        <v>0</v>
      </c>
      <c r="BH89" s="251"/>
      <c r="BI89" s="326"/>
      <c r="BJ89" s="322">
        <f t="shared" si="113"/>
        <v>0</v>
      </c>
      <c r="BK89" s="251"/>
      <c r="BL89" s="326"/>
      <c r="BM89" s="322">
        <f t="shared" si="113"/>
        <v>0</v>
      </c>
      <c r="BN89" s="251"/>
      <c r="BO89" s="326"/>
      <c r="BP89" s="322">
        <f t="shared" si="113"/>
        <v>0</v>
      </c>
      <c r="BQ89" s="251"/>
      <c r="BR89" s="326"/>
      <c r="BS89" s="322">
        <f t="shared" si="113"/>
        <v>0</v>
      </c>
      <c r="BT89" s="251"/>
      <c r="BU89" s="326"/>
      <c r="BV89" s="322">
        <f t="shared" si="113"/>
        <v>0</v>
      </c>
      <c r="BW89" s="251"/>
      <c r="BX89" s="326"/>
      <c r="BY89" s="322">
        <f t="shared" si="113"/>
        <v>0</v>
      </c>
      <c r="BZ89" s="251"/>
      <c r="CA89" s="326"/>
      <c r="CB89" s="322">
        <f t="shared" si="113"/>
        <v>0</v>
      </c>
      <c r="CC89" s="251"/>
      <c r="CD89" s="326"/>
      <c r="CE89" s="322">
        <f t="shared" si="113"/>
        <v>0</v>
      </c>
      <c r="CF89" s="251"/>
      <c r="CG89" s="251"/>
      <c r="CH89" s="251"/>
    </row>
    <row r="90" spans="1:86" ht="15" customHeight="1">
      <c r="A90" s="219"/>
      <c r="B90" s="219"/>
      <c r="C90" s="219"/>
      <c r="D90" s="219"/>
      <c r="E90" s="219"/>
      <c r="F90" s="562"/>
      <c r="G90" s="328" t="str">
        <f>CONCATENATE(League!D86,"-",League!K86)</f>
        <v>Atlético Madrid-Inter Milan</v>
      </c>
      <c r="H90" s="320" t="str">
        <f>CONCATENATE(IF(League!G86&gt;League!H86,1,IF(League!G86&lt;League!H86,2,IF(AND(League!G86=League!H86,League!G86&lt;&gt;"",League!H86&lt;&gt;""),"X",0))),"|",League!G86,"-",League!H86)</f>
        <v>1|2-1</v>
      </c>
      <c r="I90" s="219"/>
      <c r="J90" s="452" t="s">
        <v>160</v>
      </c>
      <c r="K90" s="322">
        <f t="shared" si="110"/>
        <v>0</v>
      </c>
      <c r="L90" s="251"/>
      <c r="M90" s="326" t="s">
        <v>166</v>
      </c>
      <c r="N90" s="322">
        <f t="shared" ref="N90:BY101" si="114">IFERROR(SUM(IF($H90=M90,$D$10),IF(LEFT($H90,1)=LEFT(M90,1),$D$8),IF(MID($H90,FIND("|",$H90)+1,FIND("-",$H90)-FIND("|",$H90)-1)-MID($H90,FIND("-",$H90)+1,11)=MID(M90,FIND("|",M90)+1,FIND("-",M90)-FIND("|",M90)-1)-MID(M90,FIND("-",M90)+1,11),$D$9)),)</f>
        <v>5</v>
      </c>
      <c r="O90" s="251"/>
      <c r="P90" s="326" t="s">
        <v>166</v>
      </c>
      <c r="Q90" s="322">
        <f t="shared" si="114"/>
        <v>5</v>
      </c>
      <c r="R90" s="251"/>
      <c r="S90" s="326" t="s">
        <v>166</v>
      </c>
      <c r="T90" s="322">
        <f t="shared" si="114"/>
        <v>5</v>
      </c>
      <c r="U90" s="251"/>
      <c r="V90" s="326" t="s">
        <v>164</v>
      </c>
      <c r="W90" s="322">
        <f t="shared" si="114"/>
        <v>2</v>
      </c>
      <c r="X90" s="251"/>
      <c r="Y90" s="326" t="s">
        <v>166</v>
      </c>
      <c r="Z90" s="322">
        <f t="shared" si="114"/>
        <v>5</v>
      </c>
      <c r="AA90" s="251"/>
      <c r="AB90" s="326" t="s">
        <v>164</v>
      </c>
      <c r="AC90" s="322">
        <f t="shared" si="114"/>
        <v>2</v>
      </c>
      <c r="AD90" s="251"/>
      <c r="AE90" s="326" t="s">
        <v>173</v>
      </c>
      <c r="AF90" s="322">
        <f t="shared" si="114"/>
        <v>0</v>
      </c>
      <c r="AG90" s="251"/>
      <c r="AH90" s="326" t="s">
        <v>160</v>
      </c>
      <c r="AI90" s="322">
        <f t="shared" si="114"/>
        <v>0</v>
      </c>
      <c r="AJ90" s="251"/>
      <c r="AK90" s="326" t="s">
        <v>162</v>
      </c>
      <c r="AL90" s="322">
        <f t="shared" si="114"/>
        <v>0</v>
      </c>
      <c r="AM90" s="251"/>
      <c r="AN90" s="326" t="s">
        <v>166</v>
      </c>
      <c r="AO90" s="322">
        <f t="shared" si="114"/>
        <v>5</v>
      </c>
      <c r="AP90" s="251"/>
      <c r="AQ90" s="326" t="s">
        <v>166</v>
      </c>
      <c r="AR90" s="322">
        <f t="shared" si="114"/>
        <v>5</v>
      </c>
      <c r="AS90" s="251"/>
      <c r="AT90" s="326" t="s">
        <v>158</v>
      </c>
      <c r="AU90" s="322">
        <f t="shared" si="114"/>
        <v>0</v>
      </c>
      <c r="AV90" s="251"/>
      <c r="AW90" s="326" t="s">
        <v>166</v>
      </c>
      <c r="AX90" s="322">
        <f t="shared" si="114"/>
        <v>5</v>
      </c>
      <c r="AY90" s="251"/>
      <c r="AZ90" s="534" t="s">
        <v>166</v>
      </c>
      <c r="BA90" s="322">
        <f t="shared" si="114"/>
        <v>5</v>
      </c>
      <c r="BB90" s="251"/>
      <c r="BC90" s="326" t="s">
        <v>170</v>
      </c>
      <c r="BD90" s="322">
        <f t="shared" si="114"/>
        <v>2</v>
      </c>
      <c r="BE90" s="251"/>
      <c r="BF90" s="326"/>
      <c r="BG90" s="322">
        <f t="shared" si="114"/>
        <v>0</v>
      </c>
      <c r="BH90" s="251"/>
      <c r="BI90" s="326"/>
      <c r="BJ90" s="322">
        <f t="shared" si="114"/>
        <v>0</v>
      </c>
      <c r="BK90" s="251"/>
      <c r="BL90" s="326"/>
      <c r="BM90" s="322">
        <f t="shared" si="114"/>
        <v>0</v>
      </c>
      <c r="BN90" s="251"/>
      <c r="BO90" s="326"/>
      <c r="BP90" s="322">
        <f t="shared" si="114"/>
        <v>0</v>
      </c>
      <c r="BQ90" s="251"/>
      <c r="BR90" s="326"/>
      <c r="BS90" s="322">
        <f t="shared" si="114"/>
        <v>0</v>
      </c>
      <c r="BT90" s="251"/>
      <c r="BU90" s="326"/>
      <c r="BV90" s="322">
        <f t="shared" si="114"/>
        <v>0</v>
      </c>
      <c r="BW90" s="251"/>
      <c r="BX90" s="326"/>
      <c r="BY90" s="322">
        <f t="shared" si="114"/>
        <v>0</v>
      </c>
      <c r="BZ90" s="251"/>
      <c r="CA90" s="326"/>
      <c r="CB90" s="322">
        <f t="shared" si="113"/>
        <v>0</v>
      </c>
      <c r="CC90" s="251"/>
      <c r="CD90" s="326"/>
      <c r="CE90" s="322">
        <f t="shared" si="113"/>
        <v>0</v>
      </c>
      <c r="CF90" s="251"/>
      <c r="CG90" s="251"/>
      <c r="CH90" s="251"/>
    </row>
    <row r="91" spans="1:86" ht="15" customHeight="1">
      <c r="A91" s="219"/>
      <c r="B91" s="219"/>
      <c r="C91" s="219"/>
      <c r="D91" s="219"/>
      <c r="E91" s="219"/>
      <c r="F91" s="562"/>
      <c r="G91" s="319" t="str">
        <f>CONCATENATE(League!D87,"-",League!K87)</f>
        <v>Eintracht Frankfurt-Atalanta</v>
      </c>
      <c r="H91" s="320" t="str">
        <f>CONCATENATE(IF(League!G87&gt;League!H87,1,IF(League!G87&lt;League!H87,2,IF(AND(League!G87=League!H87,League!G87&lt;&gt;"",League!H87&lt;&gt;""),"X",0))),"|",League!G87,"-",League!H87)</f>
        <v>2|0-3</v>
      </c>
      <c r="I91" s="219"/>
      <c r="J91" s="452" t="s">
        <v>158</v>
      </c>
      <c r="K91" s="322">
        <f t="shared" si="110"/>
        <v>0</v>
      </c>
      <c r="L91" s="251"/>
      <c r="M91" s="326" t="s">
        <v>166</v>
      </c>
      <c r="N91" s="322">
        <f t="shared" si="114"/>
        <v>0</v>
      </c>
      <c r="O91" s="251"/>
      <c r="P91" s="326" t="s">
        <v>161</v>
      </c>
      <c r="Q91" s="322">
        <f t="shared" si="114"/>
        <v>2</v>
      </c>
      <c r="R91" s="251"/>
      <c r="S91" s="326" t="s">
        <v>187</v>
      </c>
      <c r="T91" s="322">
        <f t="shared" si="114"/>
        <v>0</v>
      </c>
      <c r="U91" s="251"/>
      <c r="V91" s="326" t="s">
        <v>158</v>
      </c>
      <c r="W91" s="322">
        <f t="shared" si="114"/>
        <v>0</v>
      </c>
      <c r="X91" s="251"/>
      <c r="Y91" s="326" t="s">
        <v>158</v>
      </c>
      <c r="Z91" s="322">
        <f t="shared" si="114"/>
        <v>0</v>
      </c>
      <c r="AA91" s="251"/>
      <c r="AB91" s="326" t="s">
        <v>167</v>
      </c>
      <c r="AC91" s="322">
        <f t="shared" si="114"/>
        <v>0</v>
      </c>
      <c r="AD91" s="251"/>
      <c r="AE91" s="326" t="s">
        <v>162</v>
      </c>
      <c r="AF91" s="322">
        <f t="shared" si="114"/>
        <v>2</v>
      </c>
      <c r="AG91" s="251"/>
      <c r="AH91" s="326" t="s">
        <v>161</v>
      </c>
      <c r="AI91" s="322">
        <f t="shared" si="114"/>
        <v>2</v>
      </c>
      <c r="AJ91" s="251"/>
      <c r="AK91" s="326" t="s">
        <v>162</v>
      </c>
      <c r="AL91" s="322">
        <f t="shared" si="114"/>
        <v>2</v>
      </c>
      <c r="AM91" s="251"/>
      <c r="AN91" s="326" t="s">
        <v>166</v>
      </c>
      <c r="AO91" s="322">
        <f t="shared" si="114"/>
        <v>0</v>
      </c>
      <c r="AP91" s="251"/>
      <c r="AQ91" s="326" t="s">
        <v>160</v>
      </c>
      <c r="AR91" s="322">
        <f t="shared" si="114"/>
        <v>0</v>
      </c>
      <c r="AS91" s="251"/>
      <c r="AT91" s="326" t="s">
        <v>160</v>
      </c>
      <c r="AU91" s="322">
        <f t="shared" si="114"/>
        <v>0</v>
      </c>
      <c r="AV91" s="251"/>
      <c r="AW91" s="326" t="s">
        <v>161</v>
      </c>
      <c r="AX91" s="322">
        <f t="shared" si="114"/>
        <v>2</v>
      </c>
      <c r="AY91" s="251"/>
      <c r="AZ91" s="534" t="s">
        <v>158</v>
      </c>
      <c r="BA91" s="322">
        <f t="shared" si="114"/>
        <v>0</v>
      </c>
      <c r="BB91" s="251"/>
      <c r="BC91" s="326" t="s">
        <v>161</v>
      </c>
      <c r="BD91" s="322">
        <f t="shared" si="114"/>
        <v>2</v>
      </c>
      <c r="BE91" s="251"/>
      <c r="BF91" s="326"/>
      <c r="BG91" s="322">
        <f t="shared" si="114"/>
        <v>0</v>
      </c>
      <c r="BH91" s="251"/>
      <c r="BI91" s="326"/>
      <c r="BJ91" s="322">
        <f t="shared" si="114"/>
        <v>0</v>
      </c>
      <c r="BK91" s="251"/>
      <c r="BL91" s="326"/>
      <c r="BM91" s="322">
        <f t="shared" si="114"/>
        <v>0</v>
      </c>
      <c r="BN91" s="251"/>
      <c r="BO91" s="326"/>
      <c r="BP91" s="322">
        <f t="shared" si="114"/>
        <v>0</v>
      </c>
      <c r="BQ91" s="251"/>
      <c r="BR91" s="326"/>
      <c r="BS91" s="322">
        <f t="shared" si="114"/>
        <v>0</v>
      </c>
      <c r="BT91" s="251"/>
      <c r="BU91" s="326"/>
      <c r="BV91" s="322">
        <f t="shared" si="114"/>
        <v>0</v>
      </c>
      <c r="BW91" s="251"/>
      <c r="BX91" s="326"/>
      <c r="BY91" s="322">
        <f t="shared" si="114"/>
        <v>0</v>
      </c>
      <c r="BZ91" s="251"/>
      <c r="CA91" s="326"/>
      <c r="CB91" s="322">
        <f t="shared" si="113"/>
        <v>0</v>
      </c>
      <c r="CC91" s="251"/>
      <c r="CD91" s="326"/>
      <c r="CE91" s="322">
        <f t="shared" si="113"/>
        <v>0</v>
      </c>
      <c r="CF91" s="251"/>
      <c r="CG91" s="251"/>
      <c r="CH91" s="251"/>
    </row>
    <row r="92" spans="1:86" ht="15" customHeight="1">
      <c r="A92" s="219"/>
      <c r="B92" s="219"/>
      <c r="C92" s="219"/>
      <c r="D92" s="219"/>
      <c r="E92" s="219"/>
      <c r="F92" s="562"/>
      <c r="G92" s="328" t="str">
        <f>CONCATENATE(League!D88,"-",League!K88)</f>
        <v>Liverpool-PSV Eindhoven</v>
      </c>
      <c r="H92" s="320" t="str">
        <f>CONCATENATE(IF(League!G88&gt;League!H88,1,IF(League!G88&lt;League!H88,2,IF(AND(League!G88=League!H88,League!G88&lt;&gt;"",League!H88&lt;&gt;""),"X",0))),"|",League!G88,"-",League!H88)</f>
        <v>2|1-4</v>
      </c>
      <c r="I92" s="219"/>
      <c r="J92" s="452" t="s">
        <v>165</v>
      </c>
      <c r="K92" s="322">
        <f t="shared" si="110"/>
        <v>0</v>
      </c>
      <c r="L92" s="251"/>
      <c r="M92" s="326" t="s">
        <v>170</v>
      </c>
      <c r="N92" s="322">
        <f t="shared" si="114"/>
        <v>0</v>
      </c>
      <c r="O92" s="251"/>
      <c r="P92" s="326" t="s">
        <v>166</v>
      </c>
      <c r="Q92" s="322">
        <f t="shared" si="114"/>
        <v>0</v>
      </c>
      <c r="R92" s="251"/>
      <c r="S92" s="326" t="s">
        <v>187</v>
      </c>
      <c r="T92" s="322">
        <f t="shared" si="114"/>
        <v>0</v>
      </c>
      <c r="U92" s="251"/>
      <c r="V92" s="326" t="s">
        <v>167</v>
      </c>
      <c r="W92" s="322">
        <f t="shared" si="114"/>
        <v>0</v>
      </c>
      <c r="X92" s="251"/>
      <c r="Y92" s="326" t="s">
        <v>166</v>
      </c>
      <c r="Z92" s="322">
        <f t="shared" si="114"/>
        <v>0</v>
      </c>
      <c r="AA92" s="251"/>
      <c r="AB92" s="326" t="s">
        <v>167</v>
      </c>
      <c r="AC92" s="322">
        <f t="shared" si="114"/>
        <v>0</v>
      </c>
      <c r="AD92" s="251"/>
      <c r="AE92" s="326" t="s">
        <v>183</v>
      </c>
      <c r="AF92" s="322">
        <f t="shared" si="114"/>
        <v>0</v>
      </c>
      <c r="AG92" s="251"/>
      <c r="AH92" s="326" t="s">
        <v>169</v>
      </c>
      <c r="AI92" s="322">
        <f t="shared" si="114"/>
        <v>0</v>
      </c>
      <c r="AJ92" s="251"/>
      <c r="AK92" s="326" t="s">
        <v>163</v>
      </c>
      <c r="AL92" s="322">
        <f t="shared" si="114"/>
        <v>0</v>
      </c>
      <c r="AM92" s="251"/>
      <c r="AN92" s="326" t="s">
        <v>170</v>
      </c>
      <c r="AO92" s="322">
        <f t="shared" si="114"/>
        <v>0</v>
      </c>
      <c r="AP92" s="251"/>
      <c r="AQ92" s="326" t="s">
        <v>166</v>
      </c>
      <c r="AR92" s="322">
        <f t="shared" si="114"/>
        <v>0</v>
      </c>
      <c r="AS92" s="251"/>
      <c r="AT92" s="326" t="s">
        <v>170</v>
      </c>
      <c r="AU92" s="322">
        <f t="shared" si="114"/>
        <v>0</v>
      </c>
      <c r="AV92" s="251"/>
      <c r="AW92" s="326" t="s">
        <v>166</v>
      </c>
      <c r="AX92" s="322">
        <f t="shared" si="114"/>
        <v>0</v>
      </c>
      <c r="AY92" s="251"/>
      <c r="AZ92" s="534" t="s">
        <v>165</v>
      </c>
      <c r="BA92" s="322">
        <f t="shared" si="114"/>
        <v>0</v>
      </c>
      <c r="BB92" s="251"/>
      <c r="BC92" s="326" t="s">
        <v>165</v>
      </c>
      <c r="BD92" s="322">
        <f t="shared" si="114"/>
        <v>0</v>
      </c>
      <c r="BE92" s="251"/>
      <c r="BF92" s="326"/>
      <c r="BG92" s="322">
        <f t="shared" si="114"/>
        <v>0</v>
      </c>
      <c r="BH92" s="251"/>
      <c r="BI92" s="326"/>
      <c r="BJ92" s="322">
        <f t="shared" si="114"/>
        <v>0</v>
      </c>
      <c r="BK92" s="251"/>
      <c r="BL92" s="326"/>
      <c r="BM92" s="322">
        <f t="shared" si="114"/>
        <v>0</v>
      </c>
      <c r="BN92" s="251"/>
      <c r="BO92" s="326"/>
      <c r="BP92" s="322">
        <f t="shared" si="114"/>
        <v>0</v>
      </c>
      <c r="BQ92" s="251"/>
      <c r="BR92" s="326"/>
      <c r="BS92" s="322">
        <f t="shared" si="114"/>
        <v>0</v>
      </c>
      <c r="BT92" s="251"/>
      <c r="BU92" s="326"/>
      <c r="BV92" s="322">
        <f t="shared" si="114"/>
        <v>0</v>
      </c>
      <c r="BW92" s="251"/>
      <c r="BX92" s="326"/>
      <c r="BY92" s="322">
        <f t="shared" si="114"/>
        <v>0</v>
      </c>
      <c r="BZ92" s="251"/>
      <c r="CA92" s="326"/>
      <c r="CB92" s="322">
        <f t="shared" si="113"/>
        <v>0</v>
      </c>
      <c r="CC92" s="251"/>
      <c r="CD92" s="326"/>
      <c r="CE92" s="322">
        <f t="shared" si="113"/>
        <v>0</v>
      </c>
      <c r="CF92" s="251"/>
      <c r="CG92" s="251"/>
      <c r="CH92" s="251"/>
    </row>
    <row r="93" spans="1:86" ht="15" customHeight="1">
      <c r="A93" s="219"/>
      <c r="B93" s="219"/>
      <c r="C93" s="219"/>
      <c r="D93" s="219"/>
      <c r="E93" s="219"/>
      <c r="F93" s="562"/>
      <c r="G93" s="319" t="str">
        <f>CONCATENATE(League!D89,"-",League!K89)</f>
        <v>Olympiakos-Real Madrid</v>
      </c>
      <c r="H93" s="320" t="str">
        <f>CONCATENATE(IF(League!G89&gt;League!H89,1,IF(League!G89&lt;League!H89,2,IF(AND(League!G89=League!H89,League!G89&lt;&gt;"",League!H89&lt;&gt;""),"X",0))),"|",League!G89,"-",League!H89)</f>
        <v>2|3-4</v>
      </c>
      <c r="I93" s="219"/>
      <c r="J93" s="452" t="s">
        <v>160</v>
      </c>
      <c r="K93" s="322">
        <f t="shared" si="110"/>
        <v>0</v>
      </c>
      <c r="L93" s="251"/>
      <c r="M93" s="326" t="s">
        <v>161</v>
      </c>
      <c r="N93" s="322">
        <f t="shared" si="114"/>
        <v>2</v>
      </c>
      <c r="O93" s="251"/>
      <c r="P93" s="326" t="s">
        <v>161</v>
      </c>
      <c r="Q93" s="322">
        <f t="shared" si="114"/>
        <v>2</v>
      </c>
      <c r="R93" s="251"/>
      <c r="S93" s="326" t="s">
        <v>162</v>
      </c>
      <c r="T93" s="322">
        <f t="shared" si="114"/>
        <v>2</v>
      </c>
      <c r="U93" s="251"/>
      <c r="V93" s="326" t="s">
        <v>161</v>
      </c>
      <c r="W93" s="322">
        <f t="shared" si="114"/>
        <v>2</v>
      </c>
      <c r="X93" s="251"/>
      <c r="Y93" s="326" t="s">
        <v>161</v>
      </c>
      <c r="Z93" s="322">
        <f t="shared" si="114"/>
        <v>2</v>
      </c>
      <c r="AA93" s="251"/>
      <c r="AB93" s="326" t="s">
        <v>157</v>
      </c>
      <c r="AC93" s="322">
        <f t="shared" si="114"/>
        <v>2</v>
      </c>
      <c r="AD93" s="251"/>
      <c r="AE93" s="326" t="s">
        <v>173</v>
      </c>
      <c r="AF93" s="322">
        <f t="shared" si="114"/>
        <v>2</v>
      </c>
      <c r="AG93" s="251"/>
      <c r="AH93" s="326" t="s">
        <v>159</v>
      </c>
      <c r="AI93" s="322">
        <f t="shared" si="114"/>
        <v>2</v>
      </c>
      <c r="AJ93" s="251"/>
      <c r="AK93" s="326" t="s">
        <v>159</v>
      </c>
      <c r="AL93" s="322">
        <f t="shared" si="114"/>
        <v>2</v>
      </c>
      <c r="AM93" s="251"/>
      <c r="AN93" s="326" t="s">
        <v>157</v>
      </c>
      <c r="AO93" s="322">
        <f t="shared" si="114"/>
        <v>2</v>
      </c>
      <c r="AP93" s="251"/>
      <c r="AQ93" s="326" t="s">
        <v>157</v>
      </c>
      <c r="AR93" s="322">
        <f t="shared" si="114"/>
        <v>2</v>
      </c>
      <c r="AS93" s="251"/>
      <c r="AT93" s="326" t="s">
        <v>159</v>
      </c>
      <c r="AU93" s="322">
        <f t="shared" si="114"/>
        <v>2</v>
      </c>
      <c r="AV93" s="251"/>
      <c r="AW93" s="326" t="s">
        <v>157</v>
      </c>
      <c r="AX93" s="322">
        <f t="shared" si="114"/>
        <v>2</v>
      </c>
      <c r="AY93" s="251"/>
      <c r="AZ93" s="534" t="s">
        <v>161</v>
      </c>
      <c r="BA93" s="322">
        <f t="shared" si="114"/>
        <v>2</v>
      </c>
      <c r="BB93" s="251"/>
      <c r="BC93" s="326" t="s">
        <v>161</v>
      </c>
      <c r="BD93" s="322">
        <f t="shared" si="114"/>
        <v>2</v>
      </c>
      <c r="BE93" s="251"/>
      <c r="BF93" s="326"/>
      <c r="BG93" s="322">
        <f t="shared" si="114"/>
        <v>0</v>
      </c>
      <c r="BH93" s="251"/>
      <c r="BI93" s="326"/>
      <c r="BJ93" s="322">
        <f t="shared" si="114"/>
        <v>0</v>
      </c>
      <c r="BK93" s="251"/>
      <c r="BL93" s="326"/>
      <c r="BM93" s="322">
        <f t="shared" si="114"/>
        <v>0</v>
      </c>
      <c r="BN93" s="251"/>
      <c r="BO93" s="326"/>
      <c r="BP93" s="322">
        <f t="shared" si="114"/>
        <v>0</v>
      </c>
      <c r="BQ93" s="251"/>
      <c r="BR93" s="326"/>
      <c r="BS93" s="322">
        <f t="shared" si="114"/>
        <v>0</v>
      </c>
      <c r="BT93" s="251"/>
      <c r="BU93" s="326"/>
      <c r="BV93" s="322">
        <f t="shared" si="114"/>
        <v>0</v>
      </c>
      <c r="BW93" s="251"/>
      <c r="BX93" s="326"/>
      <c r="BY93" s="322">
        <f t="shared" si="114"/>
        <v>0</v>
      </c>
      <c r="BZ93" s="251"/>
      <c r="CA93" s="326"/>
      <c r="CB93" s="322">
        <f t="shared" si="113"/>
        <v>0</v>
      </c>
      <c r="CC93" s="251"/>
      <c r="CD93" s="326"/>
      <c r="CE93" s="322">
        <f t="shared" si="113"/>
        <v>0</v>
      </c>
      <c r="CF93" s="251"/>
      <c r="CG93" s="251"/>
      <c r="CH93" s="251"/>
    </row>
    <row r="94" spans="1:86" ht="15" customHeight="1">
      <c r="A94" s="219"/>
      <c r="B94" s="219"/>
      <c r="C94" s="219"/>
      <c r="D94" s="219"/>
      <c r="E94" s="219"/>
      <c r="F94" s="562"/>
      <c r="G94" s="328" t="str">
        <f>CONCATENATE(League!D90,"-",League!K90)</f>
        <v>PSG-Tottenham</v>
      </c>
      <c r="H94" s="320" t="str">
        <f>CONCATENATE(IF(League!G90&gt;League!H90,1,IF(League!G90&lt;League!H90,2,IF(AND(League!G90=League!H90,League!G90&lt;&gt;"",League!H90&lt;&gt;""),"X",0))),"|",League!G90,"-",League!H90)</f>
        <v>1|5-3</v>
      </c>
      <c r="I94" s="219"/>
      <c r="J94" s="452" t="s">
        <v>169</v>
      </c>
      <c r="K94" s="322">
        <f t="shared" si="110"/>
        <v>2</v>
      </c>
      <c r="L94" s="251"/>
      <c r="M94" s="326" t="s">
        <v>169</v>
      </c>
      <c r="N94" s="322">
        <f t="shared" si="114"/>
        <v>2</v>
      </c>
      <c r="O94" s="251"/>
      <c r="P94" s="326" t="s">
        <v>165</v>
      </c>
      <c r="Q94" s="322">
        <f t="shared" si="114"/>
        <v>2</v>
      </c>
      <c r="R94" s="251"/>
      <c r="S94" s="326" t="s">
        <v>166</v>
      </c>
      <c r="T94" s="322">
        <f t="shared" si="114"/>
        <v>2</v>
      </c>
      <c r="U94" s="251"/>
      <c r="V94" s="326" t="s">
        <v>170</v>
      </c>
      <c r="W94" s="322">
        <f t="shared" si="114"/>
        <v>2</v>
      </c>
      <c r="X94" s="251"/>
      <c r="Y94" s="326" t="s">
        <v>167</v>
      </c>
      <c r="Z94" s="322">
        <f t="shared" si="114"/>
        <v>2</v>
      </c>
      <c r="AA94" s="251"/>
      <c r="AB94" s="326" t="s">
        <v>165</v>
      </c>
      <c r="AC94" s="322">
        <f t="shared" si="114"/>
        <v>2</v>
      </c>
      <c r="AD94" s="251"/>
      <c r="AE94" s="326" t="s">
        <v>166</v>
      </c>
      <c r="AF94" s="322">
        <f t="shared" si="114"/>
        <v>2</v>
      </c>
      <c r="AG94" s="251"/>
      <c r="AH94" s="326" t="s">
        <v>158</v>
      </c>
      <c r="AI94" s="322">
        <f t="shared" si="114"/>
        <v>0</v>
      </c>
      <c r="AJ94" s="251"/>
      <c r="AK94" s="326" t="s">
        <v>165</v>
      </c>
      <c r="AL94" s="322">
        <f t="shared" si="114"/>
        <v>2</v>
      </c>
      <c r="AM94" s="251"/>
      <c r="AN94" s="326" t="s">
        <v>170</v>
      </c>
      <c r="AO94" s="322">
        <f t="shared" si="114"/>
        <v>2</v>
      </c>
      <c r="AP94" s="251"/>
      <c r="AQ94" s="326" t="s">
        <v>166</v>
      </c>
      <c r="AR94" s="322">
        <f t="shared" si="114"/>
        <v>2</v>
      </c>
      <c r="AS94" s="251"/>
      <c r="AT94" s="326" t="s">
        <v>160</v>
      </c>
      <c r="AU94" s="322">
        <f t="shared" si="114"/>
        <v>0</v>
      </c>
      <c r="AV94" s="251"/>
      <c r="AW94" s="326" t="s">
        <v>166</v>
      </c>
      <c r="AX94" s="322">
        <f t="shared" si="114"/>
        <v>2</v>
      </c>
      <c r="AY94" s="251"/>
      <c r="AZ94" s="534" t="s">
        <v>170</v>
      </c>
      <c r="BA94" s="322">
        <f t="shared" si="114"/>
        <v>2</v>
      </c>
      <c r="BB94" s="251"/>
      <c r="BC94" s="326" t="s">
        <v>170</v>
      </c>
      <c r="BD94" s="322">
        <f t="shared" si="114"/>
        <v>2</v>
      </c>
      <c r="BE94" s="251"/>
      <c r="BF94" s="326"/>
      <c r="BG94" s="322">
        <f t="shared" si="114"/>
        <v>0</v>
      </c>
      <c r="BH94" s="251"/>
      <c r="BI94" s="326"/>
      <c r="BJ94" s="322">
        <f t="shared" si="114"/>
        <v>0</v>
      </c>
      <c r="BK94" s="251"/>
      <c r="BL94" s="326"/>
      <c r="BM94" s="322">
        <f t="shared" si="114"/>
        <v>0</v>
      </c>
      <c r="BN94" s="251"/>
      <c r="BO94" s="326"/>
      <c r="BP94" s="322">
        <f t="shared" si="114"/>
        <v>0</v>
      </c>
      <c r="BQ94" s="251"/>
      <c r="BR94" s="326"/>
      <c r="BS94" s="322">
        <f t="shared" si="114"/>
        <v>0</v>
      </c>
      <c r="BT94" s="251"/>
      <c r="BU94" s="326"/>
      <c r="BV94" s="322">
        <f t="shared" si="114"/>
        <v>0</v>
      </c>
      <c r="BW94" s="251"/>
      <c r="BX94" s="326"/>
      <c r="BY94" s="322">
        <f t="shared" si="114"/>
        <v>0</v>
      </c>
      <c r="BZ94" s="251"/>
      <c r="CA94" s="326"/>
      <c r="CB94" s="322">
        <f t="shared" si="113"/>
        <v>0</v>
      </c>
      <c r="CC94" s="251"/>
      <c r="CD94" s="326"/>
      <c r="CE94" s="322">
        <f t="shared" si="113"/>
        <v>0</v>
      </c>
      <c r="CF94" s="251"/>
      <c r="CG94" s="251"/>
      <c r="CH94" s="251"/>
    </row>
    <row r="95" spans="1:86" ht="15" customHeight="1">
      <c r="A95" s="219"/>
      <c r="B95" s="219"/>
      <c r="C95" s="219"/>
      <c r="D95" s="219"/>
      <c r="E95" s="219"/>
      <c r="F95" s="562"/>
      <c r="G95" s="334" t="str">
        <f>CONCATENATE(League!D91,"-",League!K91)</f>
        <v>Sporting Portugal-Brugge</v>
      </c>
      <c r="H95" s="335" t="str">
        <f>CONCATENATE(IF(League!G91&gt;League!H91,1,IF(League!G91&lt;League!H91,2,IF(AND(League!G91=League!H91,League!G91&lt;&gt;"",League!H91&lt;&gt;""),"X",0))),"|",League!G91,"-",League!H91)</f>
        <v>1|3-0</v>
      </c>
      <c r="I95" s="219"/>
      <c r="J95" s="455" t="s">
        <v>171</v>
      </c>
      <c r="K95" s="337">
        <f t="shared" si="110"/>
        <v>2</v>
      </c>
      <c r="L95" s="251"/>
      <c r="M95" s="336" t="s">
        <v>166</v>
      </c>
      <c r="N95" s="337">
        <f t="shared" si="114"/>
        <v>2</v>
      </c>
      <c r="O95" s="251"/>
      <c r="P95" s="336" t="s">
        <v>167</v>
      </c>
      <c r="Q95" s="337">
        <f t="shared" si="114"/>
        <v>2</v>
      </c>
      <c r="R95" s="251"/>
      <c r="S95" s="336" t="s">
        <v>162</v>
      </c>
      <c r="T95" s="337">
        <f t="shared" si="114"/>
        <v>0</v>
      </c>
      <c r="U95" s="251"/>
      <c r="V95" s="336" t="s">
        <v>167</v>
      </c>
      <c r="W95" s="337">
        <f t="shared" si="114"/>
        <v>2</v>
      </c>
      <c r="X95" s="251"/>
      <c r="Y95" s="336" t="s">
        <v>166</v>
      </c>
      <c r="Z95" s="337">
        <f t="shared" si="114"/>
        <v>2</v>
      </c>
      <c r="AA95" s="251"/>
      <c r="AB95" s="336" t="s">
        <v>161</v>
      </c>
      <c r="AC95" s="337">
        <f t="shared" si="114"/>
        <v>0</v>
      </c>
      <c r="AD95" s="251"/>
      <c r="AE95" s="336" t="s">
        <v>165</v>
      </c>
      <c r="AF95" s="337">
        <f t="shared" si="114"/>
        <v>5</v>
      </c>
      <c r="AG95" s="251"/>
      <c r="AH95" s="336" t="s">
        <v>167</v>
      </c>
      <c r="AI95" s="337">
        <f t="shared" si="114"/>
        <v>2</v>
      </c>
      <c r="AJ95" s="251"/>
      <c r="AK95" s="336" t="s">
        <v>167</v>
      </c>
      <c r="AL95" s="337">
        <f t="shared" si="114"/>
        <v>2</v>
      </c>
      <c r="AM95" s="251"/>
      <c r="AN95" s="336" t="s">
        <v>161</v>
      </c>
      <c r="AO95" s="337">
        <f t="shared" si="114"/>
        <v>0</v>
      </c>
      <c r="AP95" s="251"/>
      <c r="AQ95" s="336" t="s">
        <v>165</v>
      </c>
      <c r="AR95" s="337">
        <f t="shared" si="114"/>
        <v>5</v>
      </c>
      <c r="AS95" s="251"/>
      <c r="AT95" s="336" t="s">
        <v>164</v>
      </c>
      <c r="AU95" s="337">
        <f t="shared" si="114"/>
        <v>2</v>
      </c>
      <c r="AV95" s="251"/>
      <c r="AW95" s="336" t="s">
        <v>167</v>
      </c>
      <c r="AX95" s="337">
        <f t="shared" si="114"/>
        <v>2</v>
      </c>
      <c r="AY95" s="251"/>
      <c r="AZ95" s="537" t="s">
        <v>164</v>
      </c>
      <c r="BA95" s="337">
        <f t="shared" si="114"/>
        <v>2</v>
      </c>
      <c r="BB95" s="251"/>
      <c r="BC95" s="336" t="s">
        <v>170</v>
      </c>
      <c r="BD95" s="337">
        <f t="shared" si="114"/>
        <v>2</v>
      </c>
      <c r="BE95" s="251"/>
      <c r="BF95" s="336"/>
      <c r="BG95" s="337">
        <f t="shared" si="114"/>
        <v>0</v>
      </c>
      <c r="BH95" s="251"/>
      <c r="BI95" s="336"/>
      <c r="BJ95" s="337">
        <f t="shared" si="114"/>
        <v>0</v>
      </c>
      <c r="BK95" s="251"/>
      <c r="BL95" s="336"/>
      <c r="BM95" s="337">
        <f t="shared" si="114"/>
        <v>0</v>
      </c>
      <c r="BN95" s="251"/>
      <c r="BO95" s="336"/>
      <c r="BP95" s="337">
        <f t="shared" si="114"/>
        <v>0</v>
      </c>
      <c r="BQ95" s="251"/>
      <c r="BR95" s="336"/>
      <c r="BS95" s="337">
        <f t="shared" si="114"/>
        <v>0</v>
      </c>
      <c r="BT95" s="251"/>
      <c r="BU95" s="336"/>
      <c r="BV95" s="337">
        <f t="shared" si="114"/>
        <v>0</v>
      </c>
      <c r="BW95" s="251"/>
      <c r="BX95" s="336"/>
      <c r="BY95" s="337">
        <f t="shared" si="114"/>
        <v>0</v>
      </c>
      <c r="BZ95" s="251"/>
      <c r="CA95" s="336"/>
      <c r="CB95" s="337">
        <f t="shared" si="113"/>
        <v>0</v>
      </c>
      <c r="CC95" s="251"/>
      <c r="CD95" s="336"/>
      <c r="CE95" s="337">
        <f t="shared" si="113"/>
        <v>0</v>
      </c>
      <c r="CF95" s="251"/>
      <c r="CG95" s="251"/>
      <c r="CH95" s="251"/>
    </row>
    <row r="96" spans="1:86" ht="15" customHeight="1">
      <c r="A96" s="219"/>
      <c r="B96" s="219"/>
      <c r="C96" s="219"/>
      <c r="D96" s="219"/>
      <c r="E96" s="219"/>
      <c r="F96" s="561" t="str">
        <f>+Idiomas!D104</f>
        <v>J6</v>
      </c>
      <c r="G96" s="319" t="str">
        <f>CONCATENATE(League!D92,"-",League!K92)</f>
        <v>Kairat Almaty -Olympiakos</v>
      </c>
      <c r="H96" s="320" t="str">
        <f>CONCATENATE(IF(League!G92&gt;League!H92,1,IF(League!G92&lt;League!H92,2,IF(AND(League!G92=League!H92,League!G92&lt;&gt;"",League!H92&lt;&gt;""),"X",0))),"|",League!G92,"-",League!H92)</f>
        <v>2|0-1</v>
      </c>
      <c r="I96" s="219"/>
      <c r="J96" s="452" t="s">
        <v>162</v>
      </c>
      <c r="K96" s="341">
        <f t="shared" si="110"/>
        <v>2</v>
      </c>
      <c r="L96" s="251"/>
      <c r="M96" s="340" t="s">
        <v>157</v>
      </c>
      <c r="N96" s="341">
        <f t="shared" si="114"/>
        <v>2</v>
      </c>
      <c r="O96" s="251"/>
      <c r="P96" s="340" t="s">
        <v>162</v>
      </c>
      <c r="Q96" s="341">
        <f t="shared" si="114"/>
        <v>2</v>
      </c>
      <c r="R96" s="251"/>
      <c r="S96" s="340" t="s">
        <v>158</v>
      </c>
      <c r="T96" s="341">
        <f t="shared" si="114"/>
        <v>0</v>
      </c>
      <c r="U96" s="251"/>
      <c r="V96" s="340" t="s">
        <v>168</v>
      </c>
      <c r="W96" s="341">
        <f t="shared" si="114"/>
        <v>0</v>
      </c>
      <c r="X96" s="251"/>
      <c r="Y96" s="340" t="s">
        <v>161</v>
      </c>
      <c r="Z96" s="341">
        <f t="shared" si="114"/>
        <v>2</v>
      </c>
      <c r="AA96" s="251"/>
      <c r="AB96" s="340" t="s">
        <v>158</v>
      </c>
      <c r="AC96" s="341">
        <f t="shared" si="114"/>
        <v>0</v>
      </c>
      <c r="AD96" s="251"/>
      <c r="AE96" s="340" t="s">
        <v>158</v>
      </c>
      <c r="AF96" s="341">
        <f t="shared" si="114"/>
        <v>0</v>
      </c>
      <c r="AG96" s="251"/>
      <c r="AH96" s="340" t="s">
        <v>164</v>
      </c>
      <c r="AI96" s="341">
        <f t="shared" si="114"/>
        <v>0</v>
      </c>
      <c r="AJ96" s="251"/>
      <c r="AK96" s="340" t="s">
        <v>162</v>
      </c>
      <c r="AL96" s="341">
        <f t="shared" si="114"/>
        <v>2</v>
      </c>
      <c r="AM96" s="251"/>
      <c r="AN96" s="340" t="s">
        <v>158</v>
      </c>
      <c r="AO96" s="341">
        <f t="shared" si="114"/>
        <v>0</v>
      </c>
      <c r="AP96" s="251"/>
      <c r="AQ96" s="340" t="s">
        <v>161</v>
      </c>
      <c r="AR96" s="341">
        <f t="shared" si="114"/>
        <v>2</v>
      </c>
      <c r="AS96" s="251"/>
      <c r="AT96" s="340" t="s">
        <v>161</v>
      </c>
      <c r="AU96" s="341">
        <f t="shared" si="114"/>
        <v>2</v>
      </c>
      <c r="AV96" s="251"/>
      <c r="AW96" s="340" t="s">
        <v>158</v>
      </c>
      <c r="AX96" s="341">
        <f t="shared" si="114"/>
        <v>0</v>
      </c>
      <c r="AY96" s="251"/>
      <c r="AZ96" s="534" t="s">
        <v>164</v>
      </c>
      <c r="BA96" s="341">
        <f t="shared" si="114"/>
        <v>0</v>
      </c>
      <c r="BB96" s="251"/>
      <c r="BC96" s="340" t="s">
        <v>162</v>
      </c>
      <c r="BD96" s="341">
        <f t="shared" si="114"/>
        <v>2</v>
      </c>
      <c r="BE96" s="251"/>
      <c r="BF96" s="340" t="str">
        <f>+Idiomas!$D$243</f>
        <v>Pegar Valores (J6)</v>
      </c>
      <c r="BG96" s="341">
        <f t="shared" si="114"/>
        <v>0</v>
      </c>
      <c r="BH96" s="251"/>
      <c r="BI96" s="340" t="str">
        <f>+Idiomas!$D$243</f>
        <v>Pegar Valores (J6)</v>
      </c>
      <c r="BJ96" s="341">
        <f t="shared" si="114"/>
        <v>0</v>
      </c>
      <c r="BK96" s="251"/>
      <c r="BL96" s="340" t="str">
        <f>+Idiomas!$D$243</f>
        <v>Pegar Valores (J6)</v>
      </c>
      <c r="BM96" s="341">
        <f t="shared" si="114"/>
        <v>0</v>
      </c>
      <c r="BN96" s="251"/>
      <c r="BO96" s="340" t="str">
        <f>+Idiomas!$D$243</f>
        <v>Pegar Valores (J6)</v>
      </c>
      <c r="BP96" s="341">
        <f t="shared" si="114"/>
        <v>0</v>
      </c>
      <c r="BQ96" s="251"/>
      <c r="BR96" s="340" t="str">
        <f>+Idiomas!$D$243</f>
        <v>Pegar Valores (J6)</v>
      </c>
      <c r="BS96" s="341">
        <f t="shared" si="114"/>
        <v>0</v>
      </c>
      <c r="BT96" s="251"/>
      <c r="BU96" s="340" t="str">
        <f>+Idiomas!$D$243</f>
        <v>Pegar Valores (J6)</v>
      </c>
      <c r="BV96" s="341">
        <f t="shared" si="114"/>
        <v>0</v>
      </c>
      <c r="BW96" s="251"/>
      <c r="BX96" s="340" t="str">
        <f>+Idiomas!$D$243</f>
        <v>Pegar Valores (J6)</v>
      </c>
      <c r="BY96" s="341">
        <f t="shared" si="114"/>
        <v>0</v>
      </c>
      <c r="BZ96" s="251"/>
      <c r="CA96" s="340" t="str">
        <f>+Idiomas!$D$243</f>
        <v>Pegar Valores (J6)</v>
      </c>
      <c r="CB96" s="341">
        <f t="shared" si="113"/>
        <v>0</v>
      </c>
      <c r="CC96" s="251"/>
      <c r="CD96" s="340" t="str">
        <f>+Idiomas!$D$243</f>
        <v>Pegar Valores (J6)</v>
      </c>
      <c r="CE96" s="341">
        <f t="shared" si="113"/>
        <v>0</v>
      </c>
      <c r="CF96" s="251"/>
      <c r="CG96" s="251"/>
      <c r="CH96" s="251"/>
    </row>
    <row r="97" spans="1:86" ht="15" customHeight="1">
      <c r="A97" s="219"/>
      <c r="B97" s="219"/>
      <c r="C97" s="219"/>
      <c r="D97" s="219"/>
      <c r="E97" s="219"/>
      <c r="F97" s="561"/>
      <c r="G97" s="319" t="str">
        <f>CONCATENATE(League!D93,"-",League!K93)</f>
        <v>Bayern München-Sporting Portugal</v>
      </c>
      <c r="H97" s="320" t="str">
        <f>CONCATENATE(IF(League!G93&gt;League!H93,1,IF(League!G93&lt;League!H93,2,IF(AND(League!G93=League!H93,League!G93&lt;&gt;"",League!H93&lt;&gt;""),"X",0))),"|",League!G93,"-",League!H93)</f>
        <v>1|3-1</v>
      </c>
      <c r="I97" s="219"/>
      <c r="J97" s="452" t="s">
        <v>170</v>
      </c>
      <c r="K97" s="322">
        <f t="shared" si="110"/>
        <v>5</v>
      </c>
      <c r="L97" s="251"/>
      <c r="M97" s="326" t="s">
        <v>171</v>
      </c>
      <c r="N97" s="322">
        <f t="shared" si="114"/>
        <v>2</v>
      </c>
      <c r="O97" s="251"/>
      <c r="P97" s="326" t="s">
        <v>165</v>
      </c>
      <c r="Q97" s="322">
        <f t="shared" si="114"/>
        <v>2</v>
      </c>
      <c r="R97" s="251"/>
      <c r="S97" s="326" t="s">
        <v>165</v>
      </c>
      <c r="T97" s="322">
        <f t="shared" si="114"/>
        <v>2</v>
      </c>
      <c r="U97" s="251"/>
      <c r="V97" s="326" t="s">
        <v>170</v>
      </c>
      <c r="W97" s="322">
        <f t="shared" si="114"/>
        <v>5</v>
      </c>
      <c r="X97" s="251"/>
      <c r="Y97" s="326" t="s">
        <v>165</v>
      </c>
      <c r="Z97" s="322">
        <f t="shared" si="114"/>
        <v>2</v>
      </c>
      <c r="AA97" s="251"/>
      <c r="AB97" s="326" t="s">
        <v>166</v>
      </c>
      <c r="AC97" s="322">
        <f t="shared" si="114"/>
        <v>2</v>
      </c>
      <c r="AD97" s="251"/>
      <c r="AE97" s="326" t="s">
        <v>166</v>
      </c>
      <c r="AF97" s="322">
        <f t="shared" si="114"/>
        <v>2</v>
      </c>
      <c r="AG97" s="251"/>
      <c r="AH97" s="326" t="s">
        <v>167</v>
      </c>
      <c r="AI97" s="322">
        <f t="shared" si="114"/>
        <v>2</v>
      </c>
      <c r="AJ97" s="251"/>
      <c r="AK97" s="326" t="s">
        <v>163</v>
      </c>
      <c r="AL97" s="322">
        <f t="shared" si="114"/>
        <v>2</v>
      </c>
      <c r="AM97" s="251"/>
      <c r="AN97" s="326" t="s">
        <v>170</v>
      </c>
      <c r="AO97" s="322">
        <f t="shared" si="114"/>
        <v>5</v>
      </c>
      <c r="AP97" s="251"/>
      <c r="AQ97" s="326" t="s">
        <v>167</v>
      </c>
      <c r="AR97" s="322">
        <f t="shared" si="114"/>
        <v>2</v>
      </c>
      <c r="AS97" s="251"/>
      <c r="AT97" s="326" t="s">
        <v>170</v>
      </c>
      <c r="AU97" s="322">
        <f t="shared" si="114"/>
        <v>5</v>
      </c>
      <c r="AV97" s="251"/>
      <c r="AW97" s="326" t="s">
        <v>170</v>
      </c>
      <c r="AX97" s="322">
        <f t="shared" si="114"/>
        <v>5</v>
      </c>
      <c r="AY97" s="251"/>
      <c r="AZ97" s="534" t="s">
        <v>166</v>
      </c>
      <c r="BA97" s="322">
        <f t="shared" si="114"/>
        <v>2</v>
      </c>
      <c r="BB97" s="251"/>
      <c r="BC97" s="326" t="s">
        <v>170</v>
      </c>
      <c r="BD97" s="322">
        <f t="shared" si="114"/>
        <v>5</v>
      </c>
      <c r="BE97" s="251"/>
      <c r="BF97" s="326"/>
      <c r="BG97" s="322">
        <f t="shared" si="114"/>
        <v>0</v>
      </c>
      <c r="BH97" s="251"/>
      <c r="BI97" s="326"/>
      <c r="BJ97" s="322">
        <f t="shared" si="114"/>
        <v>0</v>
      </c>
      <c r="BK97" s="251"/>
      <c r="BL97" s="326"/>
      <c r="BM97" s="322">
        <f t="shared" si="114"/>
        <v>0</v>
      </c>
      <c r="BN97" s="251"/>
      <c r="BO97" s="326"/>
      <c r="BP97" s="322">
        <f t="shared" si="114"/>
        <v>0</v>
      </c>
      <c r="BQ97" s="251"/>
      <c r="BR97" s="326"/>
      <c r="BS97" s="322">
        <f t="shared" si="114"/>
        <v>0</v>
      </c>
      <c r="BT97" s="251"/>
      <c r="BU97" s="326"/>
      <c r="BV97" s="322">
        <f t="shared" si="114"/>
        <v>0</v>
      </c>
      <c r="BW97" s="251"/>
      <c r="BX97" s="326"/>
      <c r="BY97" s="322">
        <f t="shared" si="114"/>
        <v>0</v>
      </c>
      <c r="BZ97" s="251"/>
      <c r="CA97" s="326"/>
      <c r="CB97" s="322">
        <f t="shared" si="113"/>
        <v>0</v>
      </c>
      <c r="CC97" s="251"/>
      <c r="CD97" s="326"/>
      <c r="CE97" s="322">
        <f t="shared" si="113"/>
        <v>0</v>
      </c>
      <c r="CF97" s="251"/>
      <c r="CG97" s="251"/>
      <c r="CH97" s="251"/>
    </row>
    <row r="98" spans="1:86" ht="15" customHeight="1">
      <c r="A98" s="219"/>
      <c r="B98" s="219"/>
      <c r="C98" s="219"/>
      <c r="D98" s="219"/>
      <c r="E98" s="219"/>
      <c r="F98" s="561"/>
      <c r="G98" s="328" t="str">
        <f>CONCATENATE(League!D94,"-",League!K94)</f>
        <v>Monaco-Galatasaray</v>
      </c>
      <c r="H98" s="320" t="str">
        <f>CONCATENATE(IF(League!G94&gt;League!H94,1,IF(League!G94&lt;League!H94,2,IF(AND(League!G94=League!H94,League!G94&lt;&gt;"",League!H94&lt;&gt;""),"X",0))),"|",League!G94,"-",League!H94)</f>
        <v>1|1-0</v>
      </c>
      <c r="I98" s="219"/>
      <c r="J98" s="452" t="s">
        <v>158</v>
      </c>
      <c r="K98" s="322">
        <f t="shared" si="110"/>
        <v>0</v>
      </c>
      <c r="L98" s="251"/>
      <c r="M98" s="326" t="s">
        <v>158</v>
      </c>
      <c r="N98" s="322">
        <f t="shared" si="114"/>
        <v>0</v>
      </c>
      <c r="O98" s="251"/>
      <c r="P98" s="326" t="s">
        <v>158</v>
      </c>
      <c r="Q98" s="322">
        <f t="shared" si="114"/>
        <v>0</v>
      </c>
      <c r="R98" s="251"/>
      <c r="S98" s="326" t="s">
        <v>166</v>
      </c>
      <c r="T98" s="322">
        <f t="shared" si="114"/>
        <v>2</v>
      </c>
      <c r="U98" s="251"/>
      <c r="V98" s="326" t="s">
        <v>158</v>
      </c>
      <c r="W98" s="322">
        <f t="shared" si="114"/>
        <v>0</v>
      </c>
      <c r="X98" s="251"/>
      <c r="Y98" s="326" t="s">
        <v>166</v>
      </c>
      <c r="Z98" s="322">
        <f t="shared" si="114"/>
        <v>2</v>
      </c>
      <c r="AA98" s="251"/>
      <c r="AB98" s="326" t="s">
        <v>167</v>
      </c>
      <c r="AC98" s="322">
        <f t="shared" si="114"/>
        <v>2</v>
      </c>
      <c r="AD98" s="251"/>
      <c r="AE98" s="326" t="s">
        <v>158</v>
      </c>
      <c r="AF98" s="322">
        <f t="shared" si="114"/>
        <v>0</v>
      </c>
      <c r="AG98" s="251"/>
      <c r="AH98" s="326" t="s">
        <v>164</v>
      </c>
      <c r="AI98" s="322">
        <f t="shared" si="114"/>
        <v>5</v>
      </c>
      <c r="AJ98" s="251"/>
      <c r="AK98" s="326" t="s">
        <v>167</v>
      </c>
      <c r="AL98" s="322">
        <f t="shared" si="114"/>
        <v>2</v>
      </c>
      <c r="AM98" s="251"/>
      <c r="AN98" s="326" t="s">
        <v>166</v>
      </c>
      <c r="AO98" s="322">
        <f t="shared" si="114"/>
        <v>2</v>
      </c>
      <c r="AP98" s="251"/>
      <c r="AQ98" s="326" t="s">
        <v>166</v>
      </c>
      <c r="AR98" s="322">
        <f t="shared" si="114"/>
        <v>2</v>
      </c>
      <c r="AS98" s="251"/>
      <c r="AT98" s="326" t="s">
        <v>160</v>
      </c>
      <c r="AU98" s="322">
        <f t="shared" si="114"/>
        <v>0</v>
      </c>
      <c r="AV98" s="251"/>
      <c r="AW98" s="326" t="s">
        <v>166</v>
      </c>
      <c r="AX98" s="322">
        <f t="shared" si="114"/>
        <v>2</v>
      </c>
      <c r="AY98" s="251"/>
      <c r="AZ98" s="534" t="s">
        <v>158</v>
      </c>
      <c r="BA98" s="322">
        <f t="shared" si="114"/>
        <v>0</v>
      </c>
      <c r="BB98" s="251"/>
      <c r="BC98" s="326" t="s">
        <v>160</v>
      </c>
      <c r="BD98" s="322">
        <f t="shared" si="114"/>
        <v>0</v>
      </c>
      <c r="BE98" s="251"/>
      <c r="BF98" s="326"/>
      <c r="BG98" s="322">
        <f t="shared" si="114"/>
        <v>0</v>
      </c>
      <c r="BH98" s="251"/>
      <c r="BI98" s="326"/>
      <c r="BJ98" s="322">
        <f t="shared" si="114"/>
        <v>0</v>
      </c>
      <c r="BK98" s="251"/>
      <c r="BL98" s="326"/>
      <c r="BM98" s="322">
        <f t="shared" si="114"/>
        <v>0</v>
      </c>
      <c r="BN98" s="251"/>
      <c r="BO98" s="326"/>
      <c r="BP98" s="322">
        <f t="shared" si="114"/>
        <v>0</v>
      </c>
      <c r="BQ98" s="251"/>
      <c r="BR98" s="326"/>
      <c r="BS98" s="322">
        <f t="shared" si="114"/>
        <v>0</v>
      </c>
      <c r="BT98" s="251"/>
      <c r="BU98" s="326"/>
      <c r="BV98" s="322">
        <f t="shared" si="114"/>
        <v>0</v>
      </c>
      <c r="BW98" s="251"/>
      <c r="BX98" s="326"/>
      <c r="BY98" s="322">
        <f t="shared" si="114"/>
        <v>0</v>
      </c>
      <c r="BZ98" s="251"/>
      <c r="CA98" s="326"/>
      <c r="CB98" s="322">
        <f t="shared" si="113"/>
        <v>0</v>
      </c>
      <c r="CC98" s="251"/>
      <c r="CD98" s="326"/>
      <c r="CE98" s="322">
        <f t="shared" si="113"/>
        <v>0</v>
      </c>
      <c r="CF98" s="251"/>
      <c r="CG98" s="251"/>
      <c r="CH98" s="251"/>
    </row>
    <row r="99" spans="1:86" ht="15" customHeight="1">
      <c r="A99" s="219"/>
      <c r="B99" s="219"/>
      <c r="C99" s="219"/>
      <c r="D99" s="219"/>
      <c r="E99" s="219"/>
      <c r="F99" s="561"/>
      <c r="G99" s="319" t="str">
        <f>CONCATENATE(League!D95,"-",League!K95)</f>
        <v>Atalanta-Chelsea</v>
      </c>
      <c r="H99" s="320" t="str">
        <f>CONCATENATE(IF(League!G95&gt;League!H95,1,IF(League!G95&lt;League!H95,2,IF(AND(League!G95=League!H95,League!G95&lt;&gt;"",League!H95&lt;&gt;""),"X",0))),"|",League!G95,"-",League!H95)</f>
        <v>1|2-1</v>
      </c>
      <c r="I99" s="219"/>
      <c r="J99" s="452" t="s">
        <v>157</v>
      </c>
      <c r="K99" s="322">
        <f t="shared" si="110"/>
        <v>0</v>
      </c>
      <c r="L99" s="251"/>
      <c r="M99" s="326" t="s">
        <v>161</v>
      </c>
      <c r="N99" s="322">
        <f t="shared" si="114"/>
        <v>0</v>
      </c>
      <c r="O99" s="251"/>
      <c r="P99" s="326" t="s">
        <v>158</v>
      </c>
      <c r="Q99" s="322">
        <f t="shared" si="114"/>
        <v>0</v>
      </c>
      <c r="R99" s="251"/>
      <c r="S99" s="326" t="s">
        <v>157</v>
      </c>
      <c r="T99" s="322">
        <f t="shared" si="114"/>
        <v>0</v>
      </c>
      <c r="U99" s="251"/>
      <c r="V99" s="326" t="s">
        <v>157</v>
      </c>
      <c r="W99" s="322">
        <f t="shared" si="114"/>
        <v>0</v>
      </c>
      <c r="X99" s="251"/>
      <c r="Y99" s="326" t="s">
        <v>161</v>
      </c>
      <c r="Z99" s="322">
        <f t="shared" si="114"/>
        <v>0</v>
      </c>
      <c r="AA99" s="251"/>
      <c r="AB99" s="326" t="s">
        <v>161</v>
      </c>
      <c r="AC99" s="322">
        <f t="shared" si="114"/>
        <v>0</v>
      </c>
      <c r="AD99" s="251"/>
      <c r="AE99" s="326" t="s">
        <v>159</v>
      </c>
      <c r="AF99" s="322">
        <f t="shared" si="114"/>
        <v>0</v>
      </c>
      <c r="AG99" s="251"/>
      <c r="AH99" s="326" t="s">
        <v>157</v>
      </c>
      <c r="AI99" s="322">
        <f t="shared" si="114"/>
        <v>0</v>
      </c>
      <c r="AJ99" s="251"/>
      <c r="AK99" s="326" t="s">
        <v>166</v>
      </c>
      <c r="AL99" s="322">
        <f t="shared" si="114"/>
        <v>5</v>
      </c>
      <c r="AM99" s="251"/>
      <c r="AN99" s="326" t="s">
        <v>161</v>
      </c>
      <c r="AO99" s="322">
        <f t="shared" si="114"/>
        <v>0</v>
      </c>
      <c r="AP99" s="251"/>
      <c r="AQ99" s="326" t="s">
        <v>158</v>
      </c>
      <c r="AR99" s="322">
        <f t="shared" si="114"/>
        <v>0</v>
      </c>
      <c r="AS99" s="251"/>
      <c r="AT99" s="326" t="s">
        <v>158</v>
      </c>
      <c r="AU99" s="322">
        <f t="shared" si="114"/>
        <v>0</v>
      </c>
      <c r="AV99" s="251"/>
      <c r="AW99" s="326" t="s">
        <v>161</v>
      </c>
      <c r="AX99" s="322">
        <f t="shared" si="114"/>
        <v>0</v>
      </c>
      <c r="AY99" s="251"/>
      <c r="AZ99" s="534" t="s">
        <v>158</v>
      </c>
      <c r="BA99" s="322">
        <f t="shared" si="114"/>
        <v>0</v>
      </c>
      <c r="BB99" s="251"/>
      <c r="BC99" s="326" t="s">
        <v>157</v>
      </c>
      <c r="BD99" s="322">
        <f t="shared" si="114"/>
        <v>0</v>
      </c>
      <c r="BE99" s="251"/>
      <c r="BF99" s="326"/>
      <c r="BG99" s="322">
        <f t="shared" si="114"/>
        <v>0</v>
      </c>
      <c r="BH99" s="251"/>
      <c r="BI99" s="326"/>
      <c r="BJ99" s="322">
        <f t="shared" si="114"/>
        <v>0</v>
      </c>
      <c r="BK99" s="251"/>
      <c r="BL99" s="326"/>
      <c r="BM99" s="322">
        <f t="shared" si="114"/>
        <v>0</v>
      </c>
      <c r="BN99" s="251"/>
      <c r="BO99" s="326"/>
      <c r="BP99" s="322">
        <f t="shared" si="114"/>
        <v>0</v>
      </c>
      <c r="BQ99" s="251"/>
      <c r="BR99" s="326"/>
      <c r="BS99" s="322">
        <f t="shared" si="114"/>
        <v>0</v>
      </c>
      <c r="BT99" s="251"/>
      <c r="BU99" s="326"/>
      <c r="BV99" s="322">
        <f t="shared" si="114"/>
        <v>0</v>
      </c>
      <c r="BW99" s="251"/>
      <c r="BX99" s="326"/>
      <c r="BY99" s="322">
        <f t="shared" si="114"/>
        <v>0</v>
      </c>
      <c r="BZ99" s="251"/>
      <c r="CA99" s="326"/>
      <c r="CB99" s="322">
        <f t="shared" si="113"/>
        <v>0</v>
      </c>
      <c r="CC99" s="251"/>
      <c r="CD99" s="326"/>
      <c r="CE99" s="322">
        <f t="shared" si="113"/>
        <v>0</v>
      </c>
      <c r="CF99" s="251"/>
      <c r="CG99" s="251"/>
      <c r="CH99" s="251"/>
    </row>
    <row r="100" spans="1:86" ht="15" customHeight="1">
      <c r="A100" s="219"/>
      <c r="B100" s="219"/>
      <c r="C100" s="219"/>
      <c r="D100" s="219"/>
      <c r="E100" s="219"/>
      <c r="F100" s="561"/>
      <c r="G100" s="328" t="str">
        <f>CONCATENATE(League!D96,"-",League!K96)</f>
        <v>Barcelona-Eintracht Frankfurt</v>
      </c>
      <c r="H100" s="320" t="str">
        <f>CONCATENATE(IF(League!G96&gt;League!H96,1,IF(League!G96&lt;League!H96,2,IF(AND(League!G96=League!H96,League!G96&lt;&gt;"",League!H96&lt;&gt;""),"X",0))),"|",League!G96,"-",League!H96)</f>
        <v>1|2-1</v>
      </c>
      <c r="I100" s="219"/>
      <c r="J100" s="452" t="s">
        <v>163</v>
      </c>
      <c r="K100" s="322">
        <f t="shared" si="110"/>
        <v>2</v>
      </c>
      <c r="L100" s="251"/>
      <c r="M100" s="326" t="s">
        <v>170</v>
      </c>
      <c r="N100" s="322">
        <f t="shared" si="114"/>
        <v>2</v>
      </c>
      <c r="O100" s="251"/>
      <c r="P100" s="326" t="s">
        <v>163</v>
      </c>
      <c r="Q100" s="322">
        <f t="shared" si="114"/>
        <v>2</v>
      </c>
      <c r="R100" s="251"/>
      <c r="S100" s="326" t="s">
        <v>170</v>
      </c>
      <c r="T100" s="322">
        <f t="shared" si="114"/>
        <v>2</v>
      </c>
      <c r="U100" s="251"/>
      <c r="V100" s="326" t="s">
        <v>172</v>
      </c>
      <c r="W100" s="322">
        <f t="shared" si="114"/>
        <v>2</v>
      </c>
      <c r="X100" s="251"/>
      <c r="Y100" s="326" t="s">
        <v>171</v>
      </c>
      <c r="Z100" s="322">
        <f t="shared" si="114"/>
        <v>2</v>
      </c>
      <c r="AA100" s="251"/>
      <c r="AB100" s="326" t="s">
        <v>167</v>
      </c>
      <c r="AC100" s="322">
        <f t="shared" si="114"/>
        <v>2</v>
      </c>
      <c r="AD100" s="251"/>
      <c r="AE100" s="326" t="s">
        <v>166</v>
      </c>
      <c r="AF100" s="322">
        <f t="shared" si="114"/>
        <v>5</v>
      </c>
      <c r="AG100" s="251"/>
      <c r="AH100" s="326" t="s">
        <v>170</v>
      </c>
      <c r="AI100" s="322">
        <f t="shared" si="114"/>
        <v>2</v>
      </c>
      <c r="AJ100" s="251"/>
      <c r="AK100" s="326" t="s">
        <v>165</v>
      </c>
      <c r="AL100" s="322">
        <f t="shared" si="114"/>
        <v>2</v>
      </c>
      <c r="AM100" s="251"/>
      <c r="AN100" s="326" t="s">
        <v>165</v>
      </c>
      <c r="AO100" s="322">
        <f t="shared" si="114"/>
        <v>2</v>
      </c>
      <c r="AP100" s="251"/>
      <c r="AQ100" s="326" t="s">
        <v>166</v>
      </c>
      <c r="AR100" s="322">
        <f t="shared" si="114"/>
        <v>5</v>
      </c>
      <c r="AS100" s="251"/>
      <c r="AT100" s="326" t="s">
        <v>167</v>
      </c>
      <c r="AU100" s="322">
        <f t="shared" si="114"/>
        <v>2</v>
      </c>
      <c r="AV100" s="251"/>
      <c r="AW100" s="326" t="s">
        <v>166</v>
      </c>
      <c r="AX100" s="322">
        <f t="shared" si="114"/>
        <v>5</v>
      </c>
      <c r="AY100" s="251"/>
      <c r="AZ100" s="534" t="s">
        <v>163</v>
      </c>
      <c r="BA100" s="322">
        <f t="shared" si="114"/>
        <v>2</v>
      </c>
      <c r="BB100" s="251"/>
      <c r="BC100" s="326" t="s">
        <v>165</v>
      </c>
      <c r="BD100" s="322">
        <f t="shared" si="114"/>
        <v>2</v>
      </c>
      <c r="BE100" s="251"/>
      <c r="BF100" s="326"/>
      <c r="BG100" s="322">
        <f t="shared" si="114"/>
        <v>0</v>
      </c>
      <c r="BH100" s="251"/>
      <c r="BI100" s="326"/>
      <c r="BJ100" s="322">
        <f t="shared" si="114"/>
        <v>0</v>
      </c>
      <c r="BK100" s="251"/>
      <c r="BL100" s="326"/>
      <c r="BM100" s="322">
        <f t="shared" si="114"/>
        <v>0</v>
      </c>
      <c r="BN100" s="251"/>
      <c r="BO100" s="326"/>
      <c r="BP100" s="322">
        <f t="shared" si="114"/>
        <v>0</v>
      </c>
      <c r="BQ100" s="251"/>
      <c r="BR100" s="326"/>
      <c r="BS100" s="322">
        <f t="shared" si="114"/>
        <v>0</v>
      </c>
      <c r="BT100" s="251"/>
      <c r="BU100" s="326"/>
      <c r="BV100" s="322">
        <f t="shared" si="114"/>
        <v>0</v>
      </c>
      <c r="BW100" s="251"/>
      <c r="BX100" s="326"/>
      <c r="BY100" s="322">
        <f t="shared" si="114"/>
        <v>0</v>
      </c>
      <c r="BZ100" s="251"/>
      <c r="CA100" s="326"/>
      <c r="CB100" s="322">
        <f t="shared" si="113"/>
        <v>0</v>
      </c>
      <c r="CC100" s="251"/>
      <c r="CD100" s="326"/>
      <c r="CE100" s="322">
        <f t="shared" si="113"/>
        <v>0</v>
      </c>
      <c r="CF100" s="251"/>
      <c r="CG100" s="251"/>
      <c r="CH100" s="251"/>
    </row>
    <row r="101" spans="1:86" ht="15" customHeight="1">
      <c r="A101" s="219"/>
      <c r="B101" s="219"/>
      <c r="C101" s="219"/>
      <c r="D101" s="219"/>
      <c r="E101" s="219"/>
      <c r="F101" s="561"/>
      <c r="G101" s="319" t="str">
        <f>CONCATENATE(League!D97,"-",League!K97)</f>
        <v>Inter Milan-Liverpool</v>
      </c>
      <c r="H101" s="320" t="str">
        <f>CONCATENATE(IF(League!G97&gt;League!H97,1,IF(League!G97&lt;League!H97,2,IF(AND(League!G97=League!H97,League!G97&lt;&gt;"",League!H97&lt;&gt;""),"X",0))),"|",League!G97,"-",League!H97)</f>
        <v>2|0-1</v>
      </c>
      <c r="I101" s="219"/>
      <c r="J101" s="452" t="s">
        <v>158</v>
      </c>
      <c r="K101" s="322">
        <f t="shared" si="110"/>
        <v>0</v>
      </c>
      <c r="L101" s="251"/>
      <c r="M101" s="326" t="s">
        <v>161</v>
      </c>
      <c r="N101" s="322">
        <f t="shared" si="114"/>
        <v>2</v>
      </c>
      <c r="O101" s="251"/>
      <c r="P101" s="326" t="s">
        <v>158</v>
      </c>
      <c r="Q101" s="322">
        <f t="shared" si="114"/>
        <v>0</v>
      </c>
      <c r="R101" s="251"/>
      <c r="S101" s="326" t="s">
        <v>161</v>
      </c>
      <c r="T101" s="322">
        <f t="shared" si="114"/>
        <v>2</v>
      </c>
      <c r="U101" s="251"/>
      <c r="V101" s="326" t="s">
        <v>160</v>
      </c>
      <c r="W101" s="322">
        <f t="shared" si="114"/>
        <v>0</v>
      </c>
      <c r="X101" s="251"/>
      <c r="Y101" s="326" t="s">
        <v>161</v>
      </c>
      <c r="Z101" s="322">
        <f t="shared" si="114"/>
        <v>2</v>
      </c>
      <c r="AA101" s="251"/>
      <c r="AB101" s="326" t="s">
        <v>174</v>
      </c>
      <c r="AC101" s="322">
        <f t="shared" si="114"/>
        <v>5</v>
      </c>
      <c r="AD101" s="251"/>
      <c r="AE101" s="326" t="s">
        <v>173</v>
      </c>
      <c r="AF101" s="322">
        <f t="shared" si="114"/>
        <v>2</v>
      </c>
      <c r="AG101" s="251"/>
      <c r="AH101" s="326" t="s">
        <v>167</v>
      </c>
      <c r="AI101" s="322">
        <f t="shared" si="114"/>
        <v>0</v>
      </c>
      <c r="AJ101" s="251"/>
      <c r="AK101" s="326" t="s">
        <v>166</v>
      </c>
      <c r="AL101" s="322">
        <f t="shared" si="114"/>
        <v>0</v>
      </c>
      <c r="AM101" s="251"/>
      <c r="AN101" s="326" t="s">
        <v>166</v>
      </c>
      <c r="AO101" s="322">
        <f t="shared" si="114"/>
        <v>0</v>
      </c>
      <c r="AP101" s="251"/>
      <c r="AQ101" s="326" t="s">
        <v>167</v>
      </c>
      <c r="AR101" s="322">
        <f t="shared" si="114"/>
        <v>0</v>
      </c>
      <c r="AS101" s="251"/>
      <c r="AT101" s="326" t="s">
        <v>161</v>
      </c>
      <c r="AU101" s="322">
        <f t="shared" si="114"/>
        <v>2</v>
      </c>
      <c r="AV101" s="251"/>
      <c r="AW101" s="326" t="s">
        <v>161</v>
      </c>
      <c r="AX101" s="322">
        <f t="shared" si="114"/>
        <v>2</v>
      </c>
      <c r="AY101" s="251"/>
      <c r="AZ101" s="534" t="s">
        <v>160</v>
      </c>
      <c r="BA101" s="322">
        <f t="shared" ref="BA101:CE112" si="115">IFERROR(SUM(IF($H101=AZ101,$D$10),IF(LEFT($H101,1)=LEFT(AZ101,1),$D$8),IF(MID($H101,FIND("|",$H101)+1,FIND("-",$H101)-FIND("|",$H101)-1)-MID($H101,FIND("-",$H101)+1,11)=MID(AZ101,FIND("|",AZ101)+1,FIND("-",AZ101)-FIND("|",AZ101)-1)-MID(AZ101,FIND("-",AZ101)+1,11),$D$9)),)</f>
        <v>0</v>
      </c>
      <c r="BB101" s="251"/>
      <c r="BC101" s="326" t="s">
        <v>158</v>
      </c>
      <c r="BD101" s="322">
        <f t="shared" si="115"/>
        <v>0</v>
      </c>
      <c r="BE101" s="251"/>
      <c r="BF101" s="326"/>
      <c r="BG101" s="322">
        <f t="shared" si="115"/>
        <v>0</v>
      </c>
      <c r="BH101" s="251"/>
      <c r="BI101" s="326"/>
      <c r="BJ101" s="322">
        <f t="shared" si="115"/>
        <v>0</v>
      </c>
      <c r="BK101" s="251"/>
      <c r="BL101" s="326"/>
      <c r="BM101" s="322">
        <f t="shared" si="115"/>
        <v>0</v>
      </c>
      <c r="BN101" s="251"/>
      <c r="BO101" s="326"/>
      <c r="BP101" s="322">
        <f t="shared" si="115"/>
        <v>0</v>
      </c>
      <c r="BQ101" s="251"/>
      <c r="BR101" s="326"/>
      <c r="BS101" s="322">
        <f t="shared" si="115"/>
        <v>0</v>
      </c>
      <c r="BT101" s="251"/>
      <c r="BU101" s="326"/>
      <c r="BV101" s="322">
        <f t="shared" si="115"/>
        <v>0</v>
      </c>
      <c r="BW101" s="251"/>
      <c r="BX101" s="326"/>
      <c r="BY101" s="322">
        <f t="shared" si="115"/>
        <v>0</v>
      </c>
      <c r="BZ101" s="251"/>
      <c r="CA101" s="326"/>
      <c r="CB101" s="322">
        <f t="shared" si="115"/>
        <v>0</v>
      </c>
      <c r="CC101" s="251"/>
      <c r="CD101" s="326"/>
      <c r="CE101" s="322">
        <f t="shared" si="115"/>
        <v>0</v>
      </c>
      <c r="CF101" s="251"/>
      <c r="CG101" s="251"/>
      <c r="CH101" s="251"/>
    </row>
    <row r="102" spans="1:86" ht="15" customHeight="1">
      <c r="A102" s="219"/>
      <c r="B102" s="219"/>
      <c r="C102" s="219"/>
      <c r="D102" s="219"/>
      <c r="E102" s="219"/>
      <c r="F102" s="561"/>
      <c r="G102" s="328" t="str">
        <f>CONCATENATE(League!D98,"-",League!K98)</f>
        <v>PSV Eindhoven-Atlético Madrid</v>
      </c>
      <c r="H102" s="320" t="str">
        <f>CONCATENATE(IF(League!G98&gt;League!H98,1,IF(League!G98&lt;League!H98,2,IF(AND(League!G98=League!H98,League!G98&lt;&gt;"",League!H98&lt;&gt;""),"X",0))),"|",League!G98,"-",League!H98)</f>
        <v>2|2-3</v>
      </c>
      <c r="I102" s="219"/>
      <c r="J102" s="452" t="s">
        <v>167</v>
      </c>
      <c r="K102" s="322">
        <f t="shared" ref="K102:K133" si="116">IFERROR(SUM(IF($H102=J102,$D$10),IF(LEFT($H102,1)=LEFT(J102,1),$D$8),IF(MID($H102,FIND("|",$H102)+1,FIND("-",$H102)-FIND("|",$H102)-1)-MID($H102,FIND("-",$H102)+1,11)=MID(J102,FIND("|",J102)+1,FIND("-",J102)-FIND("|",J102)-1)-MID(J102,FIND("-",J102)+1,11),$D$9)),)</f>
        <v>0</v>
      </c>
      <c r="L102" s="251"/>
      <c r="M102" s="326" t="s">
        <v>157</v>
      </c>
      <c r="N102" s="322">
        <f t="shared" ref="N102:BY113" si="117">IFERROR(SUM(IF($H102=M102,$D$10),IF(LEFT($H102,1)=LEFT(M102,1),$D$8),IF(MID($H102,FIND("|",$H102)+1,FIND("-",$H102)-FIND("|",$H102)-1)-MID($H102,FIND("-",$H102)+1,11)=MID(M102,FIND("|",M102)+1,FIND("-",M102)-FIND("|",M102)-1)-MID(M102,FIND("-",M102)+1,11),$D$9)),)</f>
        <v>2</v>
      </c>
      <c r="O102" s="251"/>
      <c r="P102" s="326" t="s">
        <v>161</v>
      </c>
      <c r="Q102" s="322">
        <f t="shared" si="117"/>
        <v>2</v>
      </c>
      <c r="R102" s="251"/>
      <c r="S102" s="326" t="s">
        <v>161</v>
      </c>
      <c r="T102" s="322">
        <f t="shared" si="117"/>
        <v>2</v>
      </c>
      <c r="U102" s="251"/>
      <c r="V102" s="326" t="s">
        <v>161</v>
      </c>
      <c r="W102" s="322">
        <f t="shared" si="117"/>
        <v>2</v>
      </c>
      <c r="X102" s="251"/>
      <c r="Y102" s="326" t="s">
        <v>161</v>
      </c>
      <c r="Z102" s="322">
        <f t="shared" si="117"/>
        <v>2</v>
      </c>
      <c r="AA102" s="251"/>
      <c r="AB102" s="326" t="s">
        <v>162</v>
      </c>
      <c r="AC102" s="322">
        <f t="shared" si="117"/>
        <v>2</v>
      </c>
      <c r="AD102" s="251"/>
      <c r="AE102" s="326" t="s">
        <v>160</v>
      </c>
      <c r="AF102" s="322">
        <f t="shared" si="117"/>
        <v>0</v>
      </c>
      <c r="AG102" s="251"/>
      <c r="AH102" s="326" t="s">
        <v>173</v>
      </c>
      <c r="AI102" s="322">
        <f t="shared" si="117"/>
        <v>5</v>
      </c>
      <c r="AJ102" s="251"/>
      <c r="AK102" s="326" t="s">
        <v>162</v>
      </c>
      <c r="AL102" s="322">
        <f t="shared" si="117"/>
        <v>2</v>
      </c>
      <c r="AM102" s="251"/>
      <c r="AN102" s="326" t="s">
        <v>161</v>
      </c>
      <c r="AO102" s="322">
        <f t="shared" si="117"/>
        <v>2</v>
      </c>
      <c r="AP102" s="251"/>
      <c r="AQ102" s="326" t="s">
        <v>161</v>
      </c>
      <c r="AR102" s="322">
        <f t="shared" si="117"/>
        <v>2</v>
      </c>
      <c r="AS102" s="251"/>
      <c r="AT102" s="326" t="s">
        <v>160</v>
      </c>
      <c r="AU102" s="322">
        <f t="shared" si="117"/>
        <v>0</v>
      </c>
      <c r="AV102" s="251"/>
      <c r="AW102" s="326" t="s">
        <v>166</v>
      </c>
      <c r="AX102" s="322">
        <f t="shared" si="117"/>
        <v>0</v>
      </c>
      <c r="AY102" s="251"/>
      <c r="AZ102" s="534" t="s">
        <v>157</v>
      </c>
      <c r="BA102" s="322">
        <f t="shared" si="117"/>
        <v>2</v>
      </c>
      <c r="BB102" s="251"/>
      <c r="BC102" s="326" t="s">
        <v>162</v>
      </c>
      <c r="BD102" s="322">
        <f t="shared" si="117"/>
        <v>2</v>
      </c>
      <c r="BE102" s="251"/>
      <c r="BF102" s="326"/>
      <c r="BG102" s="322">
        <f t="shared" si="117"/>
        <v>0</v>
      </c>
      <c r="BH102" s="251"/>
      <c r="BI102" s="326"/>
      <c r="BJ102" s="322">
        <f t="shared" si="117"/>
        <v>0</v>
      </c>
      <c r="BK102" s="251"/>
      <c r="BL102" s="326"/>
      <c r="BM102" s="322">
        <f t="shared" si="117"/>
        <v>0</v>
      </c>
      <c r="BN102" s="251"/>
      <c r="BO102" s="326"/>
      <c r="BP102" s="322">
        <f t="shared" si="117"/>
        <v>0</v>
      </c>
      <c r="BQ102" s="251"/>
      <c r="BR102" s="326"/>
      <c r="BS102" s="322">
        <f t="shared" si="117"/>
        <v>0</v>
      </c>
      <c r="BT102" s="251"/>
      <c r="BU102" s="326"/>
      <c r="BV102" s="322">
        <f t="shared" si="117"/>
        <v>0</v>
      </c>
      <c r="BW102" s="251"/>
      <c r="BX102" s="326"/>
      <c r="BY102" s="322">
        <f t="shared" si="117"/>
        <v>0</v>
      </c>
      <c r="BZ102" s="251"/>
      <c r="CA102" s="326"/>
      <c r="CB102" s="322">
        <f t="shared" si="115"/>
        <v>0</v>
      </c>
      <c r="CC102" s="251"/>
      <c r="CD102" s="326"/>
      <c r="CE102" s="322">
        <f t="shared" si="115"/>
        <v>0</v>
      </c>
      <c r="CF102" s="251"/>
      <c r="CG102" s="251"/>
      <c r="CH102" s="251"/>
    </row>
    <row r="103" spans="1:86" ht="15" customHeight="1">
      <c r="A103" s="219"/>
      <c r="B103" s="219"/>
      <c r="C103" s="219"/>
      <c r="D103" s="219"/>
      <c r="E103" s="219"/>
      <c r="F103" s="561"/>
      <c r="G103" s="319" t="str">
        <f>CONCATENATE(League!D99,"-",League!K99)</f>
        <v>Union Saint-Gilloise-Marseille</v>
      </c>
      <c r="H103" s="320" t="str">
        <f>CONCATENATE(IF(League!G99&gt;League!H99,1,IF(League!G99&lt;League!H99,2,IF(AND(League!G99=League!H99,League!G99&lt;&gt;"",League!H99&lt;&gt;""),"X",0))),"|",League!G99,"-",League!H99)</f>
        <v>2|2-3</v>
      </c>
      <c r="I103" s="219"/>
      <c r="J103" s="452" t="s">
        <v>162</v>
      </c>
      <c r="K103" s="322">
        <f t="shared" si="116"/>
        <v>2</v>
      </c>
      <c r="L103" s="251"/>
      <c r="M103" s="326" t="s">
        <v>157</v>
      </c>
      <c r="N103" s="322">
        <f t="shared" si="117"/>
        <v>2</v>
      </c>
      <c r="O103" s="251"/>
      <c r="P103" s="326" t="s">
        <v>161</v>
      </c>
      <c r="Q103" s="322">
        <f t="shared" si="117"/>
        <v>2</v>
      </c>
      <c r="R103" s="251"/>
      <c r="S103" s="326" t="s">
        <v>174</v>
      </c>
      <c r="T103" s="322">
        <f t="shared" si="117"/>
        <v>2</v>
      </c>
      <c r="U103" s="251"/>
      <c r="V103" s="326" t="s">
        <v>161</v>
      </c>
      <c r="W103" s="322">
        <f t="shared" si="117"/>
        <v>2</v>
      </c>
      <c r="X103" s="251"/>
      <c r="Y103" s="326" t="s">
        <v>161</v>
      </c>
      <c r="Z103" s="322">
        <f t="shared" si="117"/>
        <v>2</v>
      </c>
      <c r="AA103" s="251"/>
      <c r="AB103" s="326" t="s">
        <v>161</v>
      </c>
      <c r="AC103" s="322">
        <f t="shared" si="117"/>
        <v>2</v>
      </c>
      <c r="AD103" s="251"/>
      <c r="AE103" s="326" t="s">
        <v>164</v>
      </c>
      <c r="AF103" s="322">
        <f t="shared" si="117"/>
        <v>0</v>
      </c>
      <c r="AG103" s="251"/>
      <c r="AH103" s="326" t="s">
        <v>162</v>
      </c>
      <c r="AI103" s="322">
        <f t="shared" si="117"/>
        <v>2</v>
      </c>
      <c r="AJ103" s="251"/>
      <c r="AK103" s="326" t="s">
        <v>162</v>
      </c>
      <c r="AL103" s="322">
        <f t="shared" si="117"/>
        <v>2</v>
      </c>
      <c r="AM103" s="251"/>
      <c r="AN103" s="326" t="s">
        <v>162</v>
      </c>
      <c r="AO103" s="322">
        <f t="shared" si="117"/>
        <v>2</v>
      </c>
      <c r="AP103" s="251"/>
      <c r="AQ103" s="326" t="s">
        <v>157</v>
      </c>
      <c r="AR103" s="322">
        <f t="shared" si="117"/>
        <v>2</v>
      </c>
      <c r="AS103" s="251"/>
      <c r="AT103" s="326" t="s">
        <v>158</v>
      </c>
      <c r="AU103" s="322">
        <f t="shared" si="117"/>
        <v>0</v>
      </c>
      <c r="AV103" s="251"/>
      <c r="AW103" s="326" t="s">
        <v>161</v>
      </c>
      <c r="AX103" s="322">
        <f t="shared" si="117"/>
        <v>2</v>
      </c>
      <c r="AY103" s="251"/>
      <c r="AZ103" s="534" t="s">
        <v>158</v>
      </c>
      <c r="BA103" s="322">
        <f t="shared" si="117"/>
        <v>0</v>
      </c>
      <c r="BB103" s="251"/>
      <c r="BC103" s="326" t="s">
        <v>162</v>
      </c>
      <c r="BD103" s="322">
        <f t="shared" si="117"/>
        <v>2</v>
      </c>
      <c r="BE103" s="251"/>
      <c r="BF103" s="326"/>
      <c r="BG103" s="322">
        <f t="shared" si="117"/>
        <v>0</v>
      </c>
      <c r="BH103" s="251"/>
      <c r="BI103" s="326"/>
      <c r="BJ103" s="322">
        <f t="shared" si="117"/>
        <v>0</v>
      </c>
      <c r="BK103" s="251"/>
      <c r="BL103" s="326"/>
      <c r="BM103" s="322">
        <f t="shared" si="117"/>
        <v>0</v>
      </c>
      <c r="BN103" s="251"/>
      <c r="BO103" s="326"/>
      <c r="BP103" s="322">
        <f t="shared" si="117"/>
        <v>0</v>
      </c>
      <c r="BQ103" s="251"/>
      <c r="BR103" s="326"/>
      <c r="BS103" s="322">
        <f t="shared" si="117"/>
        <v>0</v>
      </c>
      <c r="BT103" s="251"/>
      <c r="BU103" s="326"/>
      <c r="BV103" s="322">
        <f t="shared" si="117"/>
        <v>0</v>
      </c>
      <c r="BW103" s="251"/>
      <c r="BX103" s="326"/>
      <c r="BY103" s="322">
        <f t="shared" si="117"/>
        <v>0</v>
      </c>
      <c r="BZ103" s="251"/>
      <c r="CA103" s="326"/>
      <c r="CB103" s="322">
        <f t="shared" si="115"/>
        <v>0</v>
      </c>
      <c r="CC103" s="251"/>
      <c r="CD103" s="326"/>
      <c r="CE103" s="322">
        <f t="shared" si="115"/>
        <v>0</v>
      </c>
      <c r="CF103" s="251"/>
      <c r="CG103" s="251"/>
      <c r="CH103" s="251"/>
    </row>
    <row r="104" spans="1:86" ht="15" customHeight="1">
      <c r="A104" s="219"/>
      <c r="B104" s="219"/>
      <c r="C104" s="219"/>
      <c r="D104" s="219"/>
      <c r="E104" s="219"/>
      <c r="F104" s="561"/>
      <c r="G104" s="328" t="str">
        <f>CONCATENATE(League!D100,"-",League!K100)</f>
        <v>Tottenham-Slavia Praha</v>
      </c>
      <c r="H104" s="320" t="str">
        <f>CONCATENATE(IF(League!G100&gt;League!H100,1,IF(League!G100&lt;League!H100,2,IF(AND(League!G100=League!H100,League!G100&lt;&gt;"",League!H100&lt;&gt;""),"X",0))),"|",League!G100,"-",League!H100)</f>
        <v>1|3-0</v>
      </c>
      <c r="I104" s="219"/>
      <c r="J104" s="452" t="s">
        <v>170</v>
      </c>
      <c r="K104" s="322">
        <f t="shared" si="116"/>
        <v>2</v>
      </c>
      <c r="L104" s="251"/>
      <c r="M104" s="326" t="s">
        <v>167</v>
      </c>
      <c r="N104" s="322">
        <f t="shared" si="117"/>
        <v>2</v>
      </c>
      <c r="O104" s="251"/>
      <c r="P104" s="326" t="s">
        <v>167</v>
      </c>
      <c r="Q104" s="322">
        <f t="shared" si="117"/>
        <v>2</v>
      </c>
      <c r="R104" s="251"/>
      <c r="S104" s="326" t="s">
        <v>170</v>
      </c>
      <c r="T104" s="322">
        <f t="shared" si="117"/>
        <v>2</v>
      </c>
      <c r="U104" s="251"/>
      <c r="V104" s="326" t="s">
        <v>158</v>
      </c>
      <c r="W104" s="322">
        <f t="shared" si="117"/>
        <v>0</v>
      </c>
      <c r="X104" s="251"/>
      <c r="Y104" s="326" t="s">
        <v>165</v>
      </c>
      <c r="Z104" s="322">
        <f t="shared" si="117"/>
        <v>5</v>
      </c>
      <c r="AA104" s="251"/>
      <c r="AB104" s="326" t="s">
        <v>165</v>
      </c>
      <c r="AC104" s="322">
        <f t="shared" si="117"/>
        <v>5</v>
      </c>
      <c r="AD104" s="251"/>
      <c r="AE104" s="326" t="s">
        <v>160</v>
      </c>
      <c r="AF104" s="322">
        <f t="shared" si="117"/>
        <v>0</v>
      </c>
      <c r="AG104" s="251"/>
      <c r="AH104" s="326" t="s">
        <v>170</v>
      </c>
      <c r="AI104" s="322">
        <f t="shared" si="117"/>
        <v>2</v>
      </c>
      <c r="AJ104" s="251"/>
      <c r="AK104" s="326" t="s">
        <v>165</v>
      </c>
      <c r="AL104" s="322">
        <f t="shared" si="117"/>
        <v>5</v>
      </c>
      <c r="AM104" s="251"/>
      <c r="AN104" s="326" t="s">
        <v>170</v>
      </c>
      <c r="AO104" s="322">
        <f t="shared" si="117"/>
        <v>2</v>
      </c>
      <c r="AP104" s="251"/>
      <c r="AQ104" s="326" t="s">
        <v>167</v>
      </c>
      <c r="AR104" s="322">
        <f t="shared" si="117"/>
        <v>2</v>
      </c>
      <c r="AS104" s="251"/>
      <c r="AT104" s="326" t="s">
        <v>167</v>
      </c>
      <c r="AU104" s="322">
        <f t="shared" si="117"/>
        <v>2</v>
      </c>
      <c r="AV104" s="251"/>
      <c r="AW104" s="326" t="s">
        <v>166</v>
      </c>
      <c r="AX104" s="322">
        <f t="shared" si="117"/>
        <v>2</v>
      </c>
      <c r="AY104" s="251"/>
      <c r="AZ104" s="534" t="s">
        <v>166</v>
      </c>
      <c r="BA104" s="322">
        <f t="shared" si="117"/>
        <v>2</v>
      </c>
      <c r="BB104" s="251"/>
      <c r="BC104" s="326" t="s">
        <v>170</v>
      </c>
      <c r="BD104" s="322">
        <f t="shared" si="117"/>
        <v>2</v>
      </c>
      <c r="BE104" s="251"/>
      <c r="BF104" s="326"/>
      <c r="BG104" s="322">
        <f t="shared" si="117"/>
        <v>0</v>
      </c>
      <c r="BH104" s="251"/>
      <c r="BI104" s="326"/>
      <c r="BJ104" s="322">
        <f t="shared" si="117"/>
        <v>0</v>
      </c>
      <c r="BK104" s="251"/>
      <c r="BL104" s="326"/>
      <c r="BM104" s="322">
        <f t="shared" si="117"/>
        <v>0</v>
      </c>
      <c r="BN104" s="251"/>
      <c r="BO104" s="326"/>
      <c r="BP104" s="322">
        <f t="shared" si="117"/>
        <v>0</v>
      </c>
      <c r="BQ104" s="251"/>
      <c r="BR104" s="326"/>
      <c r="BS104" s="322">
        <f t="shared" si="117"/>
        <v>0</v>
      </c>
      <c r="BT104" s="251"/>
      <c r="BU104" s="326"/>
      <c r="BV104" s="322">
        <f t="shared" si="117"/>
        <v>0</v>
      </c>
      <c r="BW104" s="251"/>
      <c r="BX104" s="326"/>
      <c r="BY104" s="322">
        <f t="shared" si="117"/>
        <v>0</v>
      </c>
      <c r="BZ104" s="251"/>
      <c r="CA104" s="326"/>
      <c r="CB104" s="322">
        <f t="shared" si="115"/>
        <v>0</v>
      </c>
      <c r="CC104" s="251"/>
      <c r="CD104" s="326"/>
      <c r="CE104" s="322">
        <f t="shared" si="115"/>
        <v>0</v>
      </c>
      <c r="CF104" s="251"/>
      <c r="CG104" s="251"/>
      <c r="CH104" s="251"/>
    </row>
    <row r="105" spans="1:86" ht="15" customHeight="1">
      <c r="A105" s="219"/>
      <c r="B105" s="219"/>
      <c r="C105" s="219"/>
      <c r="D105" s="219"/>
      <c r="E105" s="219"/>
      <c r="F105" s="561"/>
      <c r="G105" s="319" t="str">
        <f>CONCATENATE(League!D101,"-",League!K101)</f>
        <v>Qarabağ-Ajax</v>
      </c>
      <c r="H105" s="320" t="str">
        <f>CONCATENATE(IF(League!G101&gt;League!H101,1,IF(League!G101&lt;League!H101,2,IF(AND(League!G101=League!H101,League!G101&lt;&gt;"",League!H101&lt;&gt;""),"X",0))),"|",League!G101,"-",League!H101)</f>
        <v>2|2-4</v>
      </c>
      <c r="I105" s="219"/>
      <c r="J105" s="452" t="s">
        <v>166</v>
      </c>
      <c r="K105" s="322">
        <f t="shared" si="116"/>
        <v>0</v>
      </c>
      <c r="L105" s="251"/>
      <c r="M105" s="326" t="s">
        <v>160</v>
      </c>
      <c r="N105" s="322">
        <f t="shared" si="117"/>
        <v>0</v>
      </c>
      <c r="O105" s="251"/>
      <c r="P105" s="326" t="s">
        <v>174</v>
      </c>
      <c r="Q105" s="322">
        <f t="shared" si="117"/>
        <v>2</v>
      </c>
      <c r="R105" s="251"/>
      <c r="S105" s="326" t="s">
        <v>160</v>
      </c>
      <c r="T105" s="322">
        <f t="shared" si="117"/>
        <v>0</v>
      </c>
      <c r="U105" s="251"/>
      <c r="V105" s="326" t="s">
        <v>158</v>
      </c>
      <c r="W105" s="322">
        <f t="shared" si="117"/>
        <v>0</v>
      </c>
      <c r="X105" s="251"/>
      <c r="Y105" s="326" t="s">
        <v>174</v>
      </c>
      <c r="Z105" s="322">
        <f t="shared" si="117"/>
        <v>2</v>
      </c>
      <c r="AA105" s="251"/>
      <c r="AB105" s="326" t="s">
        <v>159</v>
      </c>
      <c r="AC105" s="322">
        <f t="shared" si="117"/>
        <v>2</v>
      </c>
      <c r="AD105" s="251"/>
      <c r="AE105" s="326" t="s">
        <v>176</v>
      </c>
      <c r="AF105" s="322">
        <f t="shared" si="117"/>
        <v>0</v>
      </c>
      <c r="AG105" s="251"/>
      <c r="AH105" s="326" t="s">
        <v>160</v>
      </c>
      <c r="AI105" s="322">
        <f t="shared" si="117"/>
        <v>0</v>
      </c>
      <c r="AJ105" s="251"/>
      <c r="AK105" s="326" t="s">
        <v>159</v>
      </c>
      <c r="AL105" s="322">
        <f t="shared" si="117"/>
        <v>2</v>
      </c>
      <c r="AM105" s="251"/>
      <c r="AN105" s="326" t="s">
        <v>157</v>
      </c>
      <c r="AO105" s="322">
        <f t="shared" si="117"/>
        <v>2</v>
      </c>
      <c r="AP105" s="251"/>
      <c r="AQ105" s="326" t="s">
        <v>159</v>
      </c>
      <c r="AR105" s="322">
        <f t="shared" si="117"/>
        <v>2</v>
      </c>
      <c r="AS105" s="251"/>
      <c r="AT105" s="326" t="s">
        <v>162</v>
      </c>
      <c r="AU105" s="322">
        <f t="shared" si="117"/>
        <v>2</v>
      </c>
      <c r="AV105" s="251"/>
      <c r="AW105" s="326" t="s">
        <v>161</v>
      </c>
      <c r="AX105" s="322">
        <f t="shared" si="117"/>
        <v>2</v>
      </c>
      <c r="AY105" s="251"/>
      <c r="AZ105" s="534" t="s">
        <v>158</v>
      </c>
      <c r="BA105" s="322">
        <f t="shared" si="117"/>
        <v>0</v>
      </c>
      <c r="BB105" s="251"/>
      <c r="BC105" s="326" t="s">
        <v>162</v>
      </c>
      <c r="BD105" s="322">
        <f t="shared" si="117"/>
        <v>2</v>
      </c>
      <c r="BE105" s="251"/>
      <c r="BF105" s="326"/>
      <c r="BG105" s="322">
        <f t="shared" si="117"/>
        <v>0</v>
      </c>
      <c r="BH105" s="251"/>
      <c r="BI105" s="326"/>
      <c r="BJ105" s="322">
        <f t="shared" si="117"/>
        <v>0</v>
      </c>
      <c r="BK105" s="251"/>
      <c r="BL105" s="326"/>
      <c r="BM105" s="322">
        <f t="shared" si="117"/>
        <v>0</v>
      </c>
      <c r="BN105" s="251"/>
      <c r="BO105" s="326"/>
      <c r="BP105" s="322">
        <f t="shared" si="117"/>
        <v>0</v>
      </c>
      <c r="BQ105" s="251"/>
      <c r="BR105" s="326"/>
      <c r="BS105" s="322">
        <f t="shared" si="117"/>
        <v>0</v>
      </c>
      <c r="BT105" s="251"/>
      <c r="BU105" s="326"/>
      <c r="BV105" s="322">
        <f t="shared" si="117"/>
        <v>0</v>
      </c>
      <c r="BW105" s="251"/>
      <c r="BX105" s="326"/>
      <c r="BY105" s="322">
        <f t="shared" si="117"/>
        <v>0</v>
      </c>
      <c r="BZ105" s="251"/>
      <c r="CA105" s="326"/>
      <c r="CB105" s="322">
        <f t="shared" si="115"/>
        <v>0</v>
      </c>
      <c r="CC105" s="251"/>
      <c r="CD105" s="326"/>
      <c r="CE105" s="322">
        <f t="shared" si="115"/>
        <v>0</v>
      </c>
      <c r="CF105" s="251"/>
      <c r="CG105" s="251"/>
      <c r="CH105" s="251"/>
    </row>
    <row r="106" spans="1:86" ht="15" customHeight="1">
      <c r="A106" s="219"/>
      <c r="B106" s="219"/>
      <c r="C106" s="219"/>
      <c r="D106" s="219"/>
      <c r="E106" s="219"/>
      <c r="F106" s="561"/>
      <c r="G106" s="328" t="str">
        <f>CONCATENATE(League!D102,"-",League!K102)</f>
        <v>Villarreal-Copenhagen</v>
      </c>
      <c r="H106" s="320" t="str">
        <f>CONCATENATE(IF(League!G102&gt;League!H102,1,IF(League!G102&lt;League!H102,2,IF(AND(League!G102=League!H102,League!G102&lt;&gt;"",League!H102&lt;&gt;""),"X",0))),"|",League!G102,"-",League!H102)</f>
        <v>2|2-3</v>
      </c>
      <c r="I106" s="219"/>
      <c r="J106" s="452" t="s">
        <v>165</v>
      </c>
      <c r="K106" s="322">
        <f t="shared" si="116"/>
        <v>0</v>
      </c>
      <c r="L106" s="251"/>
      <c r="M106" s="326" t="s">
        <v>167</v>
      </c>
      <c r="N106" s="322">
        <f t="shared" si="117"/>
        <v>0</v>
      </c>
      <c r="O106" s="251"/>
      <c r="P106" s="326" t="s">
        <v>167</v>
      </c>
      <c r="Q106" s="322">
        <f t="shared" si="117"/>
        <v>0</v>
      </c>
      <c r="R106" s="251"/>
      <c r="S106" s="326" t="s">
        <v>170</v>
      </c>
      <c r="T106" s="322">
        <f t="shared" si="117"/>
        <v>0</v>
      </c>
      <c r="U106" s="251"/>
      <c r="V106" s="326" t="s">
        <v>170</v>
      </c>
      <c r="W106" s="322">
        <f t="shared" si="117"/>
        <v>0</v>
      </c>
      <c r="X106" s="251"/>
      <c r="Y106" s="326" t="s">
        <v>167</v>
      </c>
      <c r="Z106" s="322">
        <f t="shared" si="117"/>
        <v>0</v>
      </c>
      <c r="AA106" s="251"/>
      <c r="AB106" s="326" t="s">
        <v>165</v>
      </c>
      <c r="AC106" s="322">
        <f t="shared" si="117"/>
        <v>0</v>
      </c>
      <c r="AD106" s="251"/>
      <c r="AE106" s="326" t="s">
        <v>166</v>
      </c>
      <c r="AF106" s="322">
        <f t="shared" si="117"/>
        <v>0</v>
      </c>
      <c r="AG106" s="251"/>
      <c r="AH106" s="326" t="s">
        <v>167</v>
      </c>
      <c r="AI106" s="322">
        <f t="shared" si="117"/>
        <v>0</v>
      </c>
      <c r="AJ106" s="251"/>
      <c r="AK106" s="326" t="s">
        <v>167</v>
      </c>
      <c r="AL106" s="322">
        <f t="shared" si="117"/>
        <v>0</v>
      </c>
      <c r="AM106" s="251"/>
      <c r="AN106" s="326" t="s">
        <v>166</v>
      </c>
      <c r="AO106" s="322">
        <f t="shared" si="117"/>
        <v>0</v>
      </c>
      <c r="AP106" s="251"/>
      <c r="AQ106" s="326" t="s">
        <v>158</v>
      </c>
      <c r="AR106" s="322">
        <f t="shared" si="117"/>
        <v>0</v>
      </c>
      <c r="AS106" s="251"/>
      <c r="AT106" s="326" t="s">
        <v>158</v>
      </c>
      <c r="AU106" s="322">
        <f t="shared" si="117"/>
        <v>0</v>
      </c>
      <c r="AV106" s="251"/>
      <c r="AW106" s="326" t="s">
        <v>166</v>
      </c>
      <c r="AX106" s="322">
        <f t="shared" si="117"/>
        <v>0</v>
      </c>
      <c r="AY106" s="251"/>
      <c r="AZ106" s="534" t="s">
        <v>165</v>
      </c>
      <c r="BA106" s="322">
        <f t="shared" si="117"/>
        <v>0</v>
      </c>
      <c r="BB106" s="251"/>
      <c r="BC106" s="326" t="s">
        <v>165</v>
      </c>
      <c r="BD106" s="322">
        <f t="shared" si="117"/>
        <v>0</v>
      </c>
      <c r="BE106" s="251"/>
      <c r="BF106" s="326"/>
      <c r="BG106" s="322">
        <f t="shared" si="117"/>
        <v>0</v>
      </c>
      <c r="BH106" s="251"/>
      <c r="BI106" s="326"/>
      <c r="BJ106" s="322">
        <f t="shared" si="117"/>
        <v>0</v>
      </c>
      <c r="BK106" s="251"/>
      <c r="BL106" s="326"/>
      <c r="BM106" s="322">
        <f t="shared" si="117"/>
        <v>0</v>
      </c>
      <c r="BN106" s="251"/>
      <c r="BO106" s="326"/>
      <c r="BP106" s="322">
        <f t="shared" si="117"/>
        <v>0</v>
      </c>
      <c r="BQ106" s="251"/>
      <c r="BR106" s="326"/>
      <c r="BS106" s="322">
        <f t="shared" si="117"/>
        <v>0</v>
      </c>
      <c r="BT106" s="251"/>
      <c r="BU106" s="326"/>
      <c r="BV106" s="322">
        <f t="shared" si="117"/>
        <v>0</v>
      </c>
      <c r="BW106" s="251"/>
      <c r="BX106" s="326"/>
      <c r="BY106" s="322">
        <f t="shared" si="117"/>
        <v>0</v>
      </c>
      <c r="BZ106" s="251"/>
      <c r="CA106" s="326"/>
      <c r="CB106" s="322">
        <f t="shared" si="115"/>
        <v>0</v>
      </c>
      <c r="CC106" s="251"/>
      <c r="CD106" s="326"/>
      <c r="CE106" s="322">
        <f t="shared" si="115"/>
        <v>0</v>
      </c>
      <c r="CF106" s="251"/>
      <c r="CG106" s="251"/>
      <c r="CH106" s="251"/>
    </row>
    <row r="107" spans="1:86" ht="15" customHeight="1">
      <c r="A107" s="219"/>
      <c r="B107" s="219"/>
      <c r="C107" s="219"/>
      <c r="D107" s="219"/>
      <c r="E107" s="219"/>
      <c r="F107" s="561"/>
      <c r="G107" s="319" t="str">
        <f>CONCATENATE(League!D103,"-",League!K103)</f>
        <v>Athletic Bilbao-PSG</v>
      </c>
      <c r="H107" s="320" t="str">
        <f>CONCATENATE(IF(League!G103&gt;League!H103,1,IF(League!G103&lt;League!H103,2,IF(AND(League!G103=League!H103,League!G103&lt;&gt;"",League!H103&lt;&gt;""),"X",0))),"|",League!G103,"-",League!H103)</f>
        <v>X|0-0</v>
      </c>
      <c r="I107" s="219"/>
      <c r="J107" s="452" t="s">
        <v>159</v>
      </c>
      <c r="K107" s="322">
        <f t="shared" si="116"/>
        <v>0</v>
      </c>
      <c r="L107" s="251"/>
      <c r="M107" s="326" t="s">
        <v>157</v>
      </c>
      <c r="N107" s="322">
        <f t="shared" si="117"/>
        <v>0</v>
      </c>
      <c r="O107" s="251"/>
      <c r="P107" s="326" t="s">
        <v>157</v>
      </c>
      <c r="Q107" s="322">
        <f t="shared" si="117"/>
        <v>0</v>
      </c>
      <c r="R107" s="251"/>
      <c r="S107" s="326" t="s">
        <v>177</v>
      </c>
      <c r="T107" s="322">
        <f t="shared" si="117"/>
        <v>0</v>
      </c>
      <c r="U107" s="251"/>
      <c r="V107" s="326" t="s">
        <v>157</v>
      </c>
      <c r="W107" s="322">
        <f t="shared" si="117"/>
        <v>0</v>
      </c>
      <c r="X107" s="251"/>
      <c r="Y107" s="326" t="s">
        <v>162</v>
      </c>
      <c r="Z107" s="322">
        <f t="shared" si="117"/>
        <v>0</v>
      </c>
      <c r="AA107" s="251"/>
      <c r="AB107" s="326" t="s">
        <v>162</v>
      </c>
      <c r="AC107" s="322">
        <f t="shared" si="117"/>
        <v>0</v>
      </c>
      <c r="AD107" s="251"/>
      <c r="AE107" s="326" t="s">
        <v>161</v>
      </c>
      <c r="AF107" s="322">
        <f t="shared" si="117"/>
        <v>0</v>
      </c>
      <c r="AG107" s="251"/>
      <c r="AH107" s="326" t="s">
        <v>160</v>
      </c>
      <c r="AI107" s="322">
        <f t="shared" si="117"/>
        <v>2</v>
      </c>
      <c r="AJ107" s="251"/>
      <c r="AK107" s="326" t="s">
        <v>159</v>
      </c>
      <c r="AL107" s="322">
        <f t="shared" si="117"/>
        <v>0</v>
      </c>
      <c r="AM107" s="251"/>
      <c r="AN107" s="326" t="s">
        <v>157</v>
      </c>
      <c r="AO107" s="322">
        <f t="shared" si="117"/>
        <v>0</v>
      </c>
      <c r="AP107" s="251"/>
      <c r="AQ107" s="326" t="s">
        <v>162</v>
      </c>
      <c r="AR107" s="322">
        <f t="shared" si="117"/>
        <v>0</v>
      </c>
      <c r="AS107" s="251"/>
      <c r="AT107" s="326" t="s">
        <v>157</v>
      </c>
      <c r="AU107" s="322">
        <f t="shared" si="117"/>
        <v>0</v>
      </c>
      <c r="AV107" s="251"/>
      <c r="AW107" s="326" t="s">
        <v>157</v>
      </c>
      <c r="AX107" s="322">
        <f t="shared" si="117"/>
        <v>0</v>
      </c>
      <c r="AY107" s="251"/>
      <c r="AZ107" s="534" t="s">
        <v>166</v>
      </c>
      <c r="BA107" s="322">
        <f t="shared" si="117"/>
        <v>0</v>
      </c>
      <c r="BB107" s="251"/>
      <c r="BC107" s="326" t="s">
        <v>160</v>
      </c>
      <c r="BD107" s="322">
        <f t="shared" si="117"/>
        <v>2</v>
      </c>
      <c r="BE107" s="251"/>
      <c r="BF107" s="326"/>
      <c r="BG107" s="322">
        <f t="shared" si="117"/>
        <v>0</v>
      </c>
      <c r="BH107" s="251"/>
      <c r="BI107" s="326"/>
      <c r="BJ107" s="322">
        <f t="shared" si="117"/>
        <v>0</v>
      </c>
      <c r="BK107" s="251"/>
      <c r="BL107" s="326"/>
      <c r="BM107" s="322">
        <f t="shared" si="117"/>
        <v>0</v>
      </c>
      <c r="BN107" s="251"/>
      <c r="BO107" s="326"/>
      <c r="BP107" s="322">
        <f t="shared" si="117"/>
        <v>0</v>
      </c>
      <c r="BQ107" s="251"/>
      <c r="BR107" s="326"/>
      <c r="BS107" s="322">
        <f t="shared" si="117"/>
        <v>0</v>
      </c>
      <c r="BT107" s="251"/>
      <c r="BU107" s="326"/>
      <c r="BV107" s="322">
        <f t="shared" si="117"/>
        <v>0</v>
      </c>
      <c r="BW107" s="251"/>
      <c r="BX107" s="326"/>
      <c r="BY107" s="322">
        <f t="shared" si="117"/>
        <v>0</v>
      </c>
      <c r="BZ107" s="251"/>
      <c r="CA107" s="326"/>
      <c r="CB107" s="322">
        <f t="shared" si="115"/>
        <v>0</v>
      </c>
      <c r="CC107" s="251"/>
      <c r="CD107" s="326"/>
      <c r="CE107" s="322">
        <f t="shared" si="115"/>
        <v>0</v>
      </c>
      <c r="CF107" s="251"/>
      <c r="CG107" s="251"/>
      <c r="CH107" s="251"/>
    </row>
    <row r="108" spans="1:86" ht="15" customHeight="1">
      <c r="A108" s="219"/>
      <c r="B108" s="219"/>
      <c r="C108" s="219"/>
      <c r="D108" s="219"/>
      <c r="E108" s="219"/>
      <c r="F108" s="561"/>
      <c r="G108" s="328" t="str">
        <f>CONCATENATE(League!D104,"-",League!K104)</f>
        <v>Bayer Leverkusen-Newcastle</v>
      </c>
      <c r="H108" s="320" t="str">
        <f>CONCATENATE(IF(League!G104&gt;League!H104,1,IF(League!G104&lt;League!H104,2,IF(AND(League!G104=League!H104,League!G104&lt;&gt;"",League!H104&lt;&gt;""),"X",0))),"|",League!G104,"-",League!H104)</f>
        <v>X|2-2</v>
      </c>
      <c r="I108" s="219"/>
      <c r="J108" s="452" t="s">
        <v>160</v>
      </c>
      <c r="K108" s="322">
        <f t="shared" si="116"/>
        <v>5</v>
      </c>
      <c r="L108" s="251"/>
      <c r="M108" s="326" t="s">
        <v>164</v>
      </c>
      <c r="N108" s="322">
        <f t="shared" si="117"/>
        <v>0</v>
      </c>
      <c r="O108" s="251"/>
      <c r="P108" s="326" t="s">
        <v>167</v>
      </c>
      <c r="Q108" s="322">
        <f t="shared" si="117"/>
        <v>0</v>
      </c>
      <c r="R108" s="251"/>
      <c r="S108" s="326" t="s">
        <v>160</v>
      </c>
      <c r="T108" s="322">
        <f t="shared" si="117"/>
        <v>5</v>
      </c>
      <c r="U108" s="251"/>
      <c r="V108" s="326" t="s">
        <v>160</v>
      </c>
      <c r="W108" s="322">
        <f t="shared" si="117"/>
        <v>5</v>
      </c>
      <c r="X108" s="251"/>
      <c r="Y108" s="326" t="s">
        <v>164</v>
      </c>
      <c r="Z108" s="322">
        <f t="shared" si="117"/>
        <v>0</v>
      </c>
      <c r="AA108" s="251"/>
      <c r="AB108" s="326" t="s">
        <v>160</v>
      </c>
      <c r="AC108" s="322">
        <f t="shared" si="117"/>
        <v>5</v>
      </c>
      <c r="AD108" s="251"/>
      <c r="AE108" s="326" t="s">
        <v>170</v>
      </c>
      <c r="AF108" s="322">
        <f t="shared" si="117"/>
        <v>0</v>
      </c>
      <c r="AG108" s="251"/>
      <c r="AH108" s="326" t="s">
        <v>160</v>
      </c>
      <c r="AI108" s="322">
        <f t="shared" si="117"/>
        <v>5</v>
      </c>
      <c r="AJ108" s="251"/>
      <c r="AK108" s="326" t="s">
        <v>165</v>
      </c>
      <c r="AL108" s="322">
        <f t="shared" si="117"/>
        <v>0</v>
      </c>
      <c r="AM108" s="251"/>
      <c r="AN108" s="326" t="s">
        <v>166</v>
      </c>
      <c r="AO108" s="322">
        <f t="shared" si="117"/>
        <v>0</v>
      </c>
      <c r="AP108" s="251"/>
      <c r="AQ108" s="326" t="s">
        <v>160</v>
      </c>
      <c r="AR108" s="322">
        <f t="shared" si="117"/>
        <v>5</v>
      </c>
      <c r="AS108" s="251"/>
      <c r="AT108" s="326" t="s">
        <v>166</v>
      </c>
      <c r="AU108" s="322">
        <f t="shared" si="117"/>
        <v>0</v>
      </c>
      <c r="AV108" s="251"/>
      <c r="AW108" s="326" t="s">
        <v>166</v>
      </c>
      <c r="AX108" s="322">
        <f t="shared" si="117"/>
        <v>0</v>
      </c>
      <c r="AY108" s="251"/>
      <c r="AZ108" s="534" t="s">
        <v>158</v>
      </c>
      <c r="BA108" s="322">
        <f t="shared" si="117"/>
        <v>2</v>
      </c>
      <c r="BB108" s="251"/>
      <c r="BC108" s="326" t="s">
        <v>160</v>
      </c>
      <c r="BD108" s="322">
        <f t="shared" si="117"/>
        <v>5</v>
      </c>
      <c r="BE108" s="251"/>
      <c r="BF108" s="326"/>
      <c r="BG108" s="322">
        <f t="shared" si="117"/>
        <v>0</v>
      </c>
      <c r="BH108" s="251"/>
      <c r="BI108" s="326"/>
      <c r="BJ108" s="322">
        <f t="shared" si="117"/>
        <v>0</v>
      </c>
      <c r="BK108" s="251"/>
      <c r="BL108" s="326"/>
      <c r="BM108" s="322">
        <f t="shared" si="117"/>
        <v>0</v>
      </c>
      <c r="BN108" s="251"/>
      <c r="BO108" s="326"/>
      <c r="BP108" s="322">
        <f t="shared" si="117"/>
        <v>0</v>
      </c>
      <c r="BQ108" s="251"/>
      <c r="BR108" s="326"/>
      <c r="BS108" s="322">
        <f t="shared" si="117"/>
        <v>0</v>
      </c>
      <c r="BT108" s="251"/>
      <c r="BU108" s="326"/>
      <c r="BV108" s="322">
        <f t="shared" si="117"/>
        <v>0</v>
      </c>
      <c r="BW108" s="251"/>
      <c r="BX108" s="326"/>
      <c r="BY108" s="322">
        <f t="shared" si="117"/>
        <v>0</v>
      </c>
      <c r="BZ108" s="251"/>
      <c r="CA108" s="326"/>
      <c r="CB108" s="322">
        <f t="shared" si="115"/>
        <v>0</v>
      </c>
      <c r="CC108" s="251"/>
      <c r="CD108" s="326"/>
      <c r="CE108" s="322">
        <f t="shared" si="115"/>
        <v>0</v>
      </c>
      <c r="CF108" s="251"/>
      <c r="CG108" s="251"/>
      <c r="CH108" s="251"/>
    </row>
    <row r="109" spans="1:86" ht="15" customHeight="1">
      <c r="A109" s="219"/>
      <c r="B109" s="219"/>
      <c r="C109" s="219"/>
      <c r="D109" s="219"/>
      <c r="E109" s="219"/>
      <c r="F109" s="561"/>
      <c r="G109" s="319" t="str">
        <f>CONCATENATE(League!D105,"-",League!K105)</f>
        <v>Borussia Dortmund-Bodø/Glimt</v>
      </c>
      <c r="H109" s="320" t="str">
        <f>CONCATENATE(IF(League!G105&gt;League!H105,1,IF(League!G105&lt;League!H105,2,IF(AND(League!G105=League!H105,League!G105&lt;&gt;"",League!H105&lt;&gt;""),"X",0))),"|",League!G105,"-",League!H105)</f>
        <v>X|2-2</v>
      </c>
      <c r="I109" s="219"/>
      <c r="J109" s="452" t="s">
        <v>167</v>
      </c>
      <c r="K109" s="322">
        <f t="shared" si="116"/>
        <v>0</v>
      </c>
      <c r="L109" s="251"/>
      <c r="M109" s="326" t="s">
        <v>167</v>
      </c>
      <c r="N109" s="322">
        <f t="shared" si="117"/>
        <v>0</v>
      </c>
      <c r="O109" s="251"/>
      <c r="P109" s="326" t="s">
        <v>166</v>
      </c>
      <c r="Q109" s="322">
        <f t="shared" si="117"/>
        <v>0</v>
      </c>
      <c r="R109" s="251"/>
      <c r="S109" s="326" t="s">
        <v>165</v>
      </c>
      <c r="T109" s="322">
        <f t="shared" si="117"/>
        <v>0</v>
      </c>
      <c r="U109" s="251"/>
      <c r="V109" s="326" t="s">
        <v>170</v>
      </c>
      <c r="W109" s="322">
        <f t="shared" si="117"/>
        <v>0</v>
      </c>
      <c r="X109" s="251"/>
      <c r="Y109" s="326" t="s">
        <v>165</v>
      </c>
      <c r="Z109" s="322">
        <f t="shared" si="117"/>
        <v>0</v>
      </c>
      <c r="AA109" s="251"/>
      <c r="AB109" s="326" t="s">
        <v>165</v>
      </c>
      <c r="AC109" s="322">
        <f t="shared" si="117"/>
        <v>0</v>
      </c>
      <c r="AD109" s="251"/>
      <c r="AE109" s="326" t="s">
        <v>167</v>
      </c>
      <c r="AF109" s="322">
        <f t="shared" si="117"/>
        <v>0</v>
      </c>
      <c r="AG109" s="251"/>
      <c r="AH109" s="326" t="s">
        <v>165</v>
      </c>
      <c r="AI109" s="322">
        <f t="shared" si="117"/>
        <v>0</v>
      </c>
      <c r="AJ109" s="251"/>
      <c r="AK109" s="326" t="s">
        <v>165</v>
      </c>
      <c r="AL109" s="322">
        <f t="shared" si="117"/>
        <v>0</v>
      </c>
      <c r="AM109" s="251"/>
      <c r="AN109" s="326" t="s">
        <v>166</v>
      </c>
      <c r="AO109" s="322">
        <f t="shared" si="117"/>
        <v>0</v>
      </c>
      <c r="AP109" s="251"/>
      <c r="AQ109" s="326" t="s">
        <v>170</v>
      </c>
      <c r="AR109" s="322">
        <f t="shared" si="117"/>
        <v>0</v>
      </c>
      <c r="AS109" s="251"/>
      <c r="AT109" s="326" t="s">
        <v>167</v>
      </c>
      <c r="AU109" s="322">
        <f t="shared" si="117"/>
        <v>0</v>
      </c>
      <c r="AV109" s="251"/>
      <c r="AW109" s="326" t="s">
        <v>166</v>
      </c>
      <c r="AX109" s="322">
        <f t="shared" si="117"/>
        <v>0</v>
      </c>
      <c r="AY109" s="251"/>
      <c r="AZ109" s="534" t="s">
        <v>167</v>
      </c>
      <c r="BA109" s="322">
        <f t="shared" si="117"/>
        <v>0</v>
      </c>
      <c r="BB109" s="251"/>
      <c r="BC109" s="326" t="s">
        <v>165</v>
      </c>
      <c r="BD109" s="322">
        <f t="shared" si="117"/>
        <v>0</v>
      </c>
      <c r="BE109" s="251"/>
      <c r="BF109" s="326"/>
      <c r="BG109" s="322">
        <f t="shared" si="117"/>
        <v>0</v>
      </c>
      <c r="BH109" s="251"/>
      <c r="BI109" s="326"/>
      <c r="BJ109" s="322">
        <f t="shared" si="117"/>
        <v>0</v>
      </c>
      <c r="BK109" s="251"/>
      <c r="BL109" s="326"/>
      <c r="BM109" s="322">
        <f t="shared" si="117"/>
        <v>0</v>
      </c>
      <c r="BN109" s="251"/>
      <c r="BO109" s="326"/>
      <c r="BP109" s="322">
        <f t="shared" si="117"/>
        <v>0</v>
      </c>
      <c r="BQ109" s="251"/>
      <c r="BR109" s="326"/>
      <c r="BS109" s="322">
        <f t="shared" si="117"/>
        <v>0</v>
      </c>
      <c r="BT109" s="251"/>
      <c r="BU109" s="326"/>
      <c r="BV109" s="322">
        <f t="shared" si="117"/>
        <v>0</v>
      </c>
      <c r="BW109" s="251"/>
      <c r="BX109" s="326"/>
      <c r="BY109" s="322">
        <f t="shared" si="117"/>
        <v>0</v>
      </c>
      <c r="BZ109" s="251"/>
      <c r="CA109" s="326"/>
      <c r="CB109" s="322">
        <f t="shared" si="115"/>
        <v>0</v>
      </c>
      <c r="CC109" s="251"/>
      <c r="CD109" s="326"/>
      <c r="CE109" s="322">
        <f t="shared" si="115"/>
        <v>0</v>
      </c>
      <c r="CF109" s="251"/>
      <c r="CG109" s="251"/>
      <c r="CH109" s="251"/>
    </row>
    <row r="110" spans="1:86" ht="15" customHeight="1">
      <c r="A110" s="219"/>
      <c r="B110" s="219"/>
      <c r="C110" s="219"/>
      <c r="D110" s="219"/>
      <c r="E110" s="219"/>
      <c r="F110" s="561"/>
      <c r="G110" s="328" t="str">
        <f>CONCATENATE(League!D106,"-",League!K106)</f>
        <v>Brugge-Arsenal</v>
      </c>
      <c r="H110" s="320" t="str">
        <f>CONCATENATE(IF(League!G106&gt;League!H106,1,IF(League!G106&lt;League!H106,2,IF(AND(League!G106=League!H106,League!G106&lt;&gt;"",League!H106&lt;&gt;""),"X",0))),"|",League!G106,"-",League!H106)</f>
        <v>2|0-3</v>
      </c>
      <c r="I110" s="219"/>
      <c r="J110" s="452" t="s">
        <v>157</v>
      </c>
      <c r="K110" s="322">
        <f t="shared" si="116"/>
        <v>2</v>
      </c>
      <c r="L110" s="251"/>
      <c r="M110" s="326" t="s">
        <v>160</v>
      </c>
      <c r="N110" s="322">
        <f t="shared" si="117"/>
        <v>0</v>
      </c>
      <c r="O110" s="251"/>
      <c r="P110" s="326" t="s">
        <v>159</v>
      </c>
      <c r="Q110" s="322">
        <f t="shared" si="117"/>
        <v>5</v>
      </c>
      <c r="R110" s="251"/>
      <c r="S110" s="326" t="s">
        <v>161</v>
      </c>
      <c r="T110" s="322">
        <f t="shared" si="117"/>
        <v>2</v>
      </c>
      <c r="U110" s="251"/>
      <c r="V110" s="326" t="s">
        <v>157</v>
      </c>
      <c r="W110" s="322">
        <f t="shared" si="117"/>
        <v>2</v>
      </c>
      <c r="X110" s="251"/>
      <c r="Y110" s="326" t="s">
        <v>157</v>
      </c>
      <c r="Z110" s="322">
        <f t="shared" si="117"/>
        <v>2</v>
      </c>
      <c r="AA110" s="251"/>
      <c r="AB110" s="326" t="s">
        <v>157</v>
      </c>
      <c r="AC110" s="322">
        <f t="shared" si="117"/>
        <v>2</v>
      </c>
      <c r="AD110" s="251"/>
      <c r="AE110" s="326" t="s">
        <v>157</v>
      </c>
      <c r="AF110" s="322">
        <f t="shared" si="117"/>
        <v>2</v>
      </c>
      <c r="AG110" s="251"/>
      <c r="AH110" s="326" t="s">
        <v>162</v>
      </c>
      <c r="AI110" s="322">
        <f t="shared" si="117"/>
        <v>2</v>
      </c>
      <c r="AJ110" s="251"/>
      <c r="AK110" s="326" t="s">
        <v>159</v>
      </c>
      <c r="AL110" s="322">
        <f t="shared" si="117"/>
        <v>5</v>
      </c>
      <c r="AM110" s="251"/>
      <c r="AN110" s="326" t="s">
        <v>161</v>
      </c>
      <c r="AO110" s="322">
        <f t="shared" si="117"/>
        <v>2</v>
      </c>
      <c r="AP110" s="251"/>
      <c r="AQ110" s="326" t="s">
        <v>162</v>
      </c>
      <c r="AR110" s="322">
        <f t="shared" si="117"/>
        <v>2</v>
      </c>
      <c r="AS110" s="251"/>
      <c r="AT110" s="326" t="s">
        <v>161</v>
      </c>
      <c r="AU110" s="322">
        <f t="shared" si="117"/>
        <v>2</v>
      </c>
      <c r="AV110" s="251"/>
      <c r="AW110" s="326" t="s">
        <v>161</v>
      </c>
      <c r="AX110" s="322">
        <f t="shared" si="117"/>
        <v>2</v>
      </c>
      <c r="AY110" s="251"/>
      <c r="AZ110" s="534" t="s">
        <v>161</v>
      </c>
      <c r="BA110" s="322">
        <f t="shared" si="117"/>
        <v>2</v>
      </c>
      <c r="BB110" s="251"/>
      <c r="BC110" s="326" t="s">
        <v>162</v>
      </c>
      <c r="BD110" s="322">
        <f t="shared" si="117"/>
        <v>2</v>
      </c>
      <c r="BE110" s="251"/>
      <c r="BF110" s="326"/>
      <c r="BG110" s="322">
        <f t="shared" si="117"/>
        <v>0</v>
      </c>
      <c r="BH110" s="251"/>
      <c r="BI110" s="326"/>
      <c r="BJ110" s="322">
        <f t="shared" si="117"/>
        <v>0</v>
      </c>
      <c r="BK110" s="251"/>
      <c r="BL110" s="326"/>
      <c r="BM110" s="322">
        <f t="shared" si="117"/>
        <v>0</v>
      </c>
      <c r="BN110" s="251"/>
      <c r="BO110" s="326"/>
      <c r="BP110" s="322">
        <f t="shared" si="117"/>
        <v>0</v>
      </c>
      <c r="BQ110" s="251"/>
      <c r="BR110" s="326"/>
      <c r="BS110" s="322">
        <f t="shared" si="117"/>
        <v>0</v>
      </c>
      <c r="BT110" s="251"/>
      <c r="BU110" s="326"/>
      <c r="BV110" s="322">
        <f t="shared" si="117"/>
        <v>0</v>
      </c>
      <c r="BW110" s="251"/>
      <c r="BX110" s="326"/>
      <c r="BY110" s="322">
        <f t="shared" si="117"/>
        <v>0</v>
      </c>
      <c r="BZ110" s="251"/>
      <c r="CA110" s="326"/>
      <c r="CB110" s="322">
        <f t="shared" si="115"/>
        <v>0</v>
      </c>
      <c r="CC110" s="251"/>
      <c r="CD110" s="326"/>
      <c r="CE110" s="322">
        <f t="shared" si="115"/>
        <v>0</v>
      </c>
      <c r="CF110" s="251"/>
      <c r="CG110" s="251"/>
      <c r="CH110" s="251"/>
    </row>
    <row r="111" spans="1:86" ht="15" customHeight="1">
      <c r="A111" s="219"/>
      <c r="B111" s="219"/>
      <c r="C111" s="219"/>
      <c r="D111" s="219"/>
      <c r="E111" s="219"/>
      <c r="F111" s="561"/>
      <c r="G111" s="319" t="str">
        <f>CONCATENATE(League!D107,"-",League!K107)</f>
        <v>Juventus-Pafos</v>
      </c>
      <c r="H111" s="320" t="str">
        <f>CONCATENATE(IF(League!G107&gt;League!H107,1,IF(League!G107&lt;League!H107,2,IF(AND(League!G107=League!H107,League!G107&lt;&gt;"",League!H107&lt;&gt;""),"X",0))),"|",League!G107,"-",League!H107)</f>
        <v>1|2-0</v>
      </c>
      <c r="I111" s="219"/>
      <c r="J111" s="452" t="s">
        <v>184</v>
      </c>
      <c r="K111" s="322">
        <f t="shared" si="116"/>
        <v>2</v>
      </c>
      <c r="L111" s="251"/>
      <c r="M111" s="326" t="s">
        <v>167</v>
      </c>
      <c r="N111" s="322">
        <f t="shared" si="117"/>
        <v>5</v>
      </c>
      <c r="O111" s="251"/>
      <c r="P111" s="326" t="s">
        <v>165</v>
      </c>
      <c r="Q111" s="322">
        <f t="shared" si="117"/>
        <v>2</v>
      </c>
      <c r="R111" s="251"/>
      <c r="S111" s="326" t="s">
        <v>167</v>
      </c>
      <c r="T111" s="322">
        <f t="shared" si="117"/>
        <v>5</v>
      </c>
      <c r="U111" s="251"/>
      <c r="V111" s="326" t="s">
        <v>170</v>
      </c>
      <c r="W111" s="322">
        <f t="shared" si="117"/>
        <v>2</v>
      </c>
      <c r="X111" s="251"/>
      <c r="Y111" s="326" t="s">
        <v>165</v>
      </c>
      <c r="Z111" s="322">
        <f t="shared" si="117"/>
        <v>2</v>
      </c>
      <c r="AA111" s="251"/>
      <c r="AB111" s="326" t="s">
        <v>163</v>
      </c>
      <c r="AC111" s="322">
        <f t="shared" si="117"/>
        <v>2</v>
      </c>
      <c r="AD111" s="251"/>
      <c r="AE111" s="326" t="s">
        <v>166</v>
      </c>
      <c r="AF111" s="322">
        <f t="shared" si="117"/>
        <v>2</v>
      </c>
      <c r="AG111" s="251"/>
      <c r="AH111" s="326" t="s">
        <v>170</v>
      </c>
      <c r="AI111" s="322">
        <f t="shared" si="117"/>
        <v>2</v>
      </c>
      <c r="AJ111" s="251"/>
      <c r="AK111" s="326" t="s">
        <v>165</v>
      </c>
      <c r="AL111" s="322">
        <f t="shared" si="117"/>
        <v>2</v>
      </c>
      <c r="AM111" s="251"/>
      <c r="AN111" s="326" t="s">
        <v>166</v>
      </c>
      <c r="AO111" s="322">
        <f t="shared" si="117"/>
        <v>2</v>
      </c>
      <c r="AP111" s="251"/>
      <c r="AQ111" s="326" t="s">
        <v>165</v>
      </c>
      <c r="AR111" s="322">
        <f t="shared" si="117"/>
        <v>2</v>
      </c>
      <c r="AS111" s="251"/>
      <c r="AT111" s="326" t="s">
        <v>166</v>
      </c>
      <c r="AU111" s="322">
        <f t="shared" si="117"/>
        <v>2</v>
      </c>
      <c r="AV111" s="251"/>
      <c r="AW111" s="326" t="s">
        <v>165</v>
      </c>
      <c r="AX111" s="322">
        <f t="shared" si="117"/>
        <v>2</v>
      </c>
      <c r="AY111" s="251"/>
      <c r="AZ111" s="534" t="s">
        <v>167</v>
      </c>
      <c r="BA111" s="322">
        <f t="shared" si="117"/>
        <v>5</v>
      </c>
      <c r="BB111" s="251"/>
      <c r="BC111" s="326" t="s">
        <v>165</v>
      </c>
      <c r="BD111" s="322">
        <f t="shared" si="117"/>
        <v>2</v>
      </c>
      <c r="BE111" s="251"/>
      <c r="BF111" s="326"/>
      <c r="BG111" s="322">
        <f t="shared" si="117"/>
        <v>0</v>
      </c>
      <c r="BH111" s="251"/>
      <c r="BI111" s="326"/>
      <c r="BJ111" s="322">
        <f t="shared" si="117"/>
        <v>0</v>
      </c>
      <c r="BK111" s="251"/>
      <c r="BL111" s="326"/>
      <c r="BM111" s="322">
        <f t="shared" si="117"/>
        <v>0</v>
      </c>
      <c r="BN111" s="251"/>
      <c r="BO111" s="326"/>
      <c r="BP111" s="322">
        <f t="shared" si="117"/>
        <v>0</v>
      </c>
      <c r="BQ111" s="251"/>
      <c r="BR111" s="326"/>
      <c r="BS111" s="322">
        <f t="shared" si="117"/>
        <v>0</v>
      </c>
      <c r="BT111" s="251"/>
      <c r="BU111" s="326"/>
      <c r="BV111" s="322">
        <f t="shared" si="117"/>
        <v>0</v>
      </c>
      <c r="BW111" s="251"/>
      <c r="BX111" s="326"/>
      <c r="BY111" s="322">
        <f t="shared" si="117"/>
        <v>0</v>
      </c>
      <c r="BZ111" s="251"/>
      <c r="CA111" s="326"/>
      <c r="CB111" s="322">
        <f t="shared" si="115"/>
        <v>0</v>
      </c>
      <c r="CC111" s="251"/>
      <c r="CD111" s="326"/>
      <c r="CE111" s="322">
        <f t="shared" si="115"/>
        <v>0</v>
      </c>
      <c r="CF111" s="251"/>
      <c r="CG111" s="251"/>
      <c r="CH111" s="251"/>
    </row>
    <row r="112" spans="1:86" ht="15" customHeight="1">
      <c r="A112" s="219"/>
      <c r="B112" s="219"/>
      <c r="C112" s="219"/>
      <c r="D112" s="219"/>
      <c r="E112" s="219"/>
      <c r="F112" s="561"/>
      <c r="G112" s="328" t="str">
        <f>CONCATENATE(League!D108,"-",League!K108)</f>
        <v>Real Madrid-Manchester City</v>
      </c>
      <c r="H112" s="320" t="str">
        <f>CONCATENATE(IF(League!G108&gt;League!H108,1,IF(League!G108&lt;League!H108,2,IF(AND(League!G108=League!H108,League!G108&lt;&gt;"",League!H108&lt;&gt;""),"X",0))),"|",League!G108,"-",League!H108)</f>
        <v>2|1-2</v>
      </c>
      <c r="I112" s="219"/>
      <c r="J112" s="452" t="s">
        <v>160</v>
      </c>
      <c r="K112" s="322">
        <f t="shared" si="116"/>
        <v>0</v>
      </c>
      <c r="L112" s="251"/>
      <c r="M112" s="326" t="s">
        <v>157</v>
      </c>
      <c r="N112" s="322">
        <f t="shared" si="117"/>
        <v>2</v>
      </c>
      <c r="O112" s="251"/>
      <c r="P112" s="326" t="s">
        <v>157</v>
      </c>
      <c r="Q112" s="322">
        <f t="shared" si="117"/>
        <v>2</v>
      </c>
      <c r="R112" s="251"/>
      <c r="S112" s="326" t="s">
        <v>161</v>
      </c>
      <c r="T112" s="322">
        <f t="shared" si="117"/>
        <v>5</v>
      </c>
      <c r="U112" s="251"/>
      <c r="V112" s="326" t="s">
        <v>160</v>
      </c>
      <c r="W112" s="322">
        <f t="shared" si="117"/>
        <v>0</v>
      </c>
      <c r="X112" s="251"/>
      <c r="Y112" s="326" t="s">
        <v>161</v>
      </c>
      <c r="Z112" s="322">
        <f t="shared" si="117"/>
        <v>5</v>
      </c>
      <c r="AA112" s="251"/>
      <c r="AB112" s="326" t="s">
        <v>169</v>
      </c>
      <c r="AC112" s="322">
        <f t="shared" si="117"/>
        <v>0</v>
      </c>
      <c r="AD112" s="251"/>
      <c r="AE112" s="326" t="s">
        <v>169</v>
      </c>
      <c r="AF112" s="322">
        <f t="shared" si="117"/>
        <v>0</v>
      </c>
      <c r="AG112" s="251"/>
      <c r="AH112" s="326" t="s">
        <v>161</v>
      </c>
      <c r="AI112" s="322">
        <f t="shared" si="117"/>
        <v>5</v>
      </c>
      <c r="AJ112" s="251"/>
      <c r="AK112" s="326" t="s">
        <v>170</v>
      </c>
      <c r="AL112" s="322">
        <f t="shared" si="117"/>
        <v>0</v>
      </c>
      <c r="AM112" s="251"/>
      <c r="AN112" s="326" t="s">
        <v>169</v>
      </c>
      <c r="AO112" s="322">
        <f t="shared" si="117"/>
        <v>0</v>
      </c>
      <c r="AP112" s="251"/>
      <c r="AQ112" s="326" t="s">
        <v>160</v>
      </c>
      <c r="AR112" s="322">
        <f t="shared" si="117"/>
        <v>0</v>
      </c>
      <c r="AS112" s="251"/>
      <c r="AT112" s="326" t="s">
        <v>160</v>
      </c>
      <c r="AU112" s="322">
        <f t="shared" si="117"/>
        <v>0</v>
      </c>
      <c r="AV112" s="251"/>
      <c r="AW112" s="326" t="s">
        <v>160</v>
      </c>
      <c r="AX112" s="322">
        <f t="shared" si="117"/>
        <v>0</v>
      </c>
      <c r="AY112" s="251"/>
      <c r="AZ112" s="534" t="s">
        <v>160</v>
      </c>
      <c r="BA112" s="322">
        <f t="shared" si="117"/>
        <v>0</v>
      </c>
      <c r="BB112" s="251"/>
      <c r="BC112" s="326" t="s">
        <v>166</v>
      </c>
      <c r="BD112" s="322">
        <f t="shared" si="117"/>
        <v>0</v>
      </c>
      <c r="BE112" s="251"/>
      <c r="BF112" s="326"/>
      <c r="BG112" s="322">
        <f t="shared" si="117"/>
        <v>0</v>
      </c>
      <c r="BH112" s="251"/>
      <c r="BI112" s="326"/>
      <c r="BJ112" s="322">
        <f t="shared" si="117"/>
        <v>0</v>
      </c>
      <c r="BK112" s="251"/>
      <c r="BL112" s="326"/>
      <c r="BM112" s="322">
        <f t="shared" si="117"/>
        <v>0</v>
      </c>
      <c r="BN112" s="251"/>
      <c r="BO112" s="326"/>
      <c r="BP112" s="322">
        <f t="shared" si="117"/>
        <v>0</v>
      </c>
      <c r="BQ112" s="251"/>
      <c r="BR112" s="326"/>
      <c r="BS112" s="322">
        <f t="shared" si="117"/>
        <v>0</v>
      </c>
      <c r="BT112" s="251"/>
      <c r="BU112" s="326"/>
      <c r="BV112" s="322">
        <f t="shared" si="117"/>
        <v>0</v>
      </c>
      <c r="BW112" s="251"/>
      <c r="BX112" s="326"/>
      <c r="BY112" s="322">
        <f t="shared" si="117"/>
        <v>0</v>
      </c>
      <c r="BZ112" s="251"/>
      <c r="CA112" s="326"/>
      <c r="CB112" s="322">
        <f t="shared" si="115"/>
        <v>0</v>
      </c>
      <c r="CC112" s="251"/>
      <c r="CD112" s="326"/>
      <c r="CE112" s="322">
        <f t="shared" si="115"/>
        <v>0</v>
      </c>
      <c r="CF112" s="251"/>
      <c r="CG112" s="251"/>
      <c r="CH112" s="251"/>
    </row>
    <row r="113" spans="1:86" ht="15" customHeight="1">
      <c r="A113" s="219"/>
      <c r="B113" s="219"/>
      <c r="C113" s="219"/>
      <c r="D113" s="219"/>
      <c r="E113" s="219"/>
      <c r="F113" s="561"/>
      <c r="G113" s="334" t="str">
        <f>CONCATENATE(League!D109,"-",League!K109)</f>
        <v>Benfica-Napoli</v>
      </c>
      <c r="H113" s="335" t="str">
        <f>CONCATENATE(IF(League!G109&gt;League!H109,1,IF(League!G109&lt;League!H109,2,IF(AND(League!G109=League!H109,League!G109&lt;&gt;"",League!H109&lt;&gt;""),"X",0))),"|",League!G109,"-",League!H109)</f>
        <v>1|2-0</v>
      </c>
      <c r="I113" s="219"/>
      <c r="J113" s="457" t="s">
        <v>160</v>
      </c>
      <c r="K113" s="337">
        <f t="shared" si="116"/>
        <v>0</v>
      </c>
      <c r="L113" s="251"/>
      <c r="M113" s="336" t="s">
        <v>160</v>
      </c>
      <c r="N113" s="337">
        <f t="shared" si="117"/>
        <v>0</v>
      </c>
      <c r="O113" s="251"/>
      <c r="P113" s="336" t="s">
        <v>166</v>
      </c>
      <c r="Q113" s="337">
        <f t="shared" si="117"/>
        <v>2</v>
      </c>
      <c r="R113" s="251"/>
      <c r="S113" s="336" t="s">
        <v>166</v>
      </c>
      <c r="T113" s="337">
        <f t="shared" si="117"/>
        <v>2</v>
      </c>
      <c r="U113" s="251"/>
      <c r="V113" s="336" t="s">
        <v>160</v>
      </c>
      <c r="W113" s="337">
        <f t="shared" si="117"/>
        <v>0</v>
      </c>
      <c r="X113" s="251"/>
      <c r="Y113" s="336" t="s">
        <v>160</v>
      </c>
      <c r="Z113" s="337">
        <f t="shared" si="117"/>
        <v>0</v>
      </c>
      <c r="AA113" s="251"/>
      <c r="AB113" s="336" t="s">
        <v>167</v>
      </c>
      <c r="AC113" s="337">
        <f t="shared" si="117"/>
        <v>5</v>
      </c>
      <c r="AD113" s="251"/>
      <c r="AE113" s="336" t="s">
        <v>164</v>
      </c>
      <c r="AF113" s="337">
        <f t="shared" si="117"/>
        <v>2</v>
      </c>
      <c r="AG113" s="251"/>
      <c r="AH113" s="336" t="s">
        <v>158</v>
      </c>
      <c r="AI113" s="337">
        <f t="shared" si="117"/>
        <v>0</v>
      </c>
      <c r="AJ113" s="251"/>
      <c r="AK113" s="336" t="s">
        <v>166</v>
      </c>
      <c r="AL113" s="337">
        <f t="shared" si="117"/>
        <v>2</v>
      </c>
      <c r="AM113" s="251"/>
      <c r="AN113" s="336" t="s">
        <v>166</v>
      </c>
      <c r="AO113" s="337">
        <f t="shared" si="117"/>
        <v>2</v>
      </c>
      <c r="AP113" s="251"/>
      <c r="AQ113" s="336" t="s">
        <v>161</v>
      </c>
      <c r="AR113" s="337">
        <f t="shared" si="117"/>
        <v>0</v>
      </c>
      <c r="AS113" s="251"/>
      <c r="AT113" s="336" t="s">
        <v>158</v>
      </c>
      <c r="AU113" s="337">
        <f t="shared" si="117"/>
        <v>0</v>
      </c>
      <c r="AV113" s="251"/>
      <c r="AW113" s="336" t="s">
        <v>166</v>
      </c>
      <c r="AX113" s="337">
        <f t="shared" si="117"/>
        <v>2</v>
      </c>
      <c r="AY113" s="251"/>
      <c r="AZ113" s="537" t="s">
        <v>161</v>
      </c>
      <c r="BA113" s="337">
        <f t="shared" ref="BA113:CE124" si="118">IFERROR(SUM(IF($H113=AZ113,$D$10),IF(LEFT($H113,1)=LEFT(AZ113,1),$D$8),IF(MID($H113,FIND("|",$H113)+1,FIND("-",$H113)-FIND("|",$H113)-1)-MID($H113,FIND("-",$H113)+1,11)=MID(AZ113,FIND("|",AZ113)+1,FIND("-",AZ113)-FIND("|",AZ113)-1)-MID(AZ113,FIND("-",AZ113)+1,11),$D$9)),)</f>
        <v>0</v>
      </c>
      <c r="BB113" s="251"/>
      <c r="BC113" s="336" t="s">
        <v>160</v>
      </c>
      <c r="BD113" s="337">
        <f t="shared" si="118"/>
        <v>0</v>
      </c>
      <c r="BE113" s="251"/>
      <c r="BF113" s="336"/>
      <c r="BG113" s="337">
        <f t="shared" si="118"/>
        <v>0</v>
      </c>
      <c r="BH113" s="251"/>
      <c r="BI113" s="336"/>
      <c r="BJ113" s="337">
        <f t="shared" si="118"/>
        <v>0</v>
      </c>
      <c r="BK113" s="251"/>
      <c r="BL113" s="336"/>
      <c r="BM113" s="337">
        <f t="shared" si="118"/>
        <v>0</v>
      </c>
      <c r="BN113" s="251"/>
      <c r="BO113" s="336"/>
      <c r="BP113" s="337">
        <f t="shared" si="118"/>
        <v>0</v>
      </c>
      <c r="BQ113" s="251"/>
      <c r="BR113" s="336"/>
      <c r="BS113" s="337">
        <f t="shared" si="118"/>
        <v>0</v>
      </c>
      <c r="BT113" s="251"/>
      <c r="BU113" s="336"/>
      <c r="BV113" s="337">
        <f t="shared" si="118"/>
        <v>0</v>
      </c>
      <c r="BW113" s="251"/>
      <c r="BX113" s="336"/>
      <c r="BY113" s="337">
        <f t="shared" si="118"/>
        <v>0</v>
      </c>
      <c r="BZ113" s="251"/>
      <c r="CA113" s="336"/>
      <c r="CB113" s="337">
        <f t="shared" si="118"/>
        <v>0</v>
      </c>
      <c r="CC113" s="251"/>
      <c r="CD113" s="336"/>
      <c r="CE113" s="337">
        <f t="shared" si="118"/>
        <v>0</v>
      </c>
      <c r="CF113" s="251"/>
      <c r="CG113" s="251"/>
      <c r="CH113" s="251"/>
    </row>
    <row r="114" spans="1:86" ht="15" customHeight="1">
      <c r="A114" s="219"/>
      <c r="B114" s="219"/>
      <c r="C114" s="219"/>
      <c r="D114" s="219"/>
      <c r="E114" s="219"/>
      <c r="F114" s="562" t="str">
        <f>+Idiomas!D105</f>
        <v>J7</v>
      </c>
      <c r="G114" s="319" t="str">
        <f>CONCATENATE(League!D110,"-",League!K110)</f>
        <v>Kairat Almaty -Brugge</v>
      </c>
      <c r="H114" s="320" t="str">
        <f>CONCATENATE(IF(League!G110&gt;League!H110,1,IF(League!G110&lt;League!H110,2,IF(AND(League!G110=League!H110,League!G110&lt;&gt;"",League!H110&lt;&gt;""),"X",0))),"|",League!G110,"-",League!H110)</f>
        <v>2|1-4</v>
      </c>
      <c r="I114" s="219"/>
      <c r="J114" s="452" t="s">
        <v>158</v>
      </c>
      <c r="K114" s="341">
        <f t="shared" si="116"/>
        <v>0</v>
      </c>
      <c r="L114" s="251"/>
      <c r="M114" s="340" t="s">
        <v>158</v>
      </c>
      <c r="N114" s="341">
        <f t="shared" ref="N114:BY125" si="119">IFERROR(SUM(IF($H114=M114,$D$10),IF(LEFT($H114,1)=LEFT(M114,1),$D$8),IF(MID($H114,FIND("|",$H114)+1,FIND("-",$H114)-FIND("|",$H114)-1)-MID($H114,FIND("-",$H114)+1,11)=MID(M114,FIND("|",M114)+1,FIND("-",M114)-FIND("|",M114)-1)-MID(M114,FIND("-",M114)+1,11),$D$9)),)</f>
        <v>0</v>
      </c>
      <c r="O114" s="251"/>
      <c r="P114" s="340" t="s">
        <v>162</v>
      </c>
      <c r="Q114" s="341">
        <f t="shared" si="119"/>
        <v>2</v>
      </c>
      <c r="R114" s="251"/>
      <c r="S114" s="340" t="s">
        <v>158</v>
      </c>
      <c r="T114" s="341">
        <f t="shared" si="119"/>
        <v>0</v>
      </c>
      <c r="U114" s="251"/>
      <c r="V114" s="340" t="s">
        <v>168</v>
      </c>
      <c r="W114" s="341">
        <f t="shared" si="119"/>
        <v>0</v>
      </c>
      <c r="X114" s="251"/>
      <c r="Y114" s="340" t="s">
        <v>161</v>
      </c>
      <c r="Z114" s="341">
        <f t="shared" si="119"/>
        <v>2</v>
      </c>
      <c r="AA114" s="251"/>
      <c r="AB114" s="340" t="s">
        <v>173</v>
      </c>
      <c r="AC114" s="341">
        <f t="shared" si="119"/>
        <v>2</v>
      </c>
      <c r="AD114" s="251"/>
      <c r="AE114" s="340" t="s">
        <v>166</v>
      </c>
      <c r="AF114" s="341">
        <f t="shared" si="119"/>
        <v>0</v>
      </c>
      <c r="AG114" s="251"/>
      <c r="AH114" s="340" t="s">
        <v>162</v>
      </c>
      <c r="AI114" s="341">
        <f t="shared" si="119"/>
        <v>2</v>
      </c>
      <c r="AJ114" s="251"/>
      <c r="AK114" s="340" t="s">
        <v>162</v>
      </c>
      <c r="AL114" s="341">
        <f t="shared" si="119"/>
        <v>2</v>
      </c>
      <c r="AM114" s="251"/>
      <c r="AN114" s="340" t="s">
        <v>158</v>
      </c>
      <c r="AO114" s="341">
        <f t="shared" si="119"/>
        <v>0</v>
      </c>
      <c r="AP114" s="251"/>
      <c r="AQ114" s="340" t="s">
        <v>159</v>
      </c>
      <c r="AR114" s="341">
        <f t="shared" si="119"/>
        <v>2</v>
      </c>
      <c r="AS114" s="251"/>
      <c r="AT114" s="340" t="s">
        <v>161</v>
      </c>
      <c r="AU114" s="341">
        <f t="shared" si="119"/>
        <v>2</v>
      </c>
      <c r="AV114" s="251"/>
      <c r="AW114" s="340" t="s">
        <v>158</v>
      </c>
      <c r="AX114" s="341">
        <f t="shared" si="119"/>
        <v>0</v>
      </c>
      <c r="AY114" s="251"/>
      <c r="AZ114" s="534" t="s">
        <v>162</v>
      </c>
      <c r="BA114" s="341">
        <f t="shared" si="119"/>
        <v>2</v>
      </c>
      <c r="BB114" s="251"/>
      <c r="BC114" s="340" t="s">
        <v>162</v>
      </c>
      <c r="BD114" s="341">
        <f t="shared" si="119"/>
        <v>2</v>
      </c>
      <c r="BE114" s="251"/>
      <c r="BF114" s="340" t="str">
        <f>+Idiomas!$D$244</f>
        <v>Pegar Valores (J7)</v>
      </c>
      <c r="BG114" s="341">
        <f t="shared" si="119"/>
        <v>0</v>
      </c>
      <c r="BH114" s="251"/>
      <c r="BI114" s="340" t="str">
        <f>+Idiomas!$D$244</f>
        <v>Pegar Valores (J7)</v>
      </c>
      <c r="BJ114" s="341">
        <f t="shared" si="119"/>
        <v>0</v>
      </c>
      <c r="BK114" s="251"/>
      <c r="BL114" s="340" t="str">
        <f>+Idiomas!$D$244</f>
        <v>Pegar Valores (J7)</v>
      </c>
      <c r="BM114" s="341">
        <f t="shared" si="119"/>
        <v>0</v>
      </c>
      <c r="BN114" s="251"/>
      <c r="BO114" s="340" t="str">
        <f>+Idiomas!$D$244</f>
        <v>Pegar Valores (J7)</v>
      </c>
      <c r="BP114" s="341">
        <f t="shared" si="119"/>
        <v>0</v>
      </c>
      <c r="BQ114" s="251"/>
      <c r="BR114" s="340" t="str">
        <f>+Idiomas!$D$244</f>
        <v>Pegar Valores (J7)</v>
      </c>
      <c r="BS114" s="341">
        <f t="shared" si="119"/>
        <v>0</v>
      </c>
      <c r="BT114" s="251"/>
      <c r="BU114" s="340" t="str">
        <f>+Idiomas!$D$244</f>
        <v>Pegar Valores (J7)</v>
      </c>
      <c r="BV114" s="341">
        <f t="shared" si="119"/>
        <v>0</v>
      </c>
      <c r="BW114" s="251"/>
      <c r="BX114" s="340" t="str">
        <f>+Idiomas!$D$244</f>
        <v>Pegar Valores (J7)</v>
      </c>
      <c r="BY114" s="341">
        <f t="shared" si="119"/>
        <v>0</v>
      </c>
      <c r="BZ114" s="251"/>
      <c r="CA114" s="340" t="str">
        <f>+Idiomas!$D$244</f>
        <v>Pegar Valores (J7)</v>
      </c>
      <c r="CB114" s="341">
        <f t="shared" si="118"/>
        <v>0</v>
      </c>
      <c r="CC114" s="251"/>
      <c r="CD114" s="340" t="str">
        <f>+Idiomas!$D$244</f>
        <v>Pegar Valores (J7)</v>
      </c>
      <c r="CE114" s="341">
        <f t="shared" si="118"/>
        <v>0</v>
      </c>
      <c r="CF114" s="251"/>
      <c r="CG114" s="251"/>
      <c r="CH114" s="251"/>
    </row>
    <row r="115" spans="1:86" ht="15" customHeight="1">
      <c r="A115" s="219"/>
      <c r="B115" s="219"/>
      <c r="C115" s="219"/>
      <c r="D115" s="219"/>
      <c r="E115" s="219"/>
      <c r="F115" s="562"/>
      <c r="G115" s="319" t="str">
        <f>CONCATENATE(League!D111,"-",League!K111)</f>
        <v>Bodø/Glimt-Manchester City</v>
      </c>
      <c r="H115" s="320" t="str">
        <f>CONCATENATE(IF(League!G111&gt;League!H111,1,IF(League!G111&lt;League!H111,2,IF(AND(League!G111=League!H111,League!G111&lt;&gt;"",League!H111&lt;&gt;""),"X",0))),"|",League!G111,"-",League!H111)</f>
        <v>1|3-1</v>
      </c>
      <c r="I115" s="219"/>
      <c r="J115" s="452" t="s">
        <v>179</v>
      </c>
      <c r="K115" s="322">
        <f t="shared" si="116"/>
        <v>0</v>
      </c>
      <c r="L115" s="251"/>
      <c r="M115" s="326" t="s">
        <v>159</v>
      </c>
      <c r="N115" s="322">
        <f t="shared" si="119"/>
        <v>0</v>
      </c>
      <c r="O115" s="251"/>
      <c r="P115" s="326" t="s">
        <v>178</v>
      </c>
      <c r="Q115" s="322">
        <f t="shared" si="119"/>
        <v>0</v>
      </c>
      <c r="R115" s="251"/>
      <c r="S115" s="326" t="s">
        <v>178</v>
      </c>
      <c r="T115" s="322">
        <f t="shared" si="119"/>
        <v>0</v>
      </c>
      <c r="U115" s="251"/>
      <c r="V115" s="326" t="s">
        <v>162</v>
      </c>
      <c r="W115" s="322">
        <f t="shared" si="119"/>
        <v>0</v>
      </c>
      <c r="X115" s="251"/>
      <c r="Y115" s="326" t="s">
        <v>159</v>
      </c>
      <c r="Z115" s="322">
        <f t="shared" si="119"/>
        <v>0</v>
      </c>
      <c r="AA115" s="251"/>
      <c r="AB115" s="326" t="s">
        <v>178</v>
      </c>
      <c r="AC115" s="322">
        <f t="shared" si="119"/>
        <v>0</v>
      </c>
      <c r="AD115" s="251"/>
      <c r="AE115" s="326" t="s">
        <v>175</v>
      </c>
      <c r="AF115" s="322">
        <f t="shared" si="119"/>
        <v>0</v>
      </c>
      <c r="AG115" s="251"/>
      <c r="AH115" s="326" t="s">
        <v>159</v>
      </c>
      <c r="AI115" s="322">
        <f t="shared" si="119"/>
        <v>0</v>
      </c>
      <c r="AJ115" s="251"/>
      <c r="AK115" s="326" t="s">
        <v>159</v>
      </c>
      <c r="AL115" s="322">
        <f t="shared" si="119"/>
        <v>0</v>
      </c>
      <c r="AM115" s="251"/>
      <c r="AN115" s="326" t="s">
        <v>157</v>
      </c>
      <c r="AO115" s="322">
        <f t="shared" si="119"/>
        <v>0</v>
      </c>
      <c r="AP115" s="251"/>
      <c r="AQ115" s="326" t="s">
        <v>177</v>
      </c>
      <c r="AR115" s="322">
        <f t="shared" si="119"/>
        <v>0</v>
      </c>
      <c r="AS115" s="251"/>
      <c r="AT115" s="326" t="s">
        <v>159</v>
      </c>
      <c r="AU115" s="322">
        <f t="shared" si="119"/>
        <v>0</v>
      </c>
      <c r="AV115" s="251"/>
      <c r="AW115" s="326" t="s">
        <v>157</v>
      </c>
      <c r="AX115" s="322">
        <f t="shared" si="119"/>
        <v>0</v>
      </c>
      <c r="AY115" s="251"/>
      <c r="AZ115" s="534" t="s">
        <v>181</v>
      </c>
      <c r="BA115" s="322">
        <f t="shared" si="119"/>
        <v>0</v>
      </c>
      <c r="BB115" s="251"/>
      <c r="BC115" s="326" t="s">
        <v>179</v>
      </c>
      <c r="BD115" s="322">
        <f t="shared" si="119"/>
        <v>0</v>
      </c>
      <c r="BE115" s="251"/>
      <c r="BF115" s="326"/>
      <c r="BG115" s="322">
        <f t="shared" si="119"/>
        <v>0</v>
      </c>
      <c r="BH115" s="251"/>
      <c r="BI115" s="326"/>
      <c r="BJ115" s="322">
        <f t="shared" si="119"/>
        <v>0</v>
      </c>
      <c r="BK115" s="251"/>
      <c r="BL115" s="326"/>
      <c r="BM115" s="322">
        <f t="shared" si="119"/>
        <v>0</v>
      </c>
      <c r="BN115" s="251"/>
      <c r="BO115" s="326"/>
      <c r="BP115" s="322">
        <f t="shared" si="119"/>
        <v>0</v>
      </c>
      <c r="BQ115" s="251"/>
      <c r="BR115" s="326"/>
      <c r="BS115" s="322">
        <f t="shared" si="119"/>
        <v>0</v>
      </c>
      <c r="BT115" s="251"/>
      <c r="BU115" s="326"/>
      <c r="BV115" s="322">
        <f t="shared" si="119"/>
        <v>0</v>
      </c>
      <c r="BW115" s="251"/>
      <c r="BX115" s="326"/>
      <c r="BY115" s="322">
        <f t="shared" si="119"/>
        <v>0</v>
      </c>
      <c r="BZ115" s="251"/>
      <c r="CA115" s="326"/>
      <c r="CB115" s="322">
        <f t="shared" si="118"/>
        <v>0</v>
      </c>
      <c r="CC115" s="251"/>
      <c r="CD115" s="326"/>
      <c r="CE115" s="322">
        <f t="shared" si="118"/>
        <v>0</v>
      </c>
      <c r="CF115" s="251"/>
      <c r="CG115" s="251"/>
      <c r="CH115" s="251"/>
    </row>
    <row r="116" spans="1:86" ht="15" customHeight="1">
      <c r="A116" s="219"/>
      <c r="B116" s="219"/>
      <c r="C116" s="219"/>
      <c r="D116" s="219"/>
      <c r="E116" s="219"/>
      <c r="F116" s="562"/>
      <c r="G116" s="328" t="str">
        <f>CONCATENATE(League!D112,"-",League!K112)</f>
        <v>Copenhagen-Napoli</v>
      </c>
      <c r="H116" s="320" t="str">
        <f>CONCATENATE(IF(League!G112&gt;League!H112,1,IF(League!G112&lt;League!H112,2,IF(AND(League!G112=League!H112,League!G112&lt;&gt;"",League!H112&lt;&gt;""),"X",0))),"|",League!G112,"-",League!H112)</f>
        <v>X|1-1</v>
      </c>
      <c r="I116" s="219"/>
      <c r="J116" s="452" t="s">
        <v>158</v>
      </c>
      <c r="K116" s="322">
        <f t="shared" si="116"/>
        <v>5</v>
      </c>
      <c r="L116" s="251"/>
      <c r="M116" s="326" t="s">
        <v>158</v>
      </c>
      <c r="N116" s="322">
        <f t="shared" si="119"/>
        <v>5</v>
      </c>
      <c r="O116" s="251"/>
      <c r="P116" s="326" t="s">
        <v>159</v>
      </c>
      <c r="Q116" s="322">
        <f t="shared" si="119"/>
        <v>0</v>
      </c>
      <c r="R116" s="251"/>
      <c r="S116" s="326" t="s">
        <v>157</v>
      </c>
      <c r="T116" s="322">
        <f t="shared" si="119"/>
        <v>0</v>
      </c>
      <c r="U116" s="251"/>
      <c r="V116" s="326" t="s">
        <v>161</v>
      </c>
      <c r="W116" s="322">
        <f t="shared" si="119"/>
        <v>0</v>
      </c>
      <c r="X116" s="251"/>
      <c r="Y116" s="326" t="s">
        <v>162</v>
      </c>
      <c r="Z116" s="322">
        <f t="shared" si="119"/>
        <v>0</v>
      </c>
      <c r="AA116" s="251"/>
      <c r="AB116" s="326" t="s">
        <v>166</v>
      </c>
      <c r="AC116" s="322">
        <f t="shared" si="119"/>
        <v>0</v>
      </c>
      <c r="AD116" s="251"/>
      <c r="AE116" s="326" t="s">
        <v>160</v>
      </c>
      <c r="AF116" s="322">
        <f t="shared" si="119"/>
        <v>2</v>
      </c>
      <c r="AG116" s="251"/>
      <c r="AH116" s="326" t="s">
        <v>157</v>
      </c>
      <c r="AI116" s="322">
        <f t="shared" si="119"/>
        <v>0</v>
      </c>
      <c r="AJ116" s="251"/>
      <c r="AK116" s="326" t="s">
        <v>159</v>
      </c>
      <c r="AL116" s="322">
        <f t="shared" si="119"/>
        <v>0</v>
      </c>
      <c r="AM116" s="251"/>
      <c r="AN116" s="326" t="s">
        <v>166</v>
      </c>
      <c r="AO116" s="322">
        <f t="shared" si="119"/>
        <v>0</v>
      </c>
      <c r="AP116" s="251"/>
      <c r="AQ116" s="326" t="s">
        <v>161</v>
      </c>
      <c r="AR116" s="322">
        <f t="shared" si="119"/>
        <v>0</v>
      </c>
      <c r="AS116" s="251"/>
      <c r="AT116" s="326" t="s">
        <v>161</v>
      </c>
      <c r="AU116" s="322">
        <f t="shared" si="119"/>
        <v>0</v>
      </c>
      <c r="AV116" s="251"/>
      <c r="AW116" s="326" t="s">
        <v>161</v>
      </c>
      <c r="AX116" s="322">
        <f t="shared" si="119"/>
        <v>0</v>
      </c>
      <c r="AY116" s="251"/>
      <c r="AZ116" s="534" t="s">
        <v>161</v>
      </c>
      <c r="BA116" s="322">
        <f t="shared" si="119"/>
        <v>0</v>
      </c>
      <c r="BB116" s="251"/>
      <c r="BC116" s="326" t="s">
        <v>157</v>
      </c>
      <c r="BD116" s="322">
        <f t="shared" si="119"/>
        <v>0</v>
      </c>
      <c r="BE116" s="251"/>
      <c r="BF116" s="326"/>
      <c r="BG116" s="322">
        <f t="shared" si="119"/>
        <v>0</v>
      </c>
      <c r="BH116" s="251"/>
      <c r="BI116" s="326"/>
      <c r="BJ116" s="322">
        <f t="shared" si="119"/>
        <v>0</v>
      </c>
      <c r="BK116" s="251"/>
      <c r="BL116" s="326"/>
      <c r="BM116" s="322">
        <f t="shared" si="119"/>
        <v>0</v>
      </c>
      <c r="BN116" s="251"/>
      <c r="BO116" s="326"/>
      <c r="BP116" s="322">
        <f t="shared" si="119"/>
        <v>0</v>
      </c>
      <c r="BQ116" s="251"/>
      <c r="BR116" s="326"/>
      <c r="BS116" s="322">
        <f t="shared" si="119"/>
        <v>0</v>
      </c>
      <c r="BT116" s="251"/>
      <c r="BU116" s="326"/>
      <c r="BV116" s="322">
        <f t="shared" si="119"/>
        <v>0</v>
      </c>
      <c r="BW116" s="251"/>
      <c r="BX116" s="326"/>
      <c r="BY116" s="322">
        <f t="shared" si="119"/>
        <v>0</v>
      </c>
      <c r="BZ116" s="251"/>
      <c r="CA116" s="326"/>
      <c r="CB116" s="322">
        <f t="shared" si="118"/>
        <v>0</v>
      </c>
      <c r="CC116" s="251"/>
      <c r="CD116" s="326"/>
      <c r="CE116" s="322">
        <f t="shared" si="118"/>
        <v>0</v>
      </c>
      <c r="CF116" s="251"/>
      <c r="CG116" s="251"/>
      <c r="CH116" s="251"/>
    </row>
    <row r="117" spans="1:86" ht="15" customHeight="1">
      <c r="A117" s="219"/>
      <c r="B117" s="219"/>
      <c r="C117" s="219"/>
      <c r="D117" s="219"/>
      <c r="E117" s="219"/>
      <c r="F117" s="562"/>
      <c r="G117" s="319" t="str">
        <f>CONCATENATE(League!D113,"-",League!K113)</f>
        <v>Inter Milan-Arsenal</v>
      </c>
      <c r="H117" s="320" t="str">
        <f>CONCATENATE(IF(League!G113&gt;League!H113,1,IF(League!G113&lt;League!H113,2,IF(AND(League!G113=League!H113,League!G113&lt;&gt;"",League!H113&lt;&gt;""),"X",0))),"|",League!G113,"-",League!H113)</f>
        <v>2|1-3</v>
      </c>
      <c r="I117" s="219"/>
      <c r="J117" s="452" t="s">
        <v>160</v>
      </c>
      <c r="K117" s="322">
        <f t="shared" si="116"/>
        <v>0</v>
      </c>
      <c r="L117" s="251"/>
      <c r="M117" s="326" t="s">
        <v>158</v>
      </c>
      <c r="N117" s="322">
        <f t="shared" si="119"/>
        <v>0</v>
      </c>
      <c r="O117" s="251"/>
      <c r="P117" s="326" t="s">
        <v>158</v>
      </c>
      <c r="Q117" s="322">
        <f t="shared" si="119"/>
        <v>0</v>
      </c>
      <c r="R117" s="251"/>
      <c r="S117" s="326" t="s">
        <v>175</v>
      </c>
      <c r="T117" s="322">
        <f t="shared" si="119"/>
        <v>2</v>
      </c>
      <c r="U117" s="251"/>
      <c r="V117" s="326" t="s">
        <v>176</v>
      </c>
      <c r="W117" s="322">
        <f t="shared" si="119"/>
        <v>0</v>
      </c>
      <c r="X117" s="251"/>
      <c r="Y117" s="326" t="s">
        <v>161</v>
      </c>
      <c r="Z117" s="322">
        <f t="shared" si="119"/>
        <v>2</v>
      </c>
      <c r="AA117" s="251"/>
      <c r="AB117" s="326" t="s">
        <v>166</v>
      </c>
      <c r="AC117" s="322">
        <f t="shared" si="119"/>
        <v>0</v>
      </c>
      <c r="AD117" s="251"/>
      <c r="AE117" s="326" t="s">
        <v>157</v>
      </c>
      <c r="AF117" s="322">
        <f t="shared" si="119"/>
        <v>5</v>
      </c>
      <c r="AG117" s="251"/>
      <c r="AH117" s="326" t="s">
        <v>176</v>
      </c>
      <c r="AI117" s="322">
        <f t="shared" si="119"/>
        <v>0</v>
      </c>
      <c r="AJ117" s="251"/>
      <c r="AK117" s="326" t="s">
        <v>167</v>
      </c>
      <c r="AL117" s="322">
        <f t="shared" si="119"/>
        <v>0</v>
      </c>
      <c r="AM117" s="251"/>
      <c r="AN117" s="326" t="s">
        <v>160</v>
      </c>
      <c r="AO117" s="322">
        <f t="shared" si="119"/>
        <v>0</v>
      </c>
      <c r="AP117" s="251"/>
      <c r="AQ117" s="326" t="s">
        <v>166</v>
      </c>
      <c r="AR117" s="322">
        <f t="shared" si="119"/>
        <v>0</v>
      </c>
      <c r="AS117" s="251"/>
      <c r="AT117" s="326" t="s">
        <v>160</v>
      </c>
      <c r="AU117" s="322">
        <f t="shared" si="119"/>
        <v>0</v>
      </c>
      <c r="AV117" s="251"/>
      <c r="AW117" s="326" t="s">
        <v>166</v>
      </c>
      <c r="AX117" s="322">
        <f t="shared" si="119"/>
        <v>0</v>
      </c>
      <c r="AY117" s="251"/>
      <c r="AZ117" s="534" t="s">
        <v>169</v>
      </c>
      <c r="BA117" s="322">
        <f t="shared" si="119"/>
        <v>0</v>
      </c>
      <c r="BB117" s="251"/>
      <c r="BC117" s="326" t="s">
        <v>160</v>
      </c>
      <c r="BD117" s="322">
        <f t="shared" si="119"/>
        <v>0</v>
      </c>
      <c r="BE117" s="251"/>
      <c r="BF117" s="326"/>
      <c r="BG117" s="322">
        <f t="shared" si="119"/>
        <v>0</v>
      </c>
      <c r="BH117" s="251"/>
      <c r="BI117" s="326"/>
      <c r="BJ117" s="322">
        <f t="shared" si="119"/>
        <v>0</v>
      </c>
      <c r="BK117" s="251"/>
      <c r="BL117" s="326"/>
      <c r="BM117" s="322">
        <f t="shared" si="119"/>
        <v>0</v>
      </c>
      <c r="BN117" s="251"/>
      <c r="BO117" s="326"/>
      <c r="BP117" s="322">
        <f t="shared" si="119"/>
        <v>0</v>
      </c>
      <c r="BQ117" s="251"/>
      <c r="BR117" s="326"/>
      <c r="BS117" s="322">
        <f t="shared" si="119"/>
        <v>0</v>
      </c>
      <c r="BT117" s="251"/>
      <c r="BU117" s="326"/>
      <c r="BV117" s="322">
        <f t="shared" si="119"/>
        <v>0</v>
      </c>
      <c r="BW117" s="251"/>
      <c r="BX117" s="326"/>
      <c r="BY117" s="322">
        <f t="shared" si="119"/>
        <v>0</v>
      </c>
      <c r="BZ117" s="251"/>
      <c r="CA117" s="326"/>
      <c r="CB117" s="322">
        <f t="shared" si="118"/>
        <v>0</v>
      </c>
      <c r="CC117" s="251"/>
      <c r="CD117" s="326"/>
      <c r="CE117" s="322">
        <f t="shared" si="118"/>
        <v>0</v>
      </c>
      <c r="CF117" s="251"/>
      <c r="CG117" s="251"/>
      <c r="CH117" s="251"/>
    </row>
    <row r="118" spans="1:86" ht="15" customHeight="1">
      <c r="A118" s="219"/>
      <c r="B118" s="219"/>
      <c r="C118" s="219"/>
      <c r="D118" s="219"/>
      <c r="E118" s="219"/>
      <c r="F118" s="562"/>
      <c r="G118" s="328" t="str">
        <f>CONCATENATE(League!D114,"-",League!K114)</f>
        <v>Olympiakos-Bayer Leverkusen</v>
      </c>
      <c r="H118" s="320" t="str">
        <f>CONCATENATE(IF(League!G114&gt;League!H114,1,IF(League!G114&lt;League!H114,2,IF(AND(League!G114=League!H114,League!G114&lt;&gt;"",League!H114&lt;&gt;""),"X",0))),"|",League!G114,"-",League!H114)</f>
        <v>1|2-0</v>
      </c>
      <c r="I118" s="219"/>
      <c r="J118" s="452" t="s">
        <v>162</v>
      </c>
      <c r="K118" s="322">
        <f t="shared" si="116"/>
        <v>0</v>
      </c>
      <c r="L118" s="251"/>
      <c r="M118" s="326" t="s">
        <v>158</v>
      </c>
      <c r="N118" s="322">
        <f t="shared" si="119"/>
        <v>0</v>
      </c>
      <c r="O118" s="251"/>
      <c r="P118" s="326" t="s">
        <v>164</v>
      </c>
      <c r="Q118" s="322">
        <f t="shared" si="119"/>
        <v>2</v>
      </c>
      <c r="R118" s="251"/>
      <c r="S118" s="326" t="s">
        <v>158</v>
      </c>
      <c r="T118" s="322">
        <f t="shared" si="119"/>
        <v>0</v>
      </c>
      <c r="U118" s="251"/>
      <c r="V118" s="326" t="s">
        <v>166</v>
      </c>
      <c r="W118" s="322">
        <f t="shared" si="119"/>
        <v>2</v>
      </c>
      <c r="X118" s="251"/>
      <c r="Y118" s="326" t="s">
        <v>166</v>
      </c>
      <c r="Z118" s="322">
        <f t="shared" si="119"/>
        <v>2</v>
      </c>
      <c r="AA118" s="251"/>
      <c r="AB118" s="326" t="s">
        <v>167</v>
      </c>
      <c r="AC118" s="322">
        <f t="shared" si="119"/>
        <v>5</v>
      </c>
      <c r="AD118" s="251"/>
      <c r="AE118" s="326" t="s">
        <v>175</v>
      </c>
      <c r="AF118" s="322">
        <f t="shared" si="119"/>
        <v>0</v>
      </c>
      <c r="AG118" s="251"/>
      <c r="AH118" s="326" t="s">
        <v>158</v>
      </c>
      <c r="AI118" s="322">
        <f t="shared" si="119"/>
        <v>0</v>
      </c>
      <c r="AJ118" s="251"/>
      <c r="AK118" s="326" t="s">
        <v>159</v>
      </c>
      <c r="AL118" s="322">
        <f t="shared" si="119"/>
        <v>0</v>
      </c>
      <c r="AM118" s="251"/>
      <c r="AN118" s="326" t="s">
        <v>174</v>
      </c>
      <c r="AO118" s="322">
        <f t="shared" si="119"/>
        <v>0</v>
      </c>
      <c r="AP118" s="251"/>
      <c r="AQ118" s="326" t="s">
        <v>162</v>
      </c>
      <c r="AR118" s="322">
        <f t="shared" si="119"/>
        <v>0</v>
      </c>
      <c r="AS118" s="251"/>
      <c r="AT118" s="326" t="s">
        <v>158</v>
      </c>
      <c r="AU118" s="322">
        <f t="shared" si="119"/>
        <v>0</v>
      </c>
      <c r="AV118" s="251"/>
      <c r="AW118" s="326" t="s">
        <v>161</v>
      </c>
      <c r="AX118" s="322">
        <f t="shared" si="119"/>
        <v>0</v>
      </c>
      <c r="AY118" s="251"/>
      <c r="AZ118" s="534" t="s">
        <v>158</v>
      </c>
      <c r="BA118" s="322">
        <f t="shared" si="119"/>
        <v>0</v>
      </c>
      <c r="BB118" s="251"/>
      <c r="BC118" s="326" t="s">
        <v>158</v>
      </c>
      <c r="BD118" s="322">
        <f t="shared" si="119"/>
        <v>0</v>
      </c>
      <c r="BE118" s="251"/>
      <c r="BF118" s="326"/>
      <c r="BG118" s="322">
        <f t="shared" si="119"/>
        <v>0</v>
      </c>
      <c r="BH118" s="251"/>
      <c r="BI118" s="326"/>
      <c r="BJ118" s="322">
        <f t="shared" si="119"/>
        <v>0</v>
      </c>
      <c r="BK118" s="251"/>
      <c r="BL118" s="326"/>
      <c r="BM118" s="322">
        <f t="shared" si="119"/>
        <v>0</v>
      </c>
      <c r="BN118" s="251"/>
      <c r="BO118" s="326"/>
      <c r="BP118" s="322">
        <f t="shared" si="119"/>
        <v>0</v>
      </c>
      <c r="BQ118" s="251"/>
      <c r="BR118" s="326"/>
      <c r="BS118" s="322">
        <f t="shared" si="119"/>
        <v>0</v>
      </c>
      <c r="BT118" s="251"/>
      <c r="BU118" s="326"/>
      <c r="BV118" s="322">
        <f t="shared" si="119"/>
        <v>0</v>
      </c>
      <c r="BW118" s="251"/>
      <c r="BX118" s="326"/>
      <c r="BY118" s="322">
        <f t="shared" si="119"/>
        <v>0</v>
      </c>
      <c r="BZ118" s="251"/>
      <c r="CA118" s="326"/>
      <c r="CB118" s="322">
        <f t="shared" si="118"/>
        <v>0</v>
      </c>
      <c r="CC118" s="251"/>
      <c r="CD118" s="326"/>
      <c r="CE118" s="322">
        <f t="shared" si="118"/>
        <v>0</v>
      </c>
      <c r="CF118" s="251"/>
      <c r="CG118" s="251"/>
      <c r="CH118" s="251"/>
    </row>
    <row r="119" spans="1:86" ht="15" customHeight="1">
      <c r="A119" s="219"/>
      <c r="B119" s="219"/>
      <c r="C119" s="219"/>
      <c r="D119" s="219"/>
      <c r="E119" s="219"/>
      <c r="F119" s="562"/>
      <c r="G119" s="319" t="str">
        <f>CONCATENATE(League!D115,"-",League!K115)</f>
        <v>Real Madrid-Monaco</v>
      </c>
      <c r="H119" s="320" t="str">
        <f>CONCATENATE(IF(League!G115&gt;League!H115,1,IF(League!G115&lt;League!H115,2,IF(AND(League!G115=League!H115,League!G115&lt;&gt;"",League!H115&lt;&gt;""),"X",0))),"|",League!G115,"-",League!H115)</f>
        <v>1|6-1</v>
      </c>
      <c r="I119" s="219"/>
      <c r="J119" s="452" t="s">
        <v>170</v>
      </c>
      <c r="K119" s="322">
        <f t="shared" si="116"/>
        <v>2</v>
      </c>
      <c r="L119" s="251"/>
      <c r="M119" s="326" t="s">
        <v>164</v>
      </c>
      <c r="N119" s="322">
        <f t="shared" si="119"/>
        <v>2</v>
      </c>
      <c r="O119" s="251"/>
      <c r="P119" s="326" t="s">
        <v>170</v>
      </c>
      <c r="Q119" s="322">
        <f t="shared" si="119"/>
        <v>2</v>
      </c>
      <c r="R119" s="251"/>
      <c r="S119" s="326" t="s">
        <v>165</v>
      </c>
      <c r="T119" s="322">
        <f t="shared" si="119"/>
        <v>2</v>
      </c>
      <c r="U119" s="251"/>
      <c r="V119" s="326" t="s">
        <v>169</v>
      </c>
      <c r="W119" s="322">
        <f t="shared" si="119"/>
        <v>2</v>
      </c>
      <c r="X119" s="251"/>
      <c r="Y119" s="326" t="s">
        <v>165</v>
      </c>
      <c r="Z119" s="322">
        <f t="shared" si="119"/>
        <v>2</v>
      </c>
      <c r="AA119" s="251"/>
      <c r="AB119" s="326" t="s">
        <v>165</v>
      </c>
      <c r="AC119" s="322">
        <f t="shared" si="119"/>
        <v>2</v>
      </c>
      <c r="AD119" s="251"/>
      <c r="AE119" s="326" t="s">
        <v>170</v>
      </c>
      <c r="AF119" s="322">
        <f t="shared" si="119"/>
        <v>2</v>
      </c>
      <c r="AG119" s="251"/>
      <c r="AH119" s="326" t="s">
        <v>165</v>
      </c>
      <c r="AI119" s="322">
        <f t="shared" si="119"/>
        <v>2</v>
      </c>
      <c r="AJ119" s="251"/>
      <c r="AK119" s="326" t="s">
        <v>163</v>
      </c>
      <c r="AL119" s="322">
        <f t="shared" si="119"/>
        <v>2</v>
      </c>
      <c r="AM119" s="251"/>
      <c r="AN119" s="326" t="s">
        <v>170</v>
      </c>
      <c r="AO119" s="322">
        <f t="shared" si="119"/>
        <v>2</v>
      </c>
      <c r="AP119" s="251"/>
      <c r="AQ119" s="326" t="s">
        <v>170</v>
      </c>
      <c r="AR119" s="322">
        <f t="shared" si="119"/>
        <v>2</v>
      </c>
      <c r="AS119" s="251"/>
      <c r="AT119" s="326" t="s">
        <v>166</v>
      </c>
      <c r="AU119" s="322">
        <f t="shared" si="119"/>
        <v>2</v>
      </c>
      <c r="AV119" s="251"/>
      <c r="AW119" s="326" t="s">
        <v>170</v>
      </c>
      <c r="AX119" s="322">
        <f t="shared" si="119"/>
        <v>2</v>
      </c>
      <c r="AY119" s="251"/>
      <c r="AZ119" s="534" t="s">
        <v>160</v>
      </c>
      <c r="BA119" s="322">
        <f t="shared" si="119"/>
        <v>0</v>
      </c>
      <c r="BB119" s="251"/>
      <c r="BC119" s="326" t="s">
        <v>170</v>
      </c>
      <c r="BD119" s="322">
        <f t="shared" si="119"/>
        <v>2</v>
      </c>
      <c r="BE119" s="251"/>
      <c r="BF119" s="326"/>
      <c r="BG119" s="322">
        <f t="shared" si="119"/>
        <v>0</v>
      </c>
      <c r="BH119" s="251"/>
      <c r="BI119" s="326"/>
      <c r="BJ119" s="322">
        <f t="shared" si="119"/>
        <v>0</v>
      </c>
      <c r="BK119" s="251"/>
      <c r="BL119" s="326"/>
      <c r="BM119" s="322">
        <f t="shared" si="119"/>
        <v>0</v>
      </c>
      <c r="BN119" s="251"/>
      <c r="BO119" s="326"/>
      <c r="BP119" s="322">
        <f t="shared" si="119"/>
        <v>0</v>
      </c>
      <c r="BQ119" s="251"/>
      <c r="BR119" s="326"/>
      <c r="BS119" s="322">
        <f t="shared" si="119"/>
        <v>0</v>
      </c>
      <c r="BT119" s="251"/>
      <c r="BU119" s="326"/>
      <c r="BV119" s="322">
        <f t="shared" si="119"/>
        <v>0</v>
      </c>
      <c r="BW119" s="251"/>
      <c r="BX119" s="326"/>
      <c r="BY119" s="322">
        <f t="shared" si="119"/>
        <v>0</v>
      </c>
      <c r="BZ119" s="251"/>
      <c r="CA119" s="326"/>
      <c r="CB119" s="322">
        <f t="shared" si="118"/>
        <v>0</v>
      </c>
      <c r="CC119" s="251"/>
      <c r="CD119" s="326"/>
      <c r="CE119" s="322">
        <f t="shared" si="118"/>
        <v>0</v>
      </c>
      <c r="CF119" s="251"/>
      <c r="CG119" s="251"/>
      <c r="CH119" s="251"/>
    </row>
    <row r="120" spans="1:86" ht="15" customHeight="1">
      <c r="A120" s="219"/>
      <c r="B120" s="219"/>
      <c r="C120" s="219"/>
      <c r="D120" s="219"/>
      <c r="E120" s="219"/>
      <c r="F120" s="562"/>
      <c r="G120" s="328" t="str">
        <f>CONCATENATE(League!D116,"-",League!K116)</f>
        <v>Sporting Portugal-PSG</v>
      </c>
      <c r="H120" s="320" t="str">
        <f>CONCATENATE(IF(League!G116&gt;League!H116,1,IF(League!G116&lt;League!H116,2,IF(AND(League!G116=League!H116,League!G116&lt;&gt;"",League!H116&lt;&gt;""),"X",0))),"|",League!G116,"-",League!H116)</f>
        <v>1|2-1</v>
      </c>
      <c r="I120" s="219"/>
      <c r="J120" s="452" t="s">
        <v>173</v>
      </c>
      <c r="K120" s="322">
        <f t="shared" si="116"/>
        <v>0</v>
      </c>
      <c r="L120" s="251"/>
      <c r="M120" s="326" t="s">
        <v>157</v>
      </c>
      <c r="N120" s="322">
        <f t="shared" si="119"/>
        <v>0</v>
      </c>
      <c r="O120" s="251"/>
      <c r="P120" s="326" t="s">
        <v>179</v>
      </c>
      <c r="Q120" s="322">
        <f t="shared" si="119"/>
        <v>0</v>
      </c>
      <c r="R120" s="251"/>
      <c r="S120" s="326" t="s">
        <v>157</v>
      </c>
      <c r="T120" s="322">
        <f t="shared" si="119"/>
        <v>0</v>
      </c>
      <c r="U120" s="251"/>
      <c r="V120" s="326" t="s">
        <v>158</v>
      </c>
      <c r="W120" s="322">
        <f t="shared" si="119"/>
        <v>0</v>
      </c>
      <c r="X120" s="251"/>
      <c r="Y120" s="326" t="s">
        <v>161</v>
      </c>
      <c r="Z120" s="322">
        <f t="shared" si="119"/>
        <v>0</v>
      </c>
      <c r="AA120" s="251"/>
      <c r="AB120" s="326" t="s">
        <v>157</v>
      </c>
      <c r="AC120" s="322">
        <f t="shared" si="119"/>
        <v>0</v>
      </c>
      <c r="AD120" s="251"/>
      <c r="AE120" s="326" t="s">
        <v>161</v>
      </c>
      <c r="AF120" s="322">
        <f t="shared" si="119"/>
        <v>0</v>
      </c>
      <c r="AG120" s="251"/>
      <c r="AH120" s="326" t="s">
        <v>175</v>
      </c>
      <c r="AI120" s="322">
        <f t="shared" si="119"/>
        <v>0</v>
      </c>
      <c r="AJ120" s="251"/>
      <c r="AK120" s="326" t="s">
        <v>159</v>
      </c>
      <c r="AL120" s="322">
        <f t="shared" si="119"/>
        <v>0</v>
      </c>
      <c r="AM120" s="251"/>
      <c r="AN120" s="326" t="s">
        <v>162</v>
      </c>
      <c r="AO120" s="322">
        <f t="shared" si="119"/>
        <v>0</v>
      </c>
      <c r="AP120" s="251"/>
      <c r="AQ120" s="326" t="s">
        <v>161</v>
      </c>
      <c r="AR120" s="322">
        <f t="shared" si="119"/>
        <v>0</v>
      </c>
      <c r="AS120" s="251"/>
      <c r="AT120" s="326" t="s">
        <v>161</v>
      </c>
      <c r="AU120" s="322">
        <f t="shared" si="119"/>
        <v>0</v>
      </c>
      <c r="AV120" s="251"/>
      <c r="AW120" s="326" t="s">
        <v>166</v>
      </c>
      <c r="AX120" s="322">
        <f t="shared" si="119"/>
        <v>5</v>
      </c>
      <c r="AY120" s="251"/>
      <c r="AZ120" s="534" t="s">
        <v>157</v>
      </c>
      <c r="BA120" s="322">
        <f t="shared" si="119"/>
        <v>0</v>
      </c>
      <c r="BB120" s="251"/>
      <c r="BC120" s="326" t="s">
        <v>173</v>
      </c>
      <c r="BD120" s="322">
        <f t="shared" si="119"/>
        <v>0</v>
      </c>
      <c r="BE120" s="251"/>
      <c r="BF120" s="326"/>
      <c r="BG120" s="322">
        <f t="shared" si="119"/>
        <v>0</v>
      </c>
      <c r="BH120" s="251"/>
      <c r="BI120" s="326"/>
      <c r="BJ120" s="322">
        <f t="shared" si="119"/>
        <v>0</v>
      </c>
      <c r="BK120" s="251"/>
      <c r="BL120" s="326"/>
      <c r="BM120" s="322">
        <f t="shared" si="119"/>
        <v>0</v>
      </c>
      <c r="BN120" s="251"/>
      <c r="BO120" s="326"/>
      <c r="BP120" s="322">
        <f t="shared" si="119"/>
        <v>0</v>
      </c>
      <c r="BQ120" s="251"/>
      <c r="BR120" s="326"/>
      <c r="BS120" s="322">
        <f t="shared" si="119"/>
        <v>0</v>
      </c>
      <c r="BT120" s="251"/>
      <c r="BU120" s="326"/>
      <c r="BV120" s="322">
        <f t="shared" si="119"/>
        <v>0</v>
      </c>
      <c r="BW120" s="251"/>
      <c r="BX120" s="326"/>
      <c r="BY120" s="322">
        <f t="shared" si="119"/>
        <v>0</v>
      </c>
      <c r="BZ120" s="251"/>
      <c r="CA120" s="326"/>
      <c r="CB120" s="322">
        <f t="shared" si="118"/>
        <v>0</v>
      </c>
      <c r="CC120" s="251"/>
      <c r="CD120" s="326"/>
      <c r="CE120" s="322">
        <f t="shared" si="118"/>
        <v>0</v>
      </c>
      <c r="CF120" s="251"/>
      <c r="CG120" s="251"/>
      <c r="CH120" s="251"/>
    </row>
    <row r="121" spans="1:86" ht="15" customHeight="1">
      <c r="A121" s="219"/>
      <c r="B121" s="219"/>
      <c r="C121" s="219"/>
      <c r="D121" s="219"/>
      <c r="E121" s="219"/>
      <c r="F121" s="562"/>
      <c r="G121" s="319" t="str">
        <f>CONCATENATE(League!D117,"-",League!K117)</f>
        <v>Tottenham-Borussia Dortmund</v>
      </c>
      <c r="H121" s="320" t="str">
        <f>CONCATENATE(IF(League!G117&gt;League!H117,1,IF(League!G117&lt;League!H117,2,IF(AND(League!G117=League!H117,League!G117&lt;&gt;"",League!H117&lt;&gt;""),"X",0))),"|",League!G117,"-",League!H117)</f>
        <v>1|2-0</v>
      </c>
      <c r="I121" s="219"/>
      <c r="J121" s="452" t="s">
        <v>166</v>
      </c>
      <c r="K121" s="322">
        <f t="shared" si="116"/>
        <v>2</v>
      </c>
      <c r="L121" s="251"/>
      <c r="M121" s="326" t="s">
        <v>160</v>
      </c>
      <c r="N121" s="322">
        <f t="shared" si="119"/>
        <v>0</v>
      </c>
      <c r="O121" s="251"/>
      <c r="P121" s="326" t="s">
        <v>166</v>
      </c>
      <c r="Q121" s="322">
        <f t="shared" si="119"/>
        <v>2</v>
      </c>
      <c r="R121" s="251"/>
      <c r="S121" s="326" t="s">
        <v>160</v>
      </c>
      <c r="T121" s="322">
        <f t="shared" si="119"/>
        <v>0</v>
      </c>
      <c r="U121" s="251"/>
      <c r="V121" s="326" t="s">
        <v>161</v>
      </c>
      <c r="W121" s="322">
        <f t="shared" si="119"/>
        <v>0</v>
      </c>
      <c r="X121" s="251"/>
      <c r="Y121" s="326" t="s">
        <v>166</v>
      </c>
      <c r="Z121" s="322">
        <f t="shared" si="119"/>
        <v>2</v>
      </c>
      <c r="AA121" s="251"/>
      <c r="AB121" s="326" t="s">
        <v>166</v>
      </c>
      <c r="AC121" s="322">
        <f t="shared" si="119"/>
        <v>2</v>
      </c>
      <c r="AD121" s="251"/>
      <c r="AE121" s="326" t="s">
        <v>166</v>
      </c>
      <c r="AF121" s="322">
        <f t="shared" si="119"/>
        <v>2</v>
      </c>
      <c r="AG121" s="251"/>
      <c r="AH121" s="326" t="s">
        <v>160</v>
      </c>
      <c r="AI121" s="322">
        <f t="shared" si="119"/>
        <v>0</v>
      </c>
      <c r="AJ121" s="251"/>
      <c r="AK121" s="326" t="s">
        <v>166</v>
      </c>
      <c r="AL121" s="322">
        <f t="shared" si="119"/>
        <v>2</v>
      </c>
      <c r="AM121" s="251"/>
      <c r="AN121" s="326" t="s">
        <v>166</v>
      </c>
      <c r="AO121" s="322">
        <f t="shared" si="119"/>
        <v>2</v>
      </c>
      <c r="AP121" s="251"/>
      <c r="AQ121" s="326" t="s">
        <v>160</v>
      </c>
      <c r="AR121" s="322">
        <f t="shared" si="119"/>
        <v>0</v>
      </c>
      <c r="AS121" s="251"/>
      <c r="AT121" s="326" t="s">
        <v>166</v>
      </c>
      <c r="AU121" s="322">
        <f t="shared" si="119"/>
        <v>2</v>
      </c>
      <c r="AV121" s="251"/>
      <c r="AW121" s="326" t="s">
        <v>166</v>
      </c>
      <c r="AX121" s="322">
        <f t="shared" si="119"/>
        <v>2</v>
      </c>
      <c r="AY121" s="251"/>
      <c r="AZ121" s="534" t="s">
        <v>167</v>
      </c>
      <c r="BA121" s="322">
        <f t="shared" si="119"/>
        <v>5</v>
      </c>
      <c r="BB121" s="251"/>
      <c r="BC121" s="326" t="s">
        <v>160</v>
      </c>
      <c r="BD121" s="322">
        <f t="shared" si="119"/>
        <v>0</v>
      </c>
      <c r="BE121" s="251"/>
      <c r="BF121" s="326"/>
      <c r="BG121" s="322">
        <f t="shared" si="119"/>
        <v>0</v>
      </c>
      <c r="BH121" s="251"/>
      <c r="BI121" s="326"/>
      <c r="BJ121" s="322">
        <f t="shared" si="119"/>
        <v>0</v>
      </c>
      <c r="BK121" s="251"/>
      <c r="BL121" s="326"/>
      <c r="BM121" s="322">
        <f t="shared" si="119"/>
        <v>0</v>
      </c>
      <c r="BN121" s="251"/>
      <c r="BO121" s="326"/>
      <c r="BP121" s="322">
        <f t="shared" si="119"/>
        <v>0</v>
      </c>
      <c r="BQ121" s="251"/>
      <c r="BR121" s="326"/>
      <c r="BS121" s="322">
        <f t="shared" si="119"/>
        <v>0</v>
      </c>
      <c r="BT121" s="251"/>
      <c r="BU121" s="326"/>
      <c r="BV121" s="322">
        <f t="shared" si="119"/>
        <v>0</v>
      </c>
      <c r="BW121" s="251"/>
      <c r="BX121" s="326"/>
      <c r="BY121" s="322">
        <f t="shared" si="119"/>
        <v>0</v>
      </c>
      <c r="BZ121" s="251"/>
      <c r="CA121" s="326"/>
      <c r="CB121" s="322">
        <f t="shared" si="118"/>
        <v>0</v>
      </c>
      <c r="CC121" s="251"/>
      <c r="CD121" s="326"/>
      <c r="CE121" s="322">
        <f t="shared" si="118"/>
        <v>0</v>
      </c>
      <c r="CF121" s="251"/>
      <c r="CG121" s="251"/>
      <c r="CH121" s="251"/>
    </row>
    <row r="122" spans="1:86" ht="15" customHeight="1">
      <c r="A122" s="219"/>
      <c r="B122" s="219"/>
      <c r="C122" s="219"/>
      <c r="D122" s="219"/>
      <c r="E122" s="219"/>
      <c r="F122" s="562"/>
      <c r="G122" s="328" t="str">
        <f>CONCATENATE(League!D118,"-",League!K118)</f>
        <v>Villarreal-Ajax</v>
      </c>
      <c r="H122" s="320" t="str">
        <f>CONCATENATE(IF(League!G118&gt;League!H118,1,IF(League!G118&lt;League!H118,2,IF(AND(League!G118=League!H118,League!G118&lt;&gt;"",League!H118&lt;&gt;""),"X",0))),"|",League!G118,"-",League!H118)</f>
        <v>2|1-2</v>
      </c>
      <c r="I122" s="219"/>
      <c r="J122" s="452" t="s">
        <v>161</v>
      </c>
      <c r="K122" s="322">
        <f t="shared" si="116"/>
        <v>5</v>
      </c>
      <c r="L122" s="251"/>
      <c r="M122" s="326" t="s">
        <v>158</v>
      </c>
      <c r="N122" s="322">
        <f t="shared" si="119"/>
        <v>0</v>
      </c>
      <c r="O122" s="251"/>
      <c r="P122" s="326" t="s">
        <v>164</v>
      </c>
      <c r="Q122" s="322">
        <f t="shared" si="119"/>
        <v>0</v>
      </c>
      <c r="R122" s="251"/>
      <c r="S122" s="326" t="s">
        <v>164</v>
      </c>
      <c r="T122" s="322">
        <f t="shared" si="119"/>
        <v>0</v>
      </c>
      <c r="U122" s="251"/>
      <c r="V122" s="326" t="s">
        <v>166</v>
      </c>
      <c r="W122" s="322">
        <f t="shared" si="119"/>
        <v>0</v>
      </c>
      <c r="X122" s="251"/>
      <c r="Y122" s="326" t="s">
        <v>169</v>
      </c>
      <c r="Z122" s="322">
        <f t="shared" si="119"/>
        <v>0</v>
      </c>
      <c r="AA122" s="251"/>
      <c r="AB122" s="326" t="s">
        <v>165</v>
      </c>
      <c r="AC122" s="322">
        <f t="shared" si="119"/>
        <v>0</v>
      </c>
      <c r="AD122" s="251"/>
      <c r="AE122" s="326" t="s">
        <v>158</v>
      </c>
      <c r="AF122" s="322">
        <f t="shared" si="119"/>
        <v>0</v>
      </c>
      <c r="AG122" s="251"/>
      <c r="AH122" s="326" t="s">
        <v>167</v>
      </c>
      <c r="AI122" s="322">
        <f t="shared" si="119"/>
        <v>0</v>
      </c>
      <c r="AJ122" s="251"/>
      <c r="AK122" s="326" t="s">
        <v>158</v>
      </c>
      <c r="AL122" s="322">
        <f t="shared" si="119"/>
        <v>0</v>
      </c>
      <c r="AM122" s="251"/>
      <c r="AN122" s="326" t="s">
        <v>166</v>
      </c>
      <c r="AO122" s="322">
        <f t="shared" si="119"/>
        <v>0</v>
      </c>
      <c r="AP122" s="251"/>
      <c r="AQ122" s="326" t="s">
        <v>158</v>
      </c>
      <c r="AR122" s="322">
        <f t="shared" si="119"/>
        <v>0</v>
      </c>
      <c r="AS122" s="251"/>
      <c r="AT122" s="326" t="s">
        <v>158</v>
      </c>
      <c r="AU122" s="322">
        <f t="shared" si="119"/>
        <v>0</v>
      </c>
      <c r="AV122" s="251"/>
      <c r="AW122" s="326" t="s">
        <v>166</v>
      </c>
      <c r="AX122" s="322">
        <f t="shared" si="119"/>
        <v>0</v>
      </c>
      <c r="AY122" s="251"/>
      <c r="AZ122" s="534" t="s">
        <v>166</v>
      </c>
      <c r="BA122" s="322">
        <f t="shared" si="119"/>
        <v>0</v>
      </c>
      <c r="BB122" s="251"/>
      <c r="BC122" s="326" t="s">
        <v>166</v>
      </c>
      <c r="BD122" s="322">
        <f t="shared" si="119"/>
        <v>0</v>
      </c>
      <c r="BE122" s="251"/>
      <c r="BF122" s="326"/>
      <c r="BG122" s="322">
        <f t="shared" si="119"/>
        <v>0</v>
      </c>
      <c r="BH122" s="251"/>
      <c r="BI122" s="326"/>
      <c r="BJ122" s="322">
        <f t="shared" si="119"/>
        <v>0</v>
      </c>
      <c r="BK122" s="251"/>
      <c r="BL122" s="326"/>
      <c r="BM122" s="322">
        <f t="shared" si="119"/>
        <v>0</v>
      </c>
      <c r="BN122" s="251"/>
      <c r="BO122" s="326"/>
      <c r="BP122" s="322">
        <f t="shared" si="119"/>
        <v>0</v>
      </c>
      <c r="BQ122" s="251"/>
      <c r="BR122" s="326"/>
      <c r="BS122" s="322">
        <f t="shared" si="119"/>
        <v>0</v>
      </c>
      <c r="BT122" s="251"/>
      <c r="BU122" s="326"/>
      <c r="BV122" s="322">
        <f t="shared" si="119"/>
        <v>0</v>
      </c>
      <c r="BW122" s="251"/>
      <c r="BX122" s="326"/>
      <c r="BY122" s="322">
        <f t="shared" si="119"/>
        <v>0</v>
      </c>
      <c r="BZ122" s="251"/>
      <c r="CA122" s="326"/>
      <c r="CB122" s="322">
        <f t="shared" si="118"/>
        <v>0</v>
      </c>
      <c r="CC122" s="251"/>
      <c r="CD122" s="326"/>
      <c r="CE122" s="322">
        <f t="shared" si="118"/>
        <v>0</v>
      </c>
      <c r="CF122" s="251"/>
      <c r="CG122" s="251"/>
      <c r="CH122" s="251"/>
    </row>
    <row r="123" spans="1:86" ht="15" customHeight="1">
      <c r="A123" s="219"/>
      <c r="B123" s="219"/>
      <c r="C123" s="219"/>
      <c r="D123" s="219"/>
      <c r="E123" s="219"/>
      <c r="F123" s="562"/>
      <c r="G123" s="319" t="str">
        <f>CONCATENATE(League!D119,"-",League!K119)</f>
        <v>Galatasaray-Atlético Madrid</v>
      </c>
      <c r="H123" s="320" t="str">
        <f>CONCATENATE(IF(League!G119&gt;League!H119,1,IF(League!G119&lt;League!H119,2,IF(AND(League!G119=League!H119,League!G119&lt;&gt;"",League!H119&lt;&gt;""),"X",0))),"|",League!G119,"-",League!H119)</f>
        <v>X|1-1</v>
      </c>
      <c r="I123" s="219"/>
      <c r="J123" s="452" t="s">
        <v>165</v>
      </c>
      <c r="K123" s="322">
        <f t="shared" si="116"/>
        <v>0</v>
      </c>
      <c r="L123" s="251"/>
      <c r="M123" s="326" t="s">
        <v>157</v>
      </c>
      <c r="N123" s="322">
        <f t="shared" si="119"/>
        <v>0</v>
      </c>
      <c r="O123" s="251"/>
      <c r="P123" s="326" t="s">
        <v>161</v>
      </c>
      <c r="Q123" s="322">
        <f t="shared" si="119"/>
        <v>0</v>
      </c>
      <c r="R123" s="251"/>
      <c r="S123" s="326" t="s">
        <v>157</v>
      </c>
      <c r="T123" s="322">
        <f t="shared" si="119"/>
        <v>0</v>
      </c>
      <c r="U123" s="251"/>
      <c r="V123" s="326" t="s">
        <v>158</v>
      </c>
      <c r="W123" s="322">
        <f t="shared" si="119"/>
        <v>5</v>
      </c>
      <c r="X123" s="251"/>
      <c r="Y123" s="326" t="s">
        <v>174</v>
      </c>
      <c r="Z123" s="322">
        <f t="shared" si="119"/>
        <v>0</v>
      </c>
      <c r="AA123" s="251"/>
      <c r="AB123" s="326" t="s">
        <v>161</v>
      </c>
      <c r="AC123" s="322">
        <f t="shared" si="119"/>
        <v>0</v>
      </c>
      <c r="AD123" s="251"/>
      <c r="AE123" s="326" t="s">
        <v>166</v>
      </c>
      <c r="AF123" s="322">
        <f t="shared" si="119"/>
        <v>0</v>
      </c>
      <c r="AG123" s="251"/>
      <c r="AH123" s="326" t="s">
        <v>159</v>
      </c>
      <c r="AI123" s="322">
        <f t="shared" si="119"/>
        <v>0</v>
      </c>
      <c r="AJ123" s="251"/>
      <c r="AK123" s="326" t="s">
        <v>159</v>
      </c>
      <c r="AL123" s="322">
        <f t="shared" si="119"/>
        <v>0</v>
      </c>
      <c r="AM123" s="251"/>
      <c r="AN123" s="326" t="s">
        <v>166</v>
      </c>
      <c r="AO123" s="322">
        <f t="shared" si="119"/>
        <v>0</v>
      </c>
      <c r="AP123" s="251"/>
      <c r="AQ123" s="326" t="s">
        <v>161</v>
      </c>
      <c r="AR123" s="322">
        <f t="shared" si="119"/>
        <v>0</v>
      </c>
      <c r="AS123" s="251"/>
      <c r="AT123" s="326" t="s">
        <v>161</v>
      </c>
      <c r="AU123" s="322">
        <f t="shared" si="119"/>
        <v>0</v>
      </c>
      <c r="AV123" s="251"/>
      <c r="AW123" s="326" t="s">
        <v>161</v>
      </c>
      <c r="AX123" s="322">
        <f t="shared" si="119"/>
        <v>0</v>
      </c>
      <c r="AY123" s="251"/>
      <c r="AZ123" s="534" t="s">
        <v>174</v>
      </c>
      <c r="BA123" s="322">
        <f t="shared" si="119"/>
        <v>0</v>
      </c>
      <c r="BB123" s="251"/>
      <c r="BC123" s="326" t="s">
        <v>161</v>
      </c>
      <c r="BD123" s="322">
        <f t="shared" si="119"/>
        <v>0</v>
      </c>
      <c r="BE123" s="251"/>
      <c r="BF123" s="326"/>
      <c r="BG123" s="322">
        <f t="shared" si="119"/>
        <v>0</v>
      </c>
      <c r="BH123" s="251"/>
      <c r="BI123" s="326"/>
      <c r="BJ123" s="322">
        <f t="shared" si="119"/>
        <v>0</v>
      </c>
      <c r="BK123" s="251"/>
      <c r="BL123" s="326"/>
      <c r="BM123" s="322">
        <f t="shared" si="119"/>
        <v>0</v>
      </c>
      <c r="BN123" s="251"/>
      <c r="BO123" s="326"/>
      <c r="BP123" s="322">
        <f t="shared" si="119"/>
        <v>0</v>
      </c>
      <c r="BQ123" s="251"/>
      <c r="BR123" s="326"/>
      <c r="BS123" s="322">
        <f t="shared" si="119"/>
        <v>0</v>
      </c>
      <c r="BT123" s="251"/>
      <c r="BU123" s="326"/>
      <c r="BV123" s="322">
        <f t="shared" si="119"/>
        <v>0</v>
      </c>
      <c r="BW123" s="251"/>
      <c r="BX123" s="326"/>
      <c r="BY123" s="322">
        <f t="shared" si="119"/>
        <v>0</v>
      </c>
      <c r="BZ123" s="251"/>
      <c r="CA123" s="326"/>
      <c r="CB123" s="322">
        <f t="shared" si="118"/>
        <v>0</v>
      </c>
      <c r="CC123" s="251"/>
      <c r="CD123" s="326"/>
      <c r="CE123" s="322">
        <f t="shared" si="118"/>
        <v>0</v>
      </c>
      <c r="CF123" s="251"/>
      <c r="CG123" s="251"/>
      <c r="CH123" s="251"/>
    </row>
    <row r="124" spans="1:86" ht="15" customHeight="1">
      <c r="A124" s="219"/>
      <c r="B124" s="219"/>
      <c r="C124" s="219"/>
      <c r="D124" s="219"/>
      <c r="E124" s="219"/>
      <c r="F124" s="562"/>
      <c r="G124" s="328" t="str">
        <f>CONCATENATE(League!D120,"-",League!K120)</f>
        <v>Qarabağ-Eintracht Frankfurt</v>
      </c>
      <c r="H124" s="320" t="str">
        <f>CONCATENATE(IF(League!G120&gt;League!H120,1,IF(League!G120&lt;League!H120,2,IF(AND(League!G120=League!H120,League!G120&lt;&gt;"",League!H120&lt;&gt;""),"X",0))),"|",League!G120,"-",League!H120)</f>
        <v>1|3-2</v>
      </c>
      <c r="I124" s="219"/>
      <c r="J124" s="452" t="s">
        <v>162</v>
      </c>
      <c r="K124" s="322">
        <f t="shared" si="116"/>
        <v>0</v>
      </c>
      <c r="L124" s="251"/>
      <c r="M124" s="326" t="s">
        <v>174</v>
      </c>
      <c r="N124" s="322">
        <f t="shared" si="119"/>
        <v>0</v>
      </c>
      <c r="O124" s="251"/>
      <c r="P124" s="326" t="s">
        <v>161</v>
      </c>
      <c r="Q124" s="322">
        <f t="shared" si="119"/>
        <v>0</v>
      </c>
      <c r="R124" s="251"/>
      <c r="S124" s="326" t="s">
        <v>164</v>
      </c>
      <c r="T124" s="322">
        <f t="shared" si="119"/>
        <v>2</v>
      </c>
      <c r="U124" s="251"/>
      <c r="V124" s="326" t="s">
        <v>177</v>
      </c>
      <c r="W124" s="322">
        <f t="shared" si="119"/>
        <v>0</v>
      </c>
      <c r="X124" s="251"/>
      <c r="Y124" s="326" t="s">
        <v>174</v>
      </c>
      <c r="Z124" s="322">
        <f t="shared" si="119"/>
        <v>0</v>
      </c>
      <c r="AA124" s="251"/>
      <c r="AB124" s="326" t="s">
        <v>159</v>
      </c>
      <c r="AC124" s="322">
        <f t="shared" si="119"/>
        <v>0</v>
      </c>
      <c r="AD124" s="251"/>
      <c r="AE124" s="326" t="s">
        <v>166</v>
      </c>
      <c r="AF124" s="322">
        <f t="shared" si="119"/>
        <v>2</v>
      </c>
      <c r="AG124" s="251"/>
      <c r="AH124" s="326" t="s">
        <v>162</v>
      </c>
      <c r="AI124" s="322">
        <f t="shared" si="119"/>
        <v>0</v>
      </c>
      <c r="AJ124" s="251"/>
      <c r="AK124" s="326" t="s">
        <v>159</v>
      </c>
      <c r="AL124" s="322">
        <f t="shared" si="119"/>
        <v>0</v>
      </c>
      <c r="AM124" s="251"/>
      <c r="AN124" s="326" t="s">
        <v>162</v>
      </c>
      <c r="AO124" s="322">
        <f t="shared" si="119"/>
        <v>0</v>
      </c>
      <c r="AP124" s="251"/>
      <c r="AQ124" s="326" t="s">
        <v>162</v>
      </c>
      <c r="AR124" s="322">
        <f t="shared" si="119"/>
        <v>0</v>
      </c>
      <c r="AS124" s="251"/>
      <c r="AT124" s="326" t="s">
        <v>174</v>
      </c>
      <c r="AU124" s="322">
        <f t="shared" si="119"/>
        <v>0</v>
      </c>
      <c r="AV124" s="251"/>
      <c r="AW124" s="326" t="s">
        <v>161</v>
      </c>
      <c r="AX124" s="322">
        <f t="shared" si="119"/>
        <v>0</v>
      </c>
      <c r="AY124" s="251"/>
      <c r="AZ124" s="534" t="s">
        <v>158</v>
      </c>
      <c r="BA124" s="322">
        <f t="shared" si="119"/>
        <v>0</v>
      </c>
      <c r="BB124" s="251"/>
      <c r="BC124" s="326" t="s">
        <v>174</v>
      </c>
      <c r="BD124" s="322">
        <f t="shared" si="119"/>
        <v>0</v>
      </c>
      <c r="BE124" s="251"/>
      <c r="BF124" s="326"/>
      <c r="BG124" s="322">
        <f t="shared" si="119"/>
        <v>0</v>
      </c>
      <c r="BH124" s="251"/>
      <c r="BI124" s="326"/>
      <c r="BJ124" s="322">
        <f t="shared" si="119"/>
        <v>0</v>
      </c>
      <c r="BK124" s="251"/>
      <c r="BL124" s="326"/>
      <c r="BM124" s="322">
        <f t="shared" si="119"/>
        <v>0</v>
      </c>
      <c r="BN124" s="251"/>
      <c r="BO124" s="326"/>
      <c r="BP124" s="322">
        <f t="shared" si="119"/>
        <v>0</v>
      </c>
      <c r="BQ124" s="251"/>
      <c r="BR124" s="326"/>
      <c r="BS124" s="322">
        <f t="shared" si="119"/>
        <v>0</v>
      </c>
      <c r="BT124" s="251"/>
      <c r="BU124" s="326"/>
      <c r="BV124" s="322">
        <f t="shared" si="119"/>
        <v>0</v>
      </c>
      <c r="BW124" s="251"/>
      <c r="BX124" s="326"/>
      <c r="BY124" s="322">
        <f t="shared" si="119"/>
        <v>0</v>
      </c>
      <c r="BZ124" s="251"/>
      <c r="CA124" s="326"/>
      <c r="CB124" s="322">
        <f t="shared" si="118"/>
        <v>0</v>
      </c>
      <c r="CC124" s="251"/>
      <c r="CD124" s="326"/>
      <c r="CE124" s="322">
        <f t="shared" si="118"/>
        <v>0</v>
      </c>
      <c r="CF124" s="251"/>
      <c r="CG124" s="251"/>
      <c r="CH124" s="251"/>
    </row>
    <row r="125" spans="1:86" ht="15" customHeight="1">
      <c r="A125" s="219"/>
      <c r="B125" s="219"/>
      <c r="C125" s="219"/>
      <c r="D125" s="219"/>
      <c r="E125" s="219"/>
      <c r="F125" s="562"/>
      <c r="G125" s="319" t="str">
        <f>CONCATENATE(League!D121,"-",League!K121)</f>
        <v>Atalanta-Athletic Bilbao</v>
      </c>
      <c r="H125" s="320" t="str">
        <f>CONCATENATE(IF(League!G121&gt;League!H121,1,IF(League!G121&lt;League!H121,2,IF(AND(League!G121=League!H121,League!G121&lt;&gt;"",League!H121&lt;&gt;""),"X",0))),"|",League!G121,"-",League!H121)</f>
        <v>2|2-3</v>
      </c>
      <c r="I125" s="219"/>
      <c r="J125" s="452" t="s">
        <v>168</v>
      </c>
      <c r="K125" s="322">
        <f t="shared" si="116"/>
        <v>0</v>
      </c>
      <c r="L125" s="251"/>
      <c r="M125" s="326" t="s">
        <v>158</v>
      </c>
      <c r="N125" s="322">
        <f t="shared" si="119"/>
        <v>0</v>
      </c>
      <c r="O125" s="251"/>
      <c r="P125" s="326" t="s">
        <v>161</v>
      </c>
      <c r="Q125" s="322">
        <f t="shared" si="119"/>
        <v>2</v>
      </c>
      <c r="R125" s="251"/>
      <c r="S125" s="326" t="s">
        <v>176</v>
      </c>
      <c r="T125" s="322">
        <f t="shared" si="119"/>
        <v>0</v>
      </c>
      <c r="U125" s="251"/>
      <c r="V125" s="326" t="s">
        <v>164</v>
      </c>
      <c r="W125" s="322">
        <f t="shared" si="119"/>
        <v>0</v>
      </c>
      <c r="X125" s="251"/>
      <c r="Y125" s="326" t="s">
        <v>164</v>
      </c>
      <c r="Z125" s="322">
        <f t="shared" si="119"/>
        <v>0</v>
      </c>
      <c r="AA125" s="251"/>
      <c r="AB125" s="326" t="s">
        <v>166</v>
      </c>
      <c r="AC125" s="322">
        <f t="shared" si="119"/>
        <v>0</v>
      </c>
      <c r="AD125" s="251"/>
      <c r="AE125" s="326" t="s">
        <v>174</v>
      </c>
      <c r="AF125" s="322">
        <f t="shared" si="119"/>
        <v>2</v>
      </c>
      <c r="AG125" s="251"/>
      <c r="AH125" s="326" t="s">
        <v>166</v>
      </c>
      <c r="AI125" s="322">
        <f t="shared" si="119"/>
        <v>0</v>
      </c>
      <c r="AJ125" s="251"/>
      <c r="AK125" s="326" t="s">
        <v>165</v>
      </c>
      <c r="AL125" s="322">
        <f t="shared" si="119"/>
        <v>0</v>
      </c>
      <c r="AM125" s="251"/>
      <c r="AN125" s="326" t="s">
        <v>166</v>
      </c>
      <c r="AO125" s="322">
        <f t="shared" si="119"/>
        <v>0</v>
      </c>
      <c r="AP125" s="251"/>
      <c r="AQ125" s="326" t="s">
        <v>167</v>
      </c>
      <c r="AR125" s="322">
        <f t="shared" si="119"/>
        <v>0</v>
      </c>
      <c r="AS125" s="251"/>
      <c r="AT125" s="326" t="s">
        <v>167</v>
      </c>
      <c r="AU125" s="322">
        <f t="shared" si="119"/>
        <v>0</v>
      </c>
      <c r="AV125" s="251"/>
      <c r="AW125" s="326" t="s">
        <v>166</v>
      </c>
      <c r="AX125" s="322">
        <f t="shared" si="119"/>
        <v>0</v>
      </c>
      <c r="AY125" s="251"/>
      <c r="AZ125" s="534" t="s">
        <v>161</v>
      </c>
      <c r="BA125" s="322">
        <f t="shared" ref="BA125:CE136" si="120">IFERROR(SUM(IF($H125=AZ125,$D$10),IF(LEFT($H125,1)=LEFT(AZ125,1),$D$8),IF(MID($H125,FIND("|",$H125)+1,FIND("-",$H125)-FIND("|",$H125)-1)-MID($H125,FIND("-",$H125)+1,11)=MID(AZ125,FIND("|",AZ125)+1,FIND("-",AZ125)-FIND("|",AZ125)-1)-MID(AZ125,FIND("-",AZ125)+1,11),$D$9)),)</f>
        <v>2</v>
      </c>
      <c r="BB125" s="251"/>
      <c r="BC125" s="326" t="s">
        <v>161</v>
      </c>
      <c r="BD125" s="322">
        <f t="shared" si="120"/>
        <v>2</v>
      </c>
      <c r="BE125" s="251"/>
      <c r="BF125" s="326"/>
      <c r="BG125" s="322">
        <f t="shared" si="120"/>
        <v>0</v>
      </c>
      <c r="BH125" s="251"/>
      <c r="BI125" s="326"/>
      <c r="BJ125" s="322">
        <f t="shared" si="120"/>
        <v>0</v>
      </c>
      <c r="BK125" s="251"/>
      <c r="BL125" s="326"/>
      <c r="BM125" s="322">
        <f t="shared" si="120"/>
        <v>0</v>
      </c>
      <c r="BN125" s="251"/>
      <c r="BO125" s="326"/>
      <c r="BP125" s="322">
        <f t="shared" si="120"/>
        <v>0</v>
      </c>
      <c r="BQ125" s="251"/>
      <c r="BR125" s="326"/>
      <c r="BS125" s="322">
        <f t="shared" si="120"/>
        <v>0</v>
      </c>
      <c r="BT125" s="251"/>
      <c r="BU125" s="326"/>
      <c r="BV125" s="322">
        <f t="shared" si="120"/>
        <v>0</v>
      </c>
      <c r="BW125" s="251"/>
      <c r="BX125" s="326"/>
      <c r="BY125" s="322">
        <f t="shared" si="120"/>
        <v>0</v>
      </c>
      <c r="BZ125" s="251"/>
      <c r="CA125" s="326"/>
      <c r="CB125" s="322">
        <f t="shared" si="120"/>
        <v>0</v>
      </c>
      <c r="CC125" s="251"/>
      <c r="CD125" s="326"/>
      <c r="CE125" s="322">
        <f t="shared" si="120"/>
        <v>0</v>
      </c>
      <c r="CF125" s="251"/>
      <c r="CG125" s="251"/>
      <c r="CH125" s="251"/>
    </row>
    <row r="126" spans="1:86" ht="15" customHeight="1">
      <c r="A126" s="219"/>
      <c r="B126" s="219"/>
      <c r="C126" s="219"/>
      <c r="D126" s="219"/>
      <c r="E126" s="219"/>
      <c r="F126" s="562"/>
      <c r="G126" s="328" t="str">
        <f>CONCATENATE(League!D122,"-",League!K122)</f>
        <v>Chelsea-Pafos</v>
      </c>
      <c r="H126" s="320" t="str">
        <f>CONCATENATE(IF(League!G122&gt;League!H122,1,IF(League!G122&lt;League!H122,2,IF(AND(League!G122=League!H122,League!G122&lt;&gt;"",League!H122&lt;&gt;""),"X",0))),"|",League!G122,"-",League!H122)</f>
        <v>1|1-0</v>
      </c>
      <c r="I126" s="219"/>
      <c r="J126" s="452" t="s">
        <v>184</v>
      </c>
      <c r="K126" s="322">
        <f t="shared" si="116"/>
        <v>2</v>
      </c>
      <c r="L126" s="251"/>
      <c r="M126" s="326" t="s">
        <v>165</v>
      </c>
      <c r="N126" s="322">
        <f t="shared" ref="N126:BY137" si="121">IFERROR(SUM(IF($H126=M126,$D$10),IF(LEFT($H126,1)=LEFT(M126,1),$D$8),IF(MID($H126,FIND("|",$H126)+1,FIND("-",$H126)-FIND("|",$H126)-1)-MID($H126,FIND("-",$H126)+1,11)=MID(M126,FIND("|",M126)+1,FIND("-",M126)-FIND("|",M126)-1)-MID(M126,FIND("-",M126)+1,11),$D$9)),)</f>
        <v>2</v>
      </c>
      <c r="O126" s="251"/>
      <c r="P126" s="326" t="s">
        <v>163</v>
      </c>
      <c r="Q126" s="322">
        <f t="shared" si="121"/>
        <v>2</v>
      </c>
      <c r="R126" s="251"/>
      <c r="S126" s="326" t="s">
        <v>191</v>
      </c>
      <c r="T126" s="322">
        <f t="shared" si="121"/>
        <v>2</v>
      </c>
      <c r="U126" s="251"/>
      <c r="V126" s="326" t="s">
        <v>165</v>
      </c>
      <c r="W126" s="322">
        <f t="shared" si="121"/>
        <v>2</v>
      </c>
      <c r="X126" s="251"/>
      <c r="Y126" s="326" t="s">
        <v>163</v>
      </c>
      <c r="Z126" s="322">
        <f t="shared" si="121"/>
        <v>2</v>
      </c>
      <c r="AA126" s="251"/>
      <c r="AB126" s="326" t="s">
        <v>184</v>
      </c>
      <c r="AC126" s="322">
        <f t="shared" si="121"/>
        <v>2</v>
      </c>
      <c r="AD126" s="251"/>
      <c r="AE126" s="326" t="s">
        <v>170</v>
      </c>
      <c r="AF126" s="322">
        <f t="shared" si="121"/>
        <v>2</v>
      </c>
      <c r="AG126" s="251"/>
      <c r="AH126" s="326" t="s">
        <v>167</v>
      </c>
      <c r="AI126" s="322">
        <f t="shared" si="121"/>
        <v>2</v>
      </c>
      <c r="AJ126" s="251"/>
      <c r="AK126" s="326" t="s">
        <v>165</v>
      </c>
      <c r="AL126" s="322">
        <f t="shared" si="121"/>
        <v>2</v>
      </c>
      <c r="AM126" s="251"/>
      <c r="AN126" s="326" t="s">
        <v>165</v>
      </c>
      <c r="AO126" s="322">
        <f t="shared" si="121"/>
        <v>2</v>
      </c>
      <c r="AP126" s="251"/>
      <c r="AQ126" s="326" t="s">
        <v>165</v>
      </c>
      <c r="AR126" s="322">
        <f t="shared" si="121"/>
        <v>2</v>
      </c>
      <c r="AS126" s="251"/>
      <c r="AT126" s="326" t="s">
        <v>165</v>
      </c>
      <c r="AU126" s="322">
        <f t="shared" si="121"/>
        <v>2</v>
      </c>
      <c r="AV126" s="251"/>
      <c r="AW126" s="326" t="s">
        <v>165</v>
      </c>
      <c r="AX126" s="322">
        <f t="shared" si="121"/>
        <v>2</v>
      </c>
      <c r="AY126" s="251"/>
      <c r="AZ126" s="534" t="s">
        <v>165</v>
      </c>
      <c r="BA126" s="322">
        <f t="shared" si="121"/>
        <v>2</v>
      </c>
      <c r="BB126" s="251"/>
      <c r="BC126" s="326" t="s">
        <v>163</v>
      </c>
      <c r="BD126" s="322">
        <f t="shared" si="121"/>
        <v>2</v>
      </c>
      <c r="BE126" s="251"/>
      <c r="BF126" s="326"/>
      <c r="BG126" s="322">
        <f t="shared" si="121"/>
        <v>0</v>
      </c>
      <c r="BH126" s="251"/>
      <c r="BI126" s="326"/>
      <c r="BJ126" s="322">
        <f t="shared" si="121"/>
        <v>0</v>
      </c>
      <c r="BK126" s="251"/>
      <c r="BL126" s="326"/>
      <c r="BM126" s="322">
        <f t="shared" si="121"/>
        <v>0</v>
      </c>
      <c r="BN126" s="251"/>
      <c r="BO126" s="326"/>
      <c r="BP126" s="322">
        <f t="shared" si="121"/>
        <v>0</v>
      </c>
      <c r="BQ126" s="251"/>
      <c r="BR126" s="326"/>
      <c r="BS126" s="322">
        <f t="shared" si="121"/>
        <v>0</v>
      </c>
      <c r="BT126" s="251"/>
      <c r="BU126" s="326"/>
      <c r="BV126" s="322">
        <f t="shared" si="121"/>
        <v>0</v>
      </c>
      <c r="BW126" s="251"/>
      <c r="BX126" s="326"/>
      <c r="BY126" s="322">
        <f t="shared" si="121"/>
        <v>0</v>
      </c>
      <c r="BZ126" s="251"/>
      <c r="CA126" s="326"/>
      <c r="CB126" s="322">
        <f t="shared" si="120"/>
        <v>0</v>
      </c>
      <c r="CC126" s="251"/>
      <c r="CD126" s="326"/>
      <c r="CE126" s="322">
        <f t="shared" si="120"/>
        <v>0</v>
      </c>
      <c r="CF126" s="251"/>
      <c r="CG126" s="251"/>
      <c r="CH126" s="251"/>
    </row>
    <row r="127" spans="1:86" ht="15" customHeight="1">
      <c r="A127" s="219"/>
      <c r="B127" s="219"/>
      <c r="C127" s="219"/>
      <c r="D127" s="219"/>
      <c r="E127" s="219"/>
      <c r="F127" s="562"/>
      <c r="G127" s="319" t="str">
        <f>CONCATENATE(League!D123,"-",League!K123)</f>
        <v>Bayern München-Union Saint-Gilloise</v>
      </c>
      <c r="H127" s="320" t="str">
        <f>CONCATENATE(IF(League!G123&gt;League!H123,1,IF(League!G123&lt;League!H123,2,IF(AND(League!G123=League!H123,League!G123&lt;&gt;"",League!H123&lt;&gt;""),"X",0))),"|",League!G123,"-",League!H123)</f>
        <v>1|2-0</v>
      </c>
      <c r="I127" s="219"/>
      <c r="J127" s="452" t="s">
        <v>191</v>
      </c>
      <c r="K127" s="322">
        <f t="shared" si="116"/>
        <v>2</v>
      </c>
      <c r="L127" s="251"/>
      <c r="M127" s="326" t="s">
        <v>165</v>
      </c>
      <c r="N127" s="322">
        <f t="shared" si="121"/>
        <v>2</v>
      </c>
      <c r="O127" s="251"/>
      <c r="P127" s="326" t="s">
        <v>172</v>
      </c>
      <c r="Q127" s="322">
        <f t="shared" si="121"/>
        <v>2</v>
      </c>
      <c r="R127" s="251"/>
      <c r="S127" s="326" t="s">
        <v>192</v>
      </c>
      <c r="T127" s="322">
        <f t="shared" si="121"/>
        <v>2</v>
      </c>
      <c r="U127" s="251"/>
      <c r="V127" s="326" t="s">
        <v>172</v>
      </c>
      <c r="W127" s="322">
        <f t="shared" si="121"/>
        <v>2</v>
      </c>
      <c r="X127" s="251"/>
      <c r="Y127" s="326" t="s">
        <v>170</v>
      </c>
      <c r="Z127" s="322">
        <f t="shared" si="121"/>
        <v>2</v>
      </c>
      <c r="AA127" s="251"/>
      <c r="AB127" s="326" t="s">
        <v>163</v>
      </c>
      <c r="AC127" s="322">
        <f t="shared" si="121"/>
        <v>2</v>
      </c>
      <c r="AD127" s="251"/>
      <c r="AE127" s="326" t="s">
        <v>167</v>
      </c>
      <c r="AF127" s="322">
        <f t="shared" si="121"/>
        <v>5</v>
      </c>
      <c r="AG127" s="251"/>
      <c r="AH127" s="326" t="s">
        <v>165</v>
      </c>
      <c r="AI127" s="322">
        <f t="shared" si="121"/>
        <v>2</v>
      </c>
      <c r="AJ127" s="251"/>
      <c r="AK127" s="326" t="s">
        <v>163</v>
      </c>
      <c r="AL127" s="322">
        <f t="shared" si="121"/>
        <v>2</v>
      </c>
      <c r="AM127" s="251"/>
      <c r="AN127" s="326" t="s">
        <v>163</v>
      </c>
      <c r="AO127" s="322">
        <f t="shared" si="121"/>
        <v>2</v>
      </c>
      <c r="AP127" s="251"/>
      <c r="AQ127" s="326" t="s">
        <v>170</v>
      </c>
      <c r="AR127" s="322">
        <f t="shared" si="121"/>
        <v>2</v>
      </c>
      <c r="AS127" s="251"/>
      <c r="AT127" s="326" t="s">
        <v>166</v>
      </c>
      <c r="AU127" s="322">
        <f t="shared" si="121"/>
        <v>2</v>
      </c>
      <c r="AV127" s="251"/>
      <c r="AW127" s="326" t="s">
        <v>166</v>
      </c>
      <c r="AX127" s="322">
        <f t="shared" si="121"/>
        <v>2</v>
      </c>
      <c r="AY127" s="251"/>
      <c r="AZ127" s="534" t="s">
        <v>184</v>
      </c>
      <c r="BA127" s="322">
        <f t="shared" si="121"/>
        <v>2</v>
      </c>
      <c r="BB127" s="251"/>
      <c r="BC127" s="326" t="s">
        <v>163</v>
      </c>
      <c r="BD127" s="322">
        <f t="shared" si="121"/>
        <v>2</v>
      </c>
      <c r="BE127" s="251"/>
      <c r="BF127" s="326"/>
      <c r="BG127" s="322">
        <f t="shared" si="121"/>
        <v>0</v>
      </c>
      <c r="BH127" s="251"/>
      <c r="BI127" s="326"/>
      <c r="BJ127" s="322">
        <f t="shared" si="121"/>
        <v>0</v>
      </c>
      <c r="BK127" s="251"/>
      <c r="BL127" s="326"/>
      <c r="BM127" s="322">
        <f t="shared" si="121"/>
        <v>0</v>
      </c>
      <c r="BN127" s="251"/>
      <c r="BO127" s="326"/>
      <c r="BP127" s="322">
        <f t="shared" si="121"/>
        <v>0</v>
      </c>
      <c r="BQ127" s="251"/>
      <c r="BR127" s="326"/>
      <c r="BS127" s="322">
        <f t="shared" si="121"/>
        <v>0</v>
      </c>
      <c r="BT127" s="251"/>
      <c r="BU127" s="326"/>
      <c r="BV127" s="322">
        <f t="shared" si="121"/>
        <v>0</v>
      </c>
      <c r="BW127" s="251"/>
      <c r="BX127" s="326"/>
      <c r="BY127" s="322">
        <f t="shared" si="121"/>
        <v>0</v>
      </c>
      <c r="BZ127" s="251"/>
      <c r="CA127" s="326"/>
      <c r="CB127" s="322">
        <f t="shared" si="120"/>
        <v>0</v>
      </c>
      <c r="CC127" s="251"/>
      <c r="CD127" s="326"/>
      <c r="CE127" s="322">
        <f t="shared" si="120"/>
        <v>0</v>
      </c>
      <c r="CF127" s="251"/>
      <c r="CG127" s="251"/>
      <c r="CH127" s="251"/>
    </row>
    <row r="128" spans="1:86" ht="15" customHeight="1">
      <c r="A128" s="219"/>
      <c r="B128" s="219"/>
      <c r="C128" s="219"/>
      <c r="D128" s="219"/>
      <c r="E128" s="219"/>
      <c r="F128" s="562"/>
      <c r="G128" s="328" t="str">
        <f>CONCATENATE(League!D124,"-",League!K124)</f>
        <v>Juventus-Benfica</v>
      </c>
      <c r="H128" s="320" t="str">
        <f>CONCATENATE(IF(League!G124&gt;League!H124,1,IF(League!G124&lt;League!H124,2,IF(AND(League!G124=League!H124,League!G124&lt;&gt;"",League!H124&lt;&gt;""),"X",0))),"|",League!G124,"-",League!H124)</f>
        <v>1|2-0</v>
      </c>
      <c r="I128" s="219"/>
      <c r="J128" s="452" t="s">
        <v>158</v>
      </c>
      <c r="K128" s="322">
        <f t="shared" si="116"/>
        <v>0</v>
      </c>
      <c r="L128" s="251"/>
      <c r="M128" s="326" t="s">
        <v>160</v>
      </c>
      <c r="N128" s="322">
        <f t="shared" si="121"/>
        <v>0</v>
      </c>
      <c r="O128" s="251"/>
      <c r="P128" s="326" t="s">
        <v>165</v>
      </c>
      <c r="Q128" s="322">
        <f t="shared" si="121"/>
        <v>2</v>
      </c>
      <c r="R128" s="251"/>
      <c r="S128" s="326" t="s">
        <v>166</v>
      </c>
      <c r="T128" s="322">
        <f t="shared" si="121"/>
        <v>2</v>
      </c>
      <c r="U128" s="251"/>
      <c r="V128" s="326" t="s">
        <v>169</v>
      </c>
      <c r="W128" s="322">
        <f t="shared" si="121"/>
        <v>2</v>
      </c>
      <c r="X128" s="251"/>
      <c r="Y128" s="326" t="s">
        <v>160</v>
      </c>
      <c r="Z128" s="322">
        <f t="shared" si="121"/>
        <v>0</v>
      </c>
      <c r="AA128" s="251"/>
      <c r="AB128" s="326" t="s">
        <v>169</v>
      </c>
      <c r="AC128" s="322">
        <f t="shared" si="121"/>
        <v>2</v>
      </c>
      <c r="AD128" s="251"/>
      <c r="AE128" s="326" t="s">
        <v>166</v>
      </c>
      <c r="AF128" s="322">
        <f t="shared" si="121"/>
        <v>2</v>
      </c>
      <c r="AG128" s="251"/>
      <c r="AH128" s="326" t="s">
        <v>158</v>
      </c>
      <c r="AI128" s="322">
        <f t="shared" si="121"/>
        <v>0</v>
      </c>
      <c r="AJ128" s="251"/>
      <c r="AK128" s="326" t="s">
        <v>166</v>
      </c>
      <c r="AL128" s="322">
        <f t="shared" si="121"/>
        <v>2</v>
      </c>
      <c r="AM128" s="251"/>
      <c r="AN128" s="326" t="s">
        <v>161</v>
      </c>
      <c r="AO128" s="322">
        <f t="shared" si="121"/>
        <v>0</v>
      </c>
      <c r="AP128" s="251"/>
      <c r="AQ128" s="326" t="s">
        <v>166</v>
      </c>
      <c r="AR128" s="322">
        <f t="shared" si="121"/>
        <v>2</v>
      </c>
      <c r="AS128" s="251"/>
      <c r="AT128" s="326" t="s">
        <v>161</v>
      </c>
      <c r="AU128" s="322">
        <f t="shared" si="121"/>
        <v>0</v>
      </c>
      <c r="AV128" s="251"/>
      <c r="AW128" s="326" t="s">
        <v>166</v>
      </c>
      <c r="AX128" s="322">
        <f t="shared" si="121"/>
        <v>2</v>
      </c>
      <c r="AY128" s="251"/>
      <c r="AZ128" s="534" t="s">
        <v>166</v>
      </c>
      <c r="BA128" s="322">
        <f t="shared" si="121"/>
        <v>2</v>
      </c>
      <c r="BB128" s="251"/>
      <c r="BC128" s="326" t="s">
        <v>166</v>
      </c>
      <c r="BD128" s="322">
        <f t="shared" si="121"/>
        <v>2</v>
      </c>
      <c r="BE128" s="251"/>
      <c r="BF128" s="326"/>
      <c r="BG128" s="322">
        <f t="shared" si="121"/>
        <v>0</v>
      </c>
      <c r="BH128" s="251"/>
      <c r="BI128" s="326"/>
      <c r="BJ128" s="322">
        <f t="shared" si="121"/>
        <v>0</v>
      </c>
      <c r="BK128" s="251"/>
      <c r="BL128" s="326"/>
      <c r="BM128" s="322">
        <f t="shared" si="121"/>
        <v>0</v>
      </c>
      <c r="BN128" s="251"/>
      <c r="BO128" s="326"/>
      <c r="BP128" s="322">
        <f t="shared" si="121"/>
        <v>0</v>
      </c>
      <c r="BQ128" s="251"/>
      <c r="BR128" s="326"/>
      <c r="BS128" s="322">
        <f t="shared" si="121"/>
        <v>0</v>
      </c>
      <c r="BT128" s="251"/>
      <c r="BU128" s="326"/>
      <c r="BV128" s="322">
        <f t="shared" si="121"/>
        <v>0</v>
      </c>
      <c r="BW128" s="251"/>
      <c r="BX128" s="326"/>
      <c r="BY128" s="322">
        <f t="shared" si="121"/>
        <v>0</v>
      </c>
      <c r="BZ128" s="251"/>
      <c r="CA128" s="326"/>
      <c r="CB128" s="322">
        <f t="shared" si="120"/>
        <v>0</v>
      </c>
      <c r="CC128" s="251"/>
      <c r="CD128" s="326"/>
      <c r="CE128" s="322">
        <f t="shared" si="120"/>
        <v>0</v>
      </c>
      <c r="CF128" s="251"/>
      <c r="CG128" s="251"/>
      <c r="CH128" s="251"/>
    </row>
    <row r="129" spans="1:86" ht="15" customHeight="1">
      <c r="A129" s="219"/>
      <c r="B129" s="219"/>
      <c r="C129" s="219"/>
      <c r="D129" s="219"/>
      <c r="E129" s="219"/>
      <c r="F129" s="562"/>
      <c r="G129" s="319" t="str">
        <f>CONCATENATE(League!D125,"-",League!K125)</f>
        <v>Newcastle-PSV Eindhoven</v>
      </c>
      <c r="H129" s="320" t="str">
        <f>CONCATENATE(IF(League!G125&gt;League!H125,1,IF(League!G125&lt;League!H125,2,IF(AND(League!G125=League!H125,League!G125&lt;&gt;"",League!H125&lt;&gt;""),"X",0))),"|",League!G125,"-",League!H125)</f>
        <v>1|3-0</v>
      </c>
      <c r="I129" s="219"/>
      <c r="J129" s="452" t="s">
        <v>164</v>
      </c>
      <c r="K129" s="322">
        <f t="shared" si="116"/>
        <v>2</v>
      </c>
      <c r="L129" s="251"/>
      <c r="M129" s="326" t="s">
        <v>176</v>
      </c>
      <c r="N129" s="322">
        <f t="shared" si="121"/>
        <v>0</v>
      </c>
      <c r="O129" s="251"/>
      <c r="P129" s="326" t="s">
        <v>164</v>
      </c>
      <c r="Q129" s="322">
        <f t="shared" si="121"/>
        <v>2</v>
      </c>
      <c r="R129" s="251"/>
      <c r="S129" s="326" t="s">
        <v>160</v>
      </c>
      <c r="T129" s="322">
        <f t="shared" si="121"/>
        <v>0</v>
      </c>
      <c r="U129" s="251"/>
      <c r="V129" s="326" t="s">
        <v>166</v>
      </c>
      <c r="W129" s="322">
        <f t="shared" si="121"/>
        <v>2</v>
      </c>
      <c r="X129" s="251"/>
      <c r="Y129" s="326" t="s">
        <v>166</v>
      </c>
      <c r="Z129" s="322">
        <f t="shared" si="121"/>
        <v>2</v>
      </c>
      <c r="AA129" s="251"/>
      <c r="AB129" s="326" t="s">
        <v>158</v>
      </c>
      <c r="AC129" s="322">
        <f t="shared" si="121"/>
        <v>0</v>
      </c>
      <c r="AD129" s="251"/>
      <c r="AE129" s="326" t="s">
        <v>158</v>
      </c>
      <c r="AF129" s="322">
        <f t="shared" si="121"/>
        <v>0</v>
      </c>
      <c r="AG129" s="251"/>
      <c r="AH129" s="326" t="s">
        <v>166</v>
      </c>
      <c r="AI129" s="322">
        <f t="shared" si="121"/>
        <v>2</v>
      </c>
      <c r="AJ129" s="251"/>
      <c r="AK129" s="326" t="s">
        <v>158</v>
      </c>
      <c r="AL129" s="322">
        <f t="shared" si="121"/>
        <v>0</v>
      </c>
      <c r="AM129" s="251"/>
      <c r="AN129" s="326" t="s">
        <v>166</v>
      </c>
      <c r="AO129" s="322">
        <f t="shared" si="121"/>
        <v>2</v>
      </c>
      <c r="AP129" s="251"/>
      <c r="AQ129" s="326" t="s">
        <v>160</v>
      </c>
      <c r="AR129" s="322">
        <f t="shared" si="121"/>
        <v>0</v>
      </c>
      <c r="AS129" s="251"/>
      <c r="AT129" s="326" t="s">
        <v>160</v>
      </c>
      <c r="AU129" s="322">
        <f t="shared" si="121"/>
        <v>0</v>
      </c>
      <c r="AV129" s="251"/>
      <c r="AW129" s="326" t="s">
        <v>166</v>
      </c>
      <c r="AX129" s="322">
        <f t="shared" si="121"/>
        <v>2</v>
      </c>
      <c r="AY129" s="251"/>
      <c r="AZ129" s="534" t="s">
        <v>158</v>
      </c>
      <c r="BA129" s="322">
        <f t="shared" si="121"/>
        <v>0</v>
      </c>
      <c r="BB129" s="251"/>
      <c r="BC129" s="326" t="s">
        <v>158</v>
      </c>
      <c r="BD129" s="322">
        <f t="shared" si="121"/>
        <v>0</v>
      </c>
      <c r="BE129" s="251"/>
      <c r="BF129" s="326"/>
      <c r="BG129" s="322">
        <f t="shared" si="121"/>
        <v>0</v>
      </c>
      <c r="BH129" s="251"/>
      <c r="BI129" s="326"/>
      <c r="BJ129" s="322">
        <f t="shared" si="121"/>
        <v>0</v>
      </c>
      <c r="BK129" s="251"/>
      <c r="BL129" s="326"/>
      <c r="BM129" s="322">
        <f t="shared" si="121"/>
        <v>0</v>
      </c>
      <c r="BN129" s="251"/>
      <c r="BO129" s="326"/>
      <c r="BP129" s="322">
        <f t="shared" si="121"/>
        <v>0</v>
      </c>
      <c r="BQ129" s="251"/>
      <c r="BR129" s="326"/>
      <c r="BS129" s="322">
        <f t="shared" si="121"/>
        <v>0</v>
      </c>
      <c r="BT129" s="251"/>
      <c r="BU129" s="326"/>
      <c r="BV129" s="322">
        <f t="shared" si="121"/>
        <v>0</v>
      </c>
      <c r="BW129" s="251"/>
      <c r="BX129" s="326"/>
      <c r="BY129" s="322">
        <f t="shared" si="121"/>
        <v>0</v>
      </c>
      <c r="BZ129" s="251"/>
      <c r="CA129" s="326"/>
      <c r="CB129" s="322">
        <f t="shared" si="120"/>
        <v>0</v>
      </c>
      <c r="CC129" s="251"/>
      <c r="CD129" s="326"/>
      <c r="CE129" s="322">
        <f t="shared" si="120"/>
        <v>0</v>
      </c>
      <c r="CF129" s="251"/>
      <c r="CG129" s="251"/>
      <c r="CH129" s="251"/>
    </row>
    <row r="130" spans="1:86" ht="15" customHeight="1">
      <c r="A130" s="219"/>
      <c r="B130" s="219"/>
      <c r="C130" s="219"/>
      <c r="D130" s="219"/>
      <c r="E130" s="219"/>
      <c r="F130" s="562"/>
      <c r="G130" s="328" t="str">
        <f>CONCATENATE(League!D126,"-",League!K126)</f>
        <v>Marseille-Liverpool</v>
      </c>
      <c r="H130" s="320" t="str">
        <f>CONCATENATE(IF(League!G126&gt;League!H126,1,IF(League!G126&lt;League!H126,2,IF(AND(League!G126=League!H126,League!G126&lt;&gt;"",League!H126&lt;&gt;""),"X",0))),"|",League!G126,"-",League!H126)</f>
        <v>2|0-3</v>
      </c>
      <c r="I130" s="219"/>
      <c r="J130" s="452" t="s">
        <v>160</v>
      </c>
      <c r="K130" s="322">
        <f t="shared" si="116"/>
        <v>0</v>
      </c>
      <c r="L130" s="251"/>
      <c r="M130" s="326" t="s">
        <v>161</v>
      </c>
      <c r="N130" s="322">
        <f t="shared" si="121"/>
        <v>2</v>
      </c>
      <c r="O130" s="251"/>
      <c r="P130" s="326" t="s">
        <v>162</v>
      </c>
      <c r="Q130" s="322">
        <f t="shared" si="121"/>
        <v>2</v>
      </c>
      <c r="R130" s="251"/>
      <c r="S130" s="326" t="s">
        <v>173</v>
      </c>
      <c r="T130" s="322">
        <f t="shared" si="121"/>
        <v>2</v>
      </c>
      <c r="U130" s="251"/>
      <c r="V130" s="326" t="s">
        <v>160</v>
      </c>
      <c r="W130" s="322">
        <f t="shared" si="121"/>
        <v>0</v>
      </c>
      <c r="X130" s="251"/>
      <c r="Y130" s="326" t="s">
        <v>161</v>
      </c>
      <c r="Z130" s="322">
        <f t="shared" si="121"/>
        <v>2</v>
      </c>
      <c r="AA130" s="251"/>
      <c r="AB130" s="326" t="s">
        <v>161</v>
      </c>
      <c r="AC130" s="322">
        <f t="shared" si="121"/>
        <v>2</v>
      </c>
      <c r="AD130" s="251"/>
      <c r="AE130" s="326" t="s">
        <v>173</v>
      </c>
      <c r="AF130" s="322">
        <f t="shared" si="121"/>
        <v>2</v>
      </c>
      <c r="AG130" s="251"/>
      <c r="AH130" s="326" t="s">
        <v>160</v>
      </c>
      <c r="AI130" s="322">
        <f t="shared" si="121"/>
        <v>0</v>
      </c>
      <c r="AJ130" s="251"/>
      <c r="AK130" s="326" t="s">
        <v>159</v>
      </c>
      <c r="AL130" s="322">
        <f t="shared" si="121"/>
        <v>5</v>
      </c>
      <c r="AM130" s="251"/>
      <c r="AN130" s="326" t="s">
        <v>161</v>
      </c>
      <c r="AO130" s="322">
        <f t="shared" si="121"/>
        <v>2</v>
      </c>
      <c r="AP130" s="251"/>
      <c r="AQ130" s="326" t="s">
        <v>161</v>
      </c>
      <c r="AR130" s="322">
        <f t="shared" si="121"/>
        <v>2</v>
      </c>
      <c r="AS130" s="251"/>
      <c r="AT130" s="326" t="s">
        <v>157</v>
      </c>
      <c r="AU130" s="322">
        <f t="shared" si="121"/>
        <v>2</v>
      </c>
      <c r="AV130" s="251"/>
      <c r="AW130" s="326" t="s">
        <v>161</v>
      </c>
      <c r="AX130" s="322">
        <f t="shared" si="121"/>
        <v>2</v>
      </c>
      <c r="AY130" s="251"/>
      <c r="AZ130" s="534" t="s">
        <v>161</v>
      </c>
      <c r="BA130" s="322">
        <f t="shared" si="121"/>
        <v>2</v>
      </c>
      <c r="BB130" s="251"/>
      <c r="BC130" s="326" t="s">
        <v>175</v>
      </c>
      <c r="BD130" s="322">
        <f t="shared" si="121"/>
        <v>2</v>
      </c>
      <c r="BE130" s="251"/>
      <c r="BF130" s="326"/>
      <c r="BG130" s="322">
        <f t="shared" si="121"/>
        <v>0</v>
      </c>
      <c r="BH130" s="251"/>
      <c r="BI130" s="326"/>
      <c r="BJ130" s="322">
        <f t="shared" si="121"/>
        <v>0</v>
      </c>
      <c r="BK130" s="251"/>
      <c r="BL130" s="326"/>
      <c r="BM130" s="322">
        <f t="shared" si="121"/>
        <v>0</v>
      </c>
      <c r="BN130" s="251"/>
      <c r="BO130" s="326"/>
      <c r="BP130" s="322">
        <f t="shared" si="121"/>
        <v>0</v>
      </c>
      <c r="BQ130" s="251"/>
      <c r="BR130" s="326"/>
      <c r="BS130" s="322">
        <f t="shared" si="121"/>
        <v>0</v>
      </c>
      <c r="BT130" s="251"/>
      <c r="BU130" s="326"/>
      <c r="BV130" s="322">
        <f t="shared" si="121"/>
        <v>0</v>
      </c>
      <c r="BW130" s="251"/>
      <c r="BX130" s="326"/>
      <c r="BY130" s="322">
        <f t="shared" si="121"/>
        <v>0</v>
      </c>
      <c r="BZ130" s="251"/>
      <c r="CA130" s="326"/>
      <c r="CB130" s="322">
        <f t="shared" si="120"/>
        <v>0</v>
      </c>
      <c r="CC130" s="251"/>
      <c r="CD130" s="326"/>
      <c r="CE130" s="322">
        <f t="shared" si="120"/>
        <v>0</v>
      </c>
      <c r="CF130" s="251"/>
      <c r="CG130" s="251"/>
      <c r="CH130" s="251"/>
    </row>
    <row r="131" spans="1:86" ht="15" customHeight="1">
      <c r="A131" s="219"/>
      <c r="B131" s="219"/>
      <c r="C131" s="219"/>
      <c r="D131" s="219"/>
      <c r="E131" s="219"/>
      <c r="F131" s="562"/>
      <c r="G131" s="334" t="str">
        <f>CONCATENATE(League!D127,"-",League!K127)</f>
        <v>Slavia Praha-Barcelona</v>
      </c>
      <c r="H131" s="335" t="str">
        <f>CONCATENATE(IF(League!G127&gt;League!H127,1,IF(League!G127&lt;League!H127,2,IF(AND(League!G127=League!H127,League!G127&lt;&gt;"",League!H127&lt;&gt;""),"X",0))),"|",League!G127,"-",League!H127)</f>
        <v>2|2-4</v>
      </c>
      <c r="I131" s="219"/>
      <c r="J131" s="455" t="s">
        <v>157</v>
      </c>
      <c r="K131" s="337">
        <f t="shared" si="116"/>
        <v>2</v>
      </c>
      <c r="L131" s="251"/>
      <c r="M131" s="336" t="s">
        <v>157</v>
      </c>
      <c r="N131" s="337">
        <f t="shared" si="121"/>
        <v>2</v>
      </c>
      <c r="O131" s="251"/>
      <c r="P131" s="336" t="s">
        <v>177</v>
      </c>
      <c r="Q131" s="337">
        <f t="shared" si="121"/>
        <v>2</v>
      </c>
      <c r="R131" s="251"/>
      <c r="S131" s="336" t="s">
        <v>159</v>
      </c>
      <c r="T131" s="337">
        <f t="shared" si="121"/>
        <v>2</v>
      </c>
      <c r="U131" s="251"/>
      <c r="V131" s="336" t="s">
        <v>157</v>
      </c>
      <c r="W131" s="337">
        <f t="shared" si="121"/>
        <v>2</v>
      </c>
      <c r="X131" s="251"/>
      <c r="Y131" s="336" t="s">
        <v>179</v>
      </c>
      <c r="Z131" s="337">
        <f t="shared" si="121"/>
        <v>2</v>
      </c>
      <c r="AA131" s="251"/>
      <c r="AB131" s="336" t="s">
        <v>159</v>
      </c>
      <c r="AC131" s="337">
        <f t="shared" si="121"/>
        <v>2</v>
      </c>
      <c r="AD131" s="251"/>
      <c r="AE131" s="336" t="s">
        <v>157</v>
      </c>
      <c r="AF131" s="337">
        <f t="shared" si="121"/>
        <v>2</v>
      </c>
      <c r="AG131" s="251"/>
      <c r="AH131" s="336" t="s">
        <v>159</v>
      </c>
      <c r="AI131" s="337">
        <f t="shared" si="121"/>
        <v>2</v>
      </c>
      <c r="AJ131" s="251"/>
      <c r="AK131" s="336" t="s">
        <v>159</v>
      </c>
      <c r="AL131" s="337">
        <f t="shared" si="121"/>
        <v>2</v>
      </c>
      <c r="AM131" s="251"/>
      <c r="AN131" s="336" t="s">
        <v>157</v>
      </c>
      <c r="AO131" s="337">
        <f t="shared" si="121"/>
        <v>2</v>
      </c>
      <c r="AP131" s="251"/>
      <c r="AQ131" s="336" t="s">
        <v>159</v>
      </c>
      <c r="AR131" s="337">
        <f t="shared" si="121"/>
        <v>2</v>
      </c>
      <c r="AS131" s="251"/>
      <c r="AT131" s="336" t="s">
        <v>162</v>
      </c>
      <c r="AU131" s="337">
        <f t="shared" si="121"/>
        <v>2</v>
      </c>
      <c r="AV131" s="251"/>
      <c r="AW131" s="336" t="s">
        <v>161</v>
      </c>
      <c r="AX131" s="337">
        <f t="shared" si="121"/>
        <v>2</v>
      </c>
      <c r="AY131" s="251"/>
      <c r="AZ131" s="537" t="s">
        <v>162</v>
      </c>
      <c r="BA131" s="337">
        <f t="shared" si="121"/>
        <v>2</v>
      </c>
      <c r="BB131" s="251"/>
      <c r="BC131" s="336" t="s">
        <v>157</v>
      </c>
      <c r="BD131" s="337">
        <f t="shared" si="121"/>
        <v>2</v>
      </c>
      <c r="BE131" s="251"/>
      <c r="BF131" s="336"/>
      <c r="BG131" s="337">
        <f t="shared" si="121"/>
        <v>0</v>
      </c>
      <c r="BH131" s="251"/>
      <c r="BI131" s="336"/>
      <c r="BJ131" s="337">
        <f t="shared" si="121"/>
        <v>0</v>
      </c>
      <c r="BK131" s="251"/>
      <c r="BL131" s="336"/>
      <c r="BM131" s="337">
        <f t="shared" si="121"/>
        <v>0</v>
      </c>
      <c r="BN131" s="251"/>
      <c r="BO131" s="336"/>
      <c r="BP131" s="337">
        <f t="shared" si="121"/>
        <v>0</v>
      </c>
      <c r="BQ131" s="251"/>
      <c r="BR131" s="336"/>
      <c r="BS131" s="337">
        <f t="shared" si="121"/>
        <v>0</v>
      </c>
      <c r="BT131" s="251"/>
      <c r="BU131" s="336"/>
      <c r="BV131" s="337">
        <f t="shared" si="121"/>
        <v>0</v>
      </c>
      <c r="BW131" s="251"/>
      <c r="BX131" s="336"/>
      <c r="BY131" s="337">
        <f t="shared" si="121"/>
        <v>0</v>
      </c>
      <c r="BZ131" s="251"/>
      <c r="CA131" s="336"/>
      <c r="CB131" s="337">
        <f t="shared" si="120"/>
        <v>0</v>
      </c>
      <c r="CC131" s="251"/>
      <c r="CD131" s="336"/>
      <c r="CE131" s="337">
        <f t="shared" si="120"/>
        <v>0</v>
      </c>
      <c r="CF131" s="251"/>
      <c r="CG131" s="251"/>
      <c r="CH131" s="251"/>
    </row>
    <row r="132" spans="1:86" ht="15" customHeight="1">
      <c r="A132" s="219"/>
      <c r="B132" s="219"/>
      <c r="C132" s="219"/>
      <c r="D132" s="219"/>
      <c r="E132" s="219"/>
      <c r="F132" s="561" t="str">
        <f>+Idiomas!D106</f>
        <v>J8</v>
      </c>
      <c r="G132" s="319" t="str">
        <f>CONCATENATE(League!D128,"-",League!K128)</f>
        <v>Ajax-Olympiakos</v>
      </c>
      <c r="H132" s="320" t="str">
        <f>CONCATENATE(IF(League!G128&gt;League!H128,1,IF(League!G128&lt;League!H128,2,IF(AND(League!G128=League!H128,League!G128&lt;&gt;"",League!H128&lt;&gt;""),"X",0))),"|",League!G128,"-",League!H128)</f>
        <v>0|-</v>
      </c>
      <c r="I132" s="219"/>
      <c r="J132" s="458" t="s">
        <v>167</v>
      </c>
      <c r="K132" s="341">
        <f t="shared" si="116"/>
        <v>0</v>
      </c>
      <c r="L132" s="251"/>
      <c r="M132" s="340" t="s">
        <v>164</v>
      </c>
      <c r="N132" s="341">
        <f t="shared" si="121"/>
        <v>0</v>
      </c>
      <c r="O132" s="251"/>
      <c r="P132" s="340" t="s">
        <v>158</v>
      </c>
      <c r="Q132" s="341">
        <f t="shared" si="121"/>
        <v>0</v>
      </c>
      <c r="R132" s="251"/>
      <c r="S132" s="340" t="s">
        <v>166</v>
      </c>
      <c r="T132" s="341">
        <f t="shared" si="121"/>
        <v>0</v>
      </c>
      <c r="U132" s="251"/>
      <c r="V132" s="340" t="s">
        <v>160</v>
      </c>
      <c r="W132" s="341">
        <f t="shared" si="121"/>
        <v>0</v>
      </c>
      <c r="X132" s="251"/>
      <c r="Y132" s="340" t="s">
        <v>164</v>
      </c>
      <c r="Z132" s="341">
        <f t="shared" si="121"/>
        <v>0</v>
      </c>
      <c r="AA132" s="251"/>
      <c r="AB132" s="340" t="s">
        <v>167</v>
      </c>
      <c r="AC132" s="341">
        <f t="shared" si="121"/>
        <v>0</v>
      </c>
      <c r="AD132" s="251"/>
      <c r="AE132" s="340" t="s">
        <v>174</v>
      </c>
      <c r="AF132" s="341">
        <f t="shared" si="121"/>
        <v>0</v>
      </c>
      <c r="AG132" s="251"/>
      <c r="AH132" s="340" t="s">
        <v>167</v>
      </c>
      <c r="AI132" s="341">
        <f t="shared" si="121"/>
        <v>0</v>
      </c>
      <c r="AJ132" s="251"/>
      <c r="AK132" s="340" t="s">
        <v>167</v>
      </c>
      <c r="AL132" s="341">
        <f t="shared" si="121"/>
        <v>0</v>
      </c>
      <c r="AM132" s="251"/>
      <c r="AN132" s="340" t="s">
        <v>170</v>
      </c>
      <c r="AO132" s="341">
        <f t="shared" si="121"/>
        <v>0</v>
      </c>
      <c r="AP132" s="251"/>
      <c r="AQ132" s="340" t="s">
        <v>166</v>
      </c>
      <c r="AR132" s="341">
        <f t="shared" si="121"/>
        <v>0</v>
      </c>
      <c r="AS132" s="251"/>
      <c r="AT132" s="340" t="s">
        <v>166</v>
      </c>
      <c r="AU132" s="341">
        <f t="shared" si="121"/>
        <v>0</v>
      </c>
      <c r="AV132" s="251"/>
      <c r="AW132" s="340" t="s">
        <v>161</v>
      </c>
      <c r="AX132" s="341">
        <f t="shared" si="121"/>
        <v>0</v>
      </c>
      <c r="AY132" s="251"/>
      <c r="AZ132" s="539" t="s">
        <v>158</v>
      </c>
      <c r="BA132" s="341">
        <f t="shared" si="121"/>
        <v>0</v>
      </c>
      <c r="BB132" s="251"/>
      <c r="BC132" s="340" t="s">
        <v>158</v>
      </c>
      <c r="BD132" s="341">
        <f t="shared" si="121"/>
        <v>0</v>
      </c>
      <c r="BE132" s="251"/>
      <c r="BF132" s="340" t="str">
        <f>+Idiomas!$D$245</f>
        <v>Pegar Valores (J8)</v>
      </c>
      <c r="BG132" s="341">
        <f t="shared" si="121"/>
        <v>0</v>
      </c>
      <c r="BH132" s="251"/>
      <c r="BI132" s="340" t="str">
        <f>+Idiomas!$D$245</f>
        <v>Pegar Valores (J8)</v>
      </c>
      <c r="BJ132" s="341">
        <f t="shared" si="121"/>
        <v>0</v>
      </c>
      <c r="BK132" s="251"/>
      <c r="BL132" s="340" t="str">
        <f>+Idiomas!$D$245</f>
        <v>Pegar Valores (J8)</v>
      </c>
      <c r="BM132" s="341">
        <f t="shared" si="121"/>
        <v>0</v>
      </c>
      <c r="BN132" s="251"/>
      <c r="BO132" s="340" t="str">
        <f>+Idiomas!$D$245</f>
        <v>Pegar Valores (J8)</v>
      </c>
      <c r="BP132" s="341">
        <f t="shared" si="121"/>
        <v>0</v>
      </c>
      <c r="BQ132" s="251"/>
      <c r="BR132" s="340" t="str">
        <f>+Idiomas!$D$245</f>
        <v>Pegar Valores (J8)</v>
      </c>
      <c r="BS132" s="341">
        <f t="shared" si="121"/>
        <v>0</v>
      </c>
      <c r="BT132" s="251"/>
      <c r="BU132" s="340" t="str">
        <f>+Idiomas!$D$245</f>
        <v>Pegar Valores (J8)</v>
      </c>
      <c r="BV132" s="341">
        <f t="shared" si="121"/>
        <v>0</v>
      </c>
      <c r="BW132" s="251"/>
      <c r="BX132" s="340" t="str">
        <f>+Idiomas!$D$245</f>
        <v>Pegar Valores (J8)</v>
      </c>
      <c r="BY132" s="341">
        <f t="shared" si="121"/>
        <v>0</v>
      </c>
      <c r="BZ132" s="251"/>
      <c r="CA132" s="340" t="str">
        <f>+Idiomas!$D$245</f>
        <v>Pegar Valores (J8)</v>
      </c>
      <c r="CB132" s="341">
        <f t="shared" si="120"/>
        <v>0</v>
      </c>
      <c r="CC132" s="251"/>
      <c r="CD132" s="340" t="str">
        <f>+Idiomas!$D$245</f>
        <v>Pegar Valores (J8)</v>
      </c>
      <c r="CE132" s="341">
        <f t="shared" si="120"/>
        <v>0</v>
      </c>
      <c r="CF132" s="251"/>
      <c r="CG132" s="251"/>
      <c r="CH132" s="251"/>
    </row>
    <row r="133" spans="1:86" ht="15" customHeight="1">
      <c r="A133" s="219"/>
      <c r="B133" s="219"/>
      <c r="C133" s="219"/>
      <c r="D133" s="219"/>
      <c r="E133" s="219"/>
      <c r="F133" s="561"/>
      <c r="G133" s="319" t="str">
        <f>CONCATENATE(League!D129,"-",League!K129)</f>
        <v>Arsenal-Kairat Almaty </v>
      </c>
      <c r="H133" s="320" t="str">
        <f>CONCATENATE(IF(League!G129&gt;League!H129,1,IF(League!G129&lt;League!H129,2,IF(AND(League!G129=League!H129,League!G129&lt;&gt;"",League!H129&lt;&gt;""),"X",0))),"|",League!G129,"-",League!H129)</f>
        <v>0|-</v>
      </c>
      <c r="I133" s="219"/>
      <c r="J133" s="458" t="s">
        <v>163</v>
      </c>
      <c r="K133" s="322">
        <f t="shared" si="116"/>
        <v>0</v>
      </c>
      <c r="L133" s="251"/>
      <c r="M133" s="326" t="s">
        <v>167</v>
      </c>
      <c r="N133" s="322">
        <f t="shared" si="121"/>
        <v>0</v>
      </c>
      <c r="O133" s="251"/>
      <c r="P133" s="326" t="s">
        <v>171</v>
      </c>
      <c r="Q133" s="322">
        <f t="shared" si="121"/>
        <v>0</v>
      </c>
      <c r="R133" s="251"/>
      <c r="S133" s="326" t="s">
        <v>172</v>
      </c>
      <c r="T133" s="322">
        <f t="shared" si="121"/>
        <v>0</v>
      </c>
      <c r="U133" s="251"/>
      <c r="V133" s="326" t="s">
        <v>165</v>
      </c>
      <c r="W133" s="322">
        <f t="shared" si="121"/>
        <v>0</v>
      </c>
      <c r="X133" s="251"/>
      <c r="Y133" s="326" t="s">
        <v>163</v>
      </c>
      <c r="Z133" s="322">
        <f t="shared" si="121"/>
        <v>0</v>
      </c>
      <c r="AA133" s="251"/>
      <c r="AB133" s="326" t="s">
        <v>163</v>
      </c>
      <c r="AC133" s="322">
        <f t="shared" si="121"/>
        <v>0</v>
      </c>
      <c r="AD133" s="251"/>
      <c r="AE133" s="326" t="s">
        <v>166</v>
      </c>
      <c r="AF133" s="322">
        <f t="shared" si="121"/>
        <v>0</v>
      </c>
      <c r="AG133" s="251"/>
      <c r="AH133" s="326" t="s">
        <v>165</v>
      </c>
      <c r="AI133" s="322">
        <f t="shared" si="121"/>
        <v>0</v>
      </c>
      <c r="AJ133" s="251"/>
      <c r="AK133" s="326" t="s">
        <v>163</v>
      </c>
      <c r="AL133" s="322">
        <f t="shared" si="121"/>
        <v>0</v>
      </c>
      <c r="AM133" s="251"/>
      <c r="AN133" s="326" t="s">
        <v>170</v>
      </c>
      <c r="AO133" s="322">
        <f t="shared" si="121"/>
        <v>0</v>
      </c>
      <c r="AP133" s="251"/>
      <c r="AQ133" s="326" t="s">
        <v>163</v>
      </c>
      <c r="AR133" s="322">
        <f t="shared" si="121"/>
        <v>0</v>
      </c>
      <c r="AS133" s="251"/>
      <c r="AT133" s="326" t="s">
        <v>165</v>
      </c>
      <c r="AU133" s="322">
        <f t="shared" si="121"/>
        <v>0</v>
      </c>
      <c r="AV133" s="251"/>
      <c r="AW133" s="326" t="s">
        <v>166</v>
      </c>
      <c r="AX133" s="322">
        <f t="shared" si="121"/>
        <v>0</v>
      </c>
      <c r="AY133" s="251"/>
      <c r="AZ133" s="539" t="s">
        <v>165</v>
      </c>
      <c r="BA133" s="322">
        <f t="shared" si="121"/>
        <v>0</v>
      </c>
      <c r="BB133" s="251"/>
      <c r="BC133" s="326" t="s">
        <v>170</v>
      </c>
      <c r="BD133" s="322">
        <f t="shared" si="121"/>
        <v>0</v>
      </c>
      <c r="BE133" s="251"/>
      <c r="BF133" s="326"/>
      <c r="BG133" s="322">
        <f t="shared" si="121"/>
        <v>0</v>
      </c>
      <c r="BH133" s="251"/>
      <c r="BI133" s="326"/>
      <c r="BJ133" s="322">
        <f t="shared" si="121"/>
        <v>0</v>
      </c>
      <c r="BK133" s="251"/>
      <c r="BL133" s="326"/>
      <c r="BM133" s="322">
        <f t="shared" si="121"/>
        <v>0</v>
      </c>
      <c r="BN133" s="251"/>
      <c r="BO133" s="326"/>
      <c r="BP133" s="322">
        <f t="shared" si="121"/>
        <v>0</v>
      </c>
      <c r="BQ133" s="251"/>
      <c r="BR133" s="326"/>
      <c r="BS133" s="322">
        <f t="shared" si="121"/>
        <v>0</v>
      </c>
      <c r="BT133" s="251"/>
      <c r="BU133" s="326"/>
      <c r="BV133" s="322">
        <f t="shared" si="121"/>
        <v>0</v>
      </c>
      <c r="BW133" s="251"/>
      <c r="BX133" s="326"/>
      <c r="BY133" s="322">
        <f t="shared" si="121"/>
        <v>0</v>
      </c>
      <c r="BZ133" s="251"/>
      <c r="CA133" s="326"/>
      <c r="CB133" s="322">
        <f t="shared" si="120"/>
        <v>0</v>
      </c>
      <c r="CC133" s="251"/>
      <c r="CD133" s="326"/>
      <c r="CE133" s="322">
        <f t="shared" si="120"/>
        <v>0</v>
      </c>
      <c r="CF133" s="251"/>
      <c r="CG133" s="251"/>
      <c r="CH133" s="251"/>
    </row>
    <row r="134" spans="1:86" ht="15" customHeight="1">
      <c r="A134" s="219"/>
      <c r="B134" s="219"/>
      <c r="C134" s="219"/>
      <c r="D134" s="219"/>
      <c r="E134" s="219"/>
      <c r="F134" s="561"/>
      <c r="G134" s="328" t="str">
        <f>CONCATENATE(League!D130,"-",League!K130)</f>
        <v>Monaco-Juventus</v>
      </c>
      <c r="H134" s="320" t="str">
        <f>CONCATENATE(IF(League!G130&gt;League!H130,1,IF(League!G130&lt;League!H130,2,IF(AND(League!G130=League!H130,League!G130&lt;&gt;"",League!H130&lt;&gt;""),"X",0))),"|",League!G130,"-",League!H130)</f>
        <v>0|-</v>
      </c>
      <c r="I134" s="219"/>
      <c r="J134" s="458" t="s">
        <v>161</v>
      </c>
      <c r="K134" s="322">
        <f t="shared" ref="K134:K149" si="122">IFERROR(SUM(IF($H134=J134,$D$10),IF(LEFT($H134,1)=LEFT(J134,1),$D$8),IF(MID($H134,FIND("|",$H134)+1,FIND("-",$H134)-FIND("|",$H134)-1)-MID($H134,FIND("-",$H134)+1,11)=MID(J134,FIND("|",J134)+1,FIND("-",J134)-FIND("|",J134)-1)-MID(J134,FIND("-",J134)+1,11),$D$9)),)</f>
        <v>0</v>
      </c>
      <c r="L134" s="251"/>
      <c r="M134" s="326" t="s">
        <v>166</v>
      </c>
      <c r="N134" s="322">
        <f t="shared" si="121"/>
        <v>0</v>
      </c>
      <c r="O134" s="251"/>
      <c r="P134" s="326" t="s">
        <v>162</v>
      </c>
      <c r="Q134" s="322">
        <f t="shared" si="121"/>
        <v>0</v>
      </c>
      <c r="R134" s="251"/>
      <c r="S134" s="326" t="s">
        <v>158</v>
      </c>
      <c r="T134" s="322">
        <f t="shared" si="121"/>
        <v>0</v>
      </c>
      <c r="U134" s="251"/>
      <c r="V134" s="326" t="s">
        <v>158</v>
      </c>
      <c r="W134" s="322">
        <f t="shared" si="121"/>
        <v>0</v>
      </c>
      <c r="X134" s="251"/>
      <c r="Y134" s="326" t="s">
        <v>158</v>
      </c>
      <c r="Z134" s="322">
        <f t="shared" si="121"/>
        <v>0</v>
      </c>
      <c r="AA134" s="251"/>
      <c r="AB134" s="326" t="s">
        <v>160</v>
      </c>
      <c r="AC134" s="322">
        <f t="shared" si="121"/>
        <v>0</v>
      </c>
      <c r="AD134" s="251"/>
      <c r="AE134" s="326" t="s">
        <v>162</v>
      </c>
      <c r="AF134" s="322">
        <f t="shared" si="121"/>
        <v>0</v>
      </c>
      <c r="AG134" s="251"/>
      <c r="AH134" s="326" t="s">
        <v>160</v>
      </c>
      <c r="AI134" s="322">
        <f t="shared" si="121"/>
        <v>0</v>
      </c>
      <c r="AJ134" s="251"/>
      <c r="AK134" s="326" t="s">
        <v>162</v>
      </c>
      <c r="AL134" s="322">
        <f t="shared" si="121"/>
        <v>0</v>
      </c>
      <c r="AM134" s="251"/>
      <c r="AN134" s="326" t="s">
        <v>166</v>
      </c>
      <c r="AO134" s="322">
        <f t="shared" si="121"/>
        <v>0</v>
      </c>
      <c r="AP134" s="251"/>
      <c r="AQ134" s="326" t="s">
        <v>158</v>
      </c>
      <c r="AR134" s="322">
        <f t="shared" si="121"/>
        <v>0</v>
      </c>
      <c r="AS134" s="251"/>
      <c r="AT134" s="326" t="s">
        <v>161</v>
      </c>
      <c r="AU134" s="322">
        <f t="shared" si="121"/>
        <v>0</v>
      </c>
      <c r="AV134" s="251"/>
      <c r="AW134" s="326" t="s">
        <v>161</v>
      </c>
      <c r="AX134" s="322">
        <f t="shared" si="121"/>
        <v>0</v>
      </c>
      <c r="AY134" s="251"/>
      <c r="AZ134" s="539" t="s">
        <v>158</v>
      </c>
      <c r="BA134" s="322">
        <f t="shared" si="121"/>
        <v>0</v>
      </c>
      <c r="BB134" s="251"/>
      <c r="BC134" s="326" t="s">
        <v>160</v>
      </c>
      <c r="BD134" s="322">
        <f t="shared" si="121"/>
        <v>0</v>
      </c>
      <c r="BE134" s="251"/>
      <c r="BF134" s="326"/>
      <c r="BG134" s="322">
        <f t="shared" si="121"/>
        <v>0</v>
      </c>
      <c r="BH134" s="251"/>
      <c r="BI134" s="326"/>
      <c r="BJ134" s="322">
        <f t="shared" si="121"/>
        <v>0</v>
      </c>
      <c r="BK134" s="251"/>
      <c r="BL134" s="326"/>
      <c r="BM134" s="322">
        <f t="shared" si="121"/>
        <v>0</v>
      </c>
      <c r="BN134" s="251"/>
      <c r="BO134" s="326"/>
      <c r="BP134" s="322">
        <f t="shared" si="121"/>
        <v>0</v>
      </c>
      <c r="BQ134" s="251"/>
      <c r="BR134" s="326"/>
      <c r="BS134" s="322">
        <f t="shared" si="121"/>
        <v>0</v>
      </c>
      <c r="BT134" s="251"/>
      <c r="BU134" s="326"/>
      <c r="BV134" s="322">
        <f t="shared" si="121"/>
        <v>0</v>
      </c>
      <c r="BW134" s="251"/>
      <c r="BX134" s="326"/>
      <c r="BY134" s="322">
        <f t="shared" si="121"/>
        <v>0</v>
      </c>
      <c r="BZ134" s="251"/>
      <c r="CA134" s="326"/>
      <c r="CB134" s="322">
        <f t="shared" si="120"/>
        <v>0</v>
      </c>
      <c r="CC134" s="251"/>
      <c r="CD134" s="326"/>
      <c r="CE134" s="322">
        <f t="shared" si="120"/>
        <v>0</v>
      </c>
      <c r="CF134" s="251"/>
      <c r="CG134" s="251"/>
      <c r="CH134" s="251"/>
    </row>
    <row r="135" spans="1:86" ht="15" customHeight="1">
      <c r="A135" s="219"/>
      <c r="B135" s="219"/>
      <c r="C135" s="219"/>
      <c r="D135" s="219"/>
      <c r="E135" s="219"/>
      <c r="F135" s="561"/>
      <c r="G135" s="319" t="str">
        <f>CONCATENATE(League!D131,"-",League!K131)</f>
        <v>Athletic Bilbao-Sporting Portugal</v>
      </c>
      <c r="H135" s="320" t="str">
        <f>CONCATENATE(IF(League!G131&gt;League!H131,1,IF(League!G131&lt;League!H131,2,IF(AND(League!G131=League!H131,League!G131&lt;&gt;"",League!H131&lt;&gt;""),"X",0))),"|",League!G131,"-",League!H131)</f>
        <v>0|-</v>
      </c>
      <c r="I135" s="219"/>
      <c r="J135" s="458" t="s">
        <v>167</v>
      </c>
      <c r="K135" s="322">
        <f t="shared" si="122"/>
        <v>0</v>
      </c>
      <c r="L135" s="251"/>
      <c r="M135" s="326" t="s">
        <v>166</v>
      </c>
      <c r="N135" s="322">
        <f t="shared" si="121"/>
        <v>0</v>
      </c>
      <c r="O135" s="251"/>
      <c r="P135" s="326" t="s">
        <v>164</v>
      </c>
      <c r="Q135" s="322">
        <f t="shared" si="121"/>
        <v>0</v>
      </c>
      <c r="R135" s="251"/>
      <c r="S135" s="326" t="s">
        <v>166</v>
      </c>
      <c r="T135" s="322">
        <f t="shared" si="121"/>
        <v>0</v>
      </c>
      <c r="U135" s="251"/>
      <c r="V135" s="326" t="s">
        <v>158</v>
      </c>
      <c r="W135" s="322">
        <f t="shared" si="121"/>
        <v>0</v>
      </c>
      <c r="X135" s="251"/>
      <c r="Y135" s="326" t="s">
        <v>158</v>
      </c>
      <c r="Z135" s="322">
        <f t="shared" si="121"/>
        <v>0</v>
      </c>
      <c r="AA135" s="251"/>
      <c r="AB135" s="326" t="s">
        <v>158</v>
      </c>
      <c r="AC135" s="322">
        <f t="shared" si="121"/>
        <v>0</v>
      </c>
      <c r="AD135" s="251"/>
      <c r="AE135" s="326" t="s">
        <v>158</v>
      </c>
      <c r="AF135" s="322">
        <f t="shared" si="121"/>
        <v>0</v>
      </c>
      <c r="AG135" s="251"/>
      <c r="AH135" s="326" t="s">
        <v>166</v>
      </c>
      <c r="AI135" s="322">
        <f t="shared" si="121"/>
        <v>0</v>
      </c>
      <c r="AJ135" s="251"/>
      <c r="AK135" s="326" t="s">
        <v>162</v>
      </c>
      <c r="AL135" s="322">
        <f t="shared" si="121"/>
        <v>0</v>
      </c>
      <c r="AM135" s="251"/>
      <c r="AN135" s="326" t="s">
        <v>167</v>
      </c>
      <c r="AO135" s="322">
        <f t="shared" si="121"/>
        <v>0</v>
      </c>
      <c r="AP135" s="251"/>
      <c r="AQ135" s="326" t="s">
        <v>161</v>
      </c>
      <c r="AR135" s="322">
        <f t="shared" si="121"/>
        <v>0</v>
      </c>
      <c r="AS135" s="251"/>
      <c r="AT135" s="326" t="s">
        <v>160</v>
      </c>
      <c r="AU135" s="322">
        <f t="shared" si="121"/>
        <v>0</v>
      </c>
      <c r="AV135" s="251"/>
      <c r="AW135" s="326" t="s">
        <v>166</v>
      </c>
      <c r="AX135" s="322">
        <f t="shared" si="121"/>
        <v>0</v>
      </c>
      <c r="AY135" s="251"/>
      <c r="AZ135" s="539" t="s">
        <v>166</v>
      </c>
      <c r="BA135" s="322">
        <f t="shared" si="121"/>
        <v>0</v>
      </c>
      <c r="BB135" s="251"/>
      <c r="BC135" s="326" t="s">
        <v>166</v>
      </c>
      <c r="BD135" s="322">
        <f t="shared" si="121"/>
        <v>0</v>
      </c>
      <c r="BE135" s="251"/>
      <c r="BF135" s="326"/>
      <c r="BG135" s="322">
        <f t="shared" si="121"/>
        <v>0</v>
      </c>
      <c r="BH135" s="251"/>
      <c r="BI135" s="326"/>
      <c r="BJ135" s="322">
        <f t="shared" si="121"/>
        <v>0</v>
      </c>
      <c r="BK135" s="251"/>
      <c r="BL135" s="326"/>
      <c r="BM135" s="322">
        <f t="shared" si="121"/>
        <v>0</v>
      </c>
      <c r="BN135" s="251"/>
      <c r="BO135" s="326"/>
      <c r="BP135" s="322">
        <f t="shared" si="121"/>
        <v>0</v>
      </c>
      <c r="BQ135" s="251"/>
      <c r="BR135" s="326"/>
      <c r="BS135" s="322">
        <f t="shared" si="121"/>
        <v>0</v>
      </c>
      <c r="BT135" s="251"/>
      <c r="BU135" s="326"/>
      <c r="BV135" s="322">
        <f t="shared" si="121"/>
        <v>0</v>
      </c>
      <c r="BW135" s="251"/>
      <c r="BX135" s="326"/>
      <c r="BY135" s="322">
        <f t="shared" si="121"/>
        <v>0</v>
      </c>
      <c r="BZ135" s="251"/>
      <c r="CA135" s="326"/>
      <c r="CB135" s="322">
        <f t="shared" si="120"/>
        <v>0</v>
      </c>
      <c r="CC135" s="251"/>
      <c r="CD135" s="326"/>
      <c r="CE135" s="322">
        <f t="shared" si="120"/>
        <v>0</v>
      </c>
      <c r="CF135" s="251"/>
      <c r="CG135" s="251"/>
      <c r="CH135" s="251"/>
    </row>
    <row r="136" spans="1:86" ht="15" customHeight="1">
      <c r="A136" s="219"/>
      <c r="B136" s="219"/>
      <c r="C136" s="219"/>
      <c r="D136" s="219"/>
      <c r="E136" s="219"/>
      <c r="F136" s="561"/>
      <c r="G136" s="328" t="str">
        <f>CONCATENATE(League!D132,"-",League!K132)</f>
        <v>Atlético Madrid-Bodø/Glimt</v>
      </c>
      <c r="H136" s="320" t="str">
        <f>CONCATENATE(IF(League!G132&gt;League!H132,1,IF(League!G132&lt;League!H132,2,IF(AND(League!G132=League!H132,League!G132&lt;&gt;"",League!H132&lt;&gt;""),"X",0))),"|",League!G132,"-",League!H132)</f>
        <v>0|-</v>
      </c>
      <c r="I136" s="219"/>
      <c r="J136" s="458" t="s">
        <v>165</v>
      </c>
      <c r="K136" s="322">
        <f t="shared" si="122"/>
        <v>0</v>
      </c>
      <c r="L136" s="251"/>
      <c r="M136" s="326" t="s">
        <v>165</v>
      </c>
      <c r="N136" s="322">
        <f t="shared" si="121"/>
        <v>0</v>
      </c>
      <c r="O136" s="251"/>
      <c r="P136" s="326" t="s">
        <v>171</v>
      </c>
      <c r="Q136" s="322">
        <f t="shared" si="121"/>
        <v>0</v>
      </c>
      <c r="R136" s="251"/>
      <c r="S136" s="326" t="s">
        <v>171</v>
      </c>
      <c r="T136" s="322">
        <f t="shared" si="121"/>
        <v>0</v>
      </c>
      <c r="U136" s="251"/>
      <c r="V136" s="326" t="s">
        <v>166</v>
      </c>
      <c r="W136" s="322">
        <f t="shared" si="121"/>
        <v>0</v>
      </c>
      <c r="X136" s="251"/>
      <c r="Y136" s="326" t="s">
        <v>163</v>
      </c>
      <c r="Z136" s="322">
        <f t="shared" si="121"/>
        <v>0</v>
      </c>
      <c r="AA136" s="251"/>
      <c r="AB136" s="326" t="s">
        <v>165</v>
      </c>
      <c r="AC136" s="322">
        <f t="shared" si="121"/>
        <v>0</v>
      </c>
      <c r="AD136" s="251"/>
      <c r="AE136" s="326" t="s">
        <v>166</v>
      </c>
      <c r="AF136" s="322">
        <f t="shared" si="121"/>
        <v>0</v>
      </c>
      <c r="AG136" s="251"/>
      <c r="AH136" s="326" t="s">
        <v>170</v>
      </c>
      <c r="AI136" s="322">
        <f t="shared" si="121"/>
        <v>0</v>
      </c>
      <c r="AJ136" s="251"/>
      <c r="AK136" s="326" t="s">
        <v>165</v>
      </c>
      <c r="AL136" s="322">
        <f t="shared" si="121"/>
        <v>0</v>
      </c>
      <c r="AM136" s="251"/>
      <c r="AN136" s="326" t="s">
        <v>166</v>
      </c>
      <c r="AO136" s="322">
        <f t="shared" si="121"/>
        <v>0</v>
      </c>
      <c r="AP136" s="251"/>
      <c r="AQ136" s="326" t="s">
        <v>165</v>
      </c>
      <c r="AR136" s="322">
        <f t="shared" si="121"/>
        <v>0</v>
      </c>
      <c r="AS136" s="251"/>
      <c r="AT136" s="326" t="s">
        <v>166</v>
      </c>
      <c r="AU136" s="322">
        <f t="shared" si="121"/>
        <v>0</v>
      </c>
      <c r="AV136" s="251"/>
      <c r="AW136" s="326" t="s">
        <v>166</v>
      </c>
      <c r="AX136" s="322">
        <f t="shared" si="121"/>
        <v>0</v>
      </c>
      <c r="AY136" s="251"/>
      <c r="AZ136" s="539" t="s">
        <v>184</v>
      </c>
      <c r="BA136" s="322">
        <f t="shared" si="121"/>
        <v>0</v>
      </c>
      <c r="BB136" s="251"/>
      <c r="BC136" s="326" t="s">
        <v>165</v>
      </c>
      <c r="BD136" s="322">
        <f t="shared" si="121"/>
        <v>0</v>
      </c>
      <c r="BE136" s="251"/>
      <c r="BF136" s="326"/>
      <c r="BG136" s="322">
        <f t="shared" si="121"/>
        <v>0</v>
      </c>
      <c r="BH136" s="251"/>
      <c r="BI136" s="326"/>
      <c r="BJ136" s="322">
        <f t="shared" si="121"/>
        <v>0</v>
      </c>
      <c r="BK136" s="251"/>
      <c r="BL136" s="326"/>
      <c r="BM136" s="322">
        <f t="shared" si="121"/>
        <v>0</v>
      </c>
      <c r="BN136" s="251"/>
      <c r="BO136" s="326"/>
      <c r="BP136" s="322">
        <f t="shared" si="121"/>
        <v>0</v>
      </c>
      <c r="BQ136" s="251"/>
      <c r="BR136" s="326"/>
      <c r="BS136" s="322">
        <f t="shared" si="121"/>
        <v>0</v>
      </c>
      <c r="BT136" s="251"/>
      <c r="BU136" s="326"/>
      <c r="BV136" s="322">
        <f t="shared" si="121"/>
        <v>0</v>
      </c>
      <c r="BW136" s="251"/>
      <c r="BX136" s="326"/>
      <c r="BY136" s="322">
        <f t="shared" si="121"/>
        <v>0</v>
      </c>
      <c r="BZ136" s="251"/>
      <c r="CA136" s="326"/>
      <c r="CB136" s="322">
        <f t="shared" si="120"/>
        <v>0</v>
      </c>
      <c r="CC136" s="251"/>
      <c r="CD136" s="326"/>
      <c r="CE136" s="322">
        <f t="shared" si="120"/>
        <v>0</v>
      </c>
      <c r="CF136" s="251"/>
      <c r="CG136" s="251"/>
      <c r="CH136" s="251"/>
    </row>
    <row r="137" spans="1:86" ht="15" customHeight="1">
      <c r="A137" s="219"/>
      <c r="B137" s="219"/>
      <c r="C137" s="219"/>
      <c r="D137" s="219"/>
      <c r="E137" s="219"/>
      <c r="F137" s="561"/>
      <c r="G137" s="319" t="str">
        <f>CONCATENATE(League!D133,"-",League!K133)</f>
        <v>Bayer Leverkusen-Villarreal</v>
      </c>
      <c r="H137" s="320" t="str">
        <f>CONCATENATE(IF(League!G133&gt;League!H133,1,IF(League!G133&lt;League!H133,2,IF(AND(League!G133=League!H133,League!G133&lt;&gt;"",League!H133&lt;&gt;""),"X",0))),"|",League!G133,"-",League!H133)</f>
        <v>0|-</v>
      </c>
      <c r="I137" s="219"/>
      <c r="J137" s="458" t="s">
        <v>171</v>
      </c>
      <c r="K137" s="322">
        <f t="shared" si="122"/>
        <v>0</v>
      </c>
      <c r="L137" s="251"/>
      <c r="M137" s="326" t="s">
        <v>160</v>
      </c>
      <c r="N137" s="322">
        <f t="shared" si="121"/>
        <v>0</v>
      </c>
      <c r="O137" s="251"/>
      <c r="P137" s="326" t="s">
        <v>157</v>
      </c>
      <c r="Q137" s="322">
        <f t="shared" si="121"/>
        <v>0</v>
      </c>
      <c r="R137" s="251"/>
      <c r="S137" s="326" t="s">
        <v>160</v>
      </c>
      <c r="T137" s="322">
        <f t="shared" si="121"/>
        <v>0</v>
      </c>
      <c r="U137" s="251"/>
      <c r="V137" s="326" t="s">
        <v>166</v>
      </c>
      <c r="W137" s="322">
        <f t="shared" si="121"/>
        <v>0</v>
      </c>
      <c r="X137" s="251"/>
      <c r="Y137" s="326" t="s">
        <v>158</v>
      </c>
      <c r="Z137" s="322">
        <f t="shared" si="121"/>
        <v>0</v>
      </c>
      <c r="AA137" s="251"/>
      <c r="AB137" s="326" t="s">
        <v>158</v>
      </c>
      <c r="AC137" s="322">
        <f t="shared" si="121"/>
        <v>0</v>
      </c>
      <c r="AD137" s="251"/>
      <c r="AE137" s="326" t="s">
        <v>173</v>
      </c>
      <c r="AF137" s="322">
        <f t="shared" si="121"/>
        <v>0</v>
      </c>
      <c r="AG137" s="251"/>
      <c r="AH137" s="326" t="s">
        <v>157</v>
      </c>
      <c r="AI137" s="322">
        <f t="shared" si="121"/>
        <v>0</v>
      </c>
      <c r="AJ137" s="251"/>
      <c r="AK137" s="326" t="s">
        <v>165</v>
      </c>
      <c r="AL137" s="322">
        <f t="shared" si="121"/>
        <v>0</v>
      </c>
      <c r="AM137" s="251"/>
      <c r="AN137" s="326" t="s">
        <v>161</v>
      </c>
      <c r="AO137" s="322">
        <f t="shared" si="121"/>
        <v>0</v>
      </c>
      <c r="AP137" s="251"/>
      <c r="AQ137" s="326" t="s">
        <v>160</v>
      </c>
      <c r="AR137" s="322">
        <f t="shared" si="121"/>
        <v>0</v>
      </c>
      <c r="AS137" s="251"/>
      <c r="AT137" s="326" t="s">
        <v>158</v>
      </c>
      <c r="AU137" s="322">
        <f t="shared" si="121"/>
        <v>0</v>
      </c>
      <c r="AV137" s="251"/>
      <c r="AW137" s="326" t="s">
        <v>166</v>
      </c>
      <c r="AX137" s="322">
        <f t="shared" si="121"/>
        <v>0</v>
      </c>
      <c r="AY137" s="251"/>
      <c r="AZ137" s="539" t="s">
        <v>158</v>
      </c>
      <c r="BA137" s="322">
        <f t="shared" ref="BA137:CE148" si="123">IFERROR(SUM(IF($H137=AZ137,$D$10),IF(LEFT($H137,1)=LEFT(AZ137,1),$D$8),IF(MID($H137,FIND("|",$H137)+1,FIND("-",$H137)-FIND("|",$H137)-1)-MID($H137,FIND("-",$H137)+1,11)=MID(AZ137,FIND("|",AZ137)+1,FIND("-",AZ137)-FIND("|",AZ137)-1)-MID(AZ137,FIND("-",AZ137)+1,11),$D$9)),)</f>
        <v>0</v>
      </c>
      <c r="BB137" s="251"/>
      <c r="BC137" s="326" t="s">
        <v>158</v>
      </c>
      <c r="BD137" s="322">
        <f t="shared" si="123"/>
        <v>0</v>
      </c>
      <c r="BE137" s="251"/>
      <c r="BF137" s="326"/>
      <c r="BG137" s="322">
        <f t="shared" si="123"/>
        <v>0</v>
      </c>
      <c r="BH137" s="251"/>
      <c r="BI137" s="326"/>
      <c r="BJ137" s="322">
        <f t="shared" si="123"/>
        <v>0</v>
      </c>
      <c r="BK137" s="251"/>
      <c r="BL137" s="326"/>
      <c r="BM137" s="322">
        <f t="shared" si="123"/>
        <v>0</v>
      </c>
      <c r="BN137" s="251"/>
      <c r="BO137" s="326"/>
      <c r="BP137" s="322">
        <f t="shared" si="123"/>
        <v>0</v>
      </c>
      <c r="BQ137" s="251"/>
      <c r="BR137" s="326"/>
      <c r="BS137" s="322">
        <f t="shared" si="123"/>
        <v>0</v>
      </c>
      <c r="BT137" s="251"/>
      <c r="BU137" s="326"/>
      <c r="BV137" s="322">
        <f t="shared" si="123"/>
        <v>0</v>
      </c>
      <c r="BW137" s="251"/>
      <c r="BX137" s="326"/>
      <c r="BY137" s="322">
        <f t="shared" si="123"/>
        <v>0</v>
      </c>
      <c r="BZ137" s="251"/>
      <c r="CA137" s="326"/>
      <c r="CB137" s="322">
        <f t="shared" si="123"/>
        <v>0</v>
      </c>
      <c r="CC137" s="251"/>
      <c r="CD137" s="326"/>
      <c r="CE137" s="322">
        <f t="shared" si="123"/>
        <v>0</v>
      </c>
      <c r="CF137" s="251"/>
      <c r="CG137" s="251"/>
      <c r="CH137" s="251"/>
    </row>
    <row r="138" spans="1:86" ht="15" customHeight="1">
      <c r="A138" s="219"/>
      <c r="B138" s="219"/>
      <c r="C138" s="219"/>
      <c r="D138" s="219"/>
      <c r="E138" s="219"/>
      <c r="F138" s="561"/>
      <c r="G138" s="328" t="str">
        <f>CONCATENATE(League!D134,"-",League!K134)</f>
        <v>Borussia Dortmund-Inter Milan</v>
      </c>
      <c r="H138" s="320" t="str">
        <f>CONCATENATE(IF(League!G134&gt;League!H134,1,IF(League!G134&lt;League!H134,2,IF(AND(League!G134=League!H134,League!G134&lt;&gt;"",League!H134&lt;&gt;""),"X",0))),"|",League!G134,"-",League!H134)</f>
        <v>0|-</v>
      </c>
      <c r="I138" s="219"/>
      <c r="J138" s="458" t="s">
        <v>160</v>
      </c>
      <c r="K138" s="322">
        <f t="shared" si="122"/>
        <v>0</v>
      </c>
      <c r="L138" s="251"/>
      <c r="M138" s="326" t="s">
        <v>160</v>
      </c>
      <c r="N138" s="322">
        <f t="shared" ref="N138:BY149" si="124">IFERROR(SUM(IF($H138=M138,$D$10),IF(LEFT($H138,1)=LEFT(M138,1),$D$8),IF(MID($H138,FIND("|",$H138)+1,FIND("-",$H138)-FIND("|",$H138)-1)-MID($H138,FIND("-",$H138)+1,11)=MID(M138,FIND("|",M138)+1,FIND("-",M138)-FIND("|",M138)-1)-MID(M138,FIND("-",M138)+1,11),$D$9)),)</f>
        <v>0</v>
      </c>
      <c r="O138" s="251"/>
      <c r="P138" s="326" t="s">
        <v>158</v>
      </c>
      <c r="Q138" s="322">
        <f t="shared" si="124"/>
        <v>0</v>
      </c>
      <c r="R138" s="251"/>
      <c r="S138" s="326" t="s">
        <v>160</v>
      </c>
      <c r="T138" s="322">
        <f t="shared" si="124"/>
        <v>0</v>
      </c>
      <c r="U138" s="251"/>
      <c r="V138" s="326" t="s">
        <v>160</v>
      </c>
      <c r="W138" s="322">
        <f t="shared" si="124"/>
        <v>0</v>
      </c>
      <c r="X138" s="251"/>
      <c r="Y138" s="326" t="s">
        <v>160</v>
      </c>
      <c r="Z138" s="322">
        <f t="shared" si="124"/>
        <v>0</v>
      </c>
      <c r="AA138" s="251"/>
      <c r="AB138" s="326" t="s">
        <v>166</v>
      </c>
      <c r="AC138" s="322">
        <f t="shared" si="124"/>
        <v>0</v>
      </c>
      <c r="AD138" s="251"/>
      <c r="AE138" s="326" t="s">
        <v>175</v>
      </c>
      <c r="AF138" s="322">
        <f t="shared" si="124"/>
        <v>0</v>
      </c>
      <c r="AG138" s="251"/>
      <c r="AH138" s="326" t="s">
        <v>160</v>
      </c>
      <c r="AI138" s="322">
        <f t="shared" si="124"/>
        <v>0</v>
      </c>
      <c r="AJ138" s="251"/>
      <c r="AK138" s="326" t="s">
        <v>162</v>
      </c>
      <c r="AL138" s="322">
        <f t="shared" si="124"/>
        <v>0</v>
      </c>
      <c r="AM138" s="251"/>
      <c r="AN138" s="326" t="s">
        <v>161</v>
      </c>
      <c r="AO138" s="322">
        <f t="shared" si="124"/>
        <v>0</v>
      </c>
      <c r="AP138" s="251"/>
      <c r="AQ138" s="326" t="s">
        <v>166</v>
      </c>
      <c r="AR138" s="322">
        <f t="shared" si="124"/>
        <v>0</v>
      </c>
      <c r="AS138" s="251"/>
      <c r="AT138" s="326" t="s">
        <v>160</v>
      </c>
      <c r="AU138" s="322">
        <f t="shared" si="124"/>
        <v>0</v>
      </c>
      <c r="AV138" s="251"/>
      <c r="AW138" s="326" t="s">
        <v>161</v>
      </c>
      <c r="AX138" s="322">
        <f t="shared" si="124"/>
        <v>0</v>
      </c>
      <c r="AY138" s="251"/>
      <c r="AZ138" s="539" t="s">
        <v>161</v>
      </c>
      <c r="BA138" s="322">
        <f t="shared" si="124"/>
        <v>0</v>
      </c>
      <c r="BB138" s="251"/>
      <c r="BC138" s="326" t="s">
        <v>161</v>
      </c>
      <c r="BD138" s="322">
        <f t="shared" si="124"/>
        <v>0</v>
      </c>
      <c r="BE138" s="251"/>
      <c r="BF138" s="326"/>
      <c r="BG138" s="322">
        <f t="shared" si="124"/>
        <v>0</v>
      </c>
      <c r="BH138" s="251"/>
      <c r="BI138" s="326"/>
      <c r="BJ138" s="322">
        <f t="shared" si="124"/>
        <v>0</v>
      </c>
      <c r="BK138" s="251"/>
      <c r="BL138" s="326"/>
      <c r="BM138" s="322">
        <f t="shared" si="124"/>
        <v>0</v>
      </c>
      <c r="BN138" s="251"/>
      <c r="BO138" s="326"/>
      <c r="BP138" s="322">
        <f t="shared" si="124"/>
        <v>0</v>
      </c>
      <c r="BQ138" s="251"/>
      <c r="BR138" s="326"/>
      <c r="BS138" s="322">
        <f t="shared" si="124"/>
        <v>0</v>
      </c>
      <c r="BT138" s="251"/>
      <c r="BU138" s="326"/>
      <c r="BV138" s="322">
        <f t="shared" si="124"/>
        <v>0</v>
      </c>
      <c r="BW138" s="251"/>
      <c r="BX138" s="326"/>
      <c r="BY138" s="322">
        <f t="shared" si="124"/>
        <v>0</v>
      </c>
      <c r="BZ138" s="251"/>
      <c r="CA138" s="326"/>
      <c r="CB138" s="322">
        <f t="shared" si="123"/>
        <v>0</v>
      </c>
      <c r="CC138" s="251"/>
      <c r="CD138" s="326"/>
      <c r="CE138" s="322">
        <f t="shared" si="123"/>
        <v>0</v>
      </c>
      <c r="CF138" s="251"/>
      <c r="CG138" s="251"/>
      <c r="CH138" s="251"/>
    </row>
    <row r="139" spans="1:86" ht="15" customHeight="1">
      <c r="A139" s="219"/>
      <c r="B139" s="219"/>
      <c r="C139" s="219"/>
      <c r="D139" s="219"/>
      <c r="E139" s="219"/>
      <c r="F139" s="561"/>
      <c r="G139" s="319" t="str">
        <f>CONCATENATE(League!D135,"-",League!K135)</f>
        <v>Brugge-Marseille</v>
      </c>
      <c r="H139" s="320" t="str">
        <f>CONCATENATE(IF(League!G135&gt;League!H135,1,IF(League!G135&lt;League!H135,2,IF(AND(League!G135=League!H135,League!G135&lt;&gt;"",League!H135&lt;&gt;""),"X",0))),"|",League!G135,"-",League!H135)</f>
        <v>0|-</v>
      </c>
      <c r="I139" s="219"/>
      <c r="J139" s="458" t="s">
        <v>158</v>
      </c>
      <c r="K139" s="322">
        <f t="shared" si="122"/>
        <v>0</v>
      </c>
      <c r="L139" s="251"/>
      <c r="M139" s="326" t="s">
        <v>160</v>
      </c>
      <c r="N139" s="322">
        <f t="shared" si="124"/>
        <v>0</v>
      </c>
      <c r="O139" s="251"/>
      <c r="P139" s="326" t="s">
        <v>168</v>
      </c>
      <c r="Q139" s="322">
        <f t="shared" si="124"/>
        <v>0</v>
      </c>
      <c r="R139" s="251"/>
      <c r="S139" s="326" t="s">
        <v>166</v>
      </c>
      <c r="T139" s="322">
        <f t="shared" si="124"/>
        <v>0</v>
      </c>
      <c r="U139" s="251"/>
      <c r="V139" s="326" t="s">
        <v>177</v>
      </c>
      <c r="W139" s="322">
        <f t="shared" si="124"/>
        <v>0</v>
      </c>
      <c r="X139" s="251"/>
      <c r="Y139" s="326" t="s">
        <v>161</v>
      </c>
      <c r="Z139" s="322">
        <f t="shared" si="124"/>
        <v>0</v>
      </c>
      <c r="AA139" s="251"/>
      <c r="AB139" s="326" t="s">
        <v>160</v>
      </c>
      <c r="AC139" s="322">
        <f t="shared" si="124"/>
        <v>0</v>
      </c>
      <c r="AD139" s="251"/>
      <c r="AE139" s="326" t="s">
        <v>160</v>
      </c>
      <c r="AF139" s="322">
        <f t="shared" si="124"/>
        <v>0</v>
      </c>
      <c r="AG139" s="251"/>
      <c r="AH139" s="326" t="s">
        <v>160</v>
      </c>
      <c r="AI139" s="322">
        <f t="shared" si="124"/>
        <v>0</v>
      </c>
      <c r="AJ139" s="251"/>
      <c r="AK139" s="326" t="s">
        <v>162</v>
      </c>
      <c r="AL139" s="322">
        <f t="shared" si="124"/>
        <v>0</v>
      </c>
      <c r="AM139" s="251"/>
      <c r="AN139" s="326" t="s">
        <v>158</v>
      </c>
      <c r="AO139" s="322">
        <f t="shared" si="124"/>
        <v>0</v>
      </c>
      <c r="AP139" s="251"/>
      <c r="AQ139" s="326" t="s">
        <v>161</v>
      </c>
      <c r="AR139" s="322">
        <f t="shared" si="124"/>
        <v>0</v>
      </c>
      <c r="AS139" s="251"/>
      <c r="AT139" s="326" t="s">
        <v>174</v>
      </c>
      <c r="AU139" s="322">
        <f t="shared" si="124"/>
        <v>0</v>
      </c>
      <c r="AV139" s="251"/>
      <c r="AW139" s="326" t="s">
        <v>161</v>
      </c>
      <c r="AX139" s="322">
        <f t="shared" si="124"/>
        <v>0</v>
      </c>
      <c r="AY139" s="251"/>
      <c r="AZ139" s="539" t="s">
        <v>158</v>
      </c>
      <c r="BA139" s="322">
        <f t="shared" si="124"/>
        <v>0</v>
      </c>
      <c r="BB139" s="251"/>
      <c r="BC139" s="326" t="s">
        <v>157</v>
      </c>
      <c r="BD139" s="322">
        <f t="shared" si="124"/>
        <v>0</v>
      </c>
      <c r="BE139" s="251"/>
      <c r="BF139" s="326"/>
      <c r="BG139" s="322">
        <f t="shared" si="124"/>
        <v>0</v>
      </c>
      <c r="BH139" s="251"/>
      <c r="BI139" s="326"/>
      <c r="BJ139" s="322">
        <f t="shared" si="124"/>
        <v>0</v>
      </c>
      <c r="BK139" s="251"/>
      <c r="BL139" s="326"/>
      <c r="BM139" s="322">
        <f t="shared" si="124"/>
        <v>0</v>
      </c>
      <c r="BN139" s="251"/>
      <c r="BO139" s="326"/>
      <c r="BP139" s="322">
        <f t="shared" si="124"/>
        <v>0</v>
      </c>
      <c r="BQ139" s="251"/>
      <c r="BR139" s="326"/>
      <c r="BS139" s="322">
        <f t="shared" si="124"/>
        <v>0</v>
      </c>
      <c r="BT139" s="251"/>
      <c r="BU139" s="326"/>
      <c r="BV139" s="322">
        <f t="shared" si="124"/>
        <v>0</v>
      </c>
      <c r="BW139" s="251"/>
      <c r="BX139" s="326"/>
      <c r="BY139" s="322">
        <f t="shared" si="124"/>
        <v>0</v>
      </c>
      <c r="BZ139" s="251"/>
      <c r="CA139" s="326"/>
      <c r="CB139" s="322">
        <f t="shared" si="123"/>
        <v>0</v>
      </c>
      <c r="CC139" s="251"/>
      <c r="CD139" s="326"/>
      <c r="CE139" s="322">
        <f t="shared" si="123"/>
        <v>0</v>
      </c>
      <c r="CF139" s="251"/>
      <c r="CG139" s="251"/>
      <c r="CH139" s="251"/>
    </row>
    <row r="140" spans="1:86" ht="15" customHeight="1">
      <c r="A140" s="219"/>
      <c r="B140" s="219"/>
      <c r="C140" s="219"/>
      <c r="D140" s="219"/>
      <c r="E140" s="219"/>
      <c r="F140" s="561"/>
      <c r="G140" s="328" t="str">
        <f>CONCATENATE(League!D136,"-",League!K136)</f>
        <v>Eintracht Frankfurt-Tottenham</v>
      </c>
      <c r="H140" s="320" t="str">
        <f>CONCATENATE(IF(League!G136&gt;League!H136,1,IF(League!G136&lt;League!H136,2,IF(AND(League!G136=League!H136,League!G136&lt;&gt;"",League!H136&lt;&gt;""),"X",0))),"|",League!G136,"-",League!H136)</f>
        <v>0|-</v>
      </c>
      <c r="I140" s="219"/>
      <c r="J140" s="458" t="s">
        <v>166</v>
      </c>
      <c r="K140" s="322">
        <f t="shared" si="122"/>
        <v>0</v>
      </c>
      <c r="L140" s="251"/>
      <c r="M140" s="326" t="s">
        <v>160</v>
      </c>
      <c r="N140" s="322">
        <f t="shared" si="124"/>
        <v>0</v>
      </c>
      <c r="O140" s="251"/>
      <c r="P140" s="326" t="s">
        <v>157</v>
      </c>
      <c r="Q140" s="322">
        <f t="shared" si="124"/>
        <v>0</v>
      </c>
      <c r="R140" s="251"/>
      <c r="S140" s="326" t="s">
        <v>158</v>
      </c>
      <c r="T140" s="322">
        <f t="shared" si="124"/>
        <v>0</v>
      </c>
      <c r="U140" s="251"/>
      <c r="V140" s="326" t="s">
        <v>158</v>
      </c>
      <c r="W140" s="322">
        <f t="shared" si="124"/>
        <v>0</v>
      </c>
      <c r="X140" s="251"/>
      <c r="Y140" s="326" t="s">
        <v>161</v>
      </c>
      <c r="Z140" s="322">
        <f t="shared" si="124"/>
        <v>0</v>
      </c>
      <c r="AA140" s="251"/>
      <c r="AB140" s="326" t="s">
        <v>170</v>
      </c>
      <c r="AC140" s="322">
        <f t="shared" si="124"/>
        <v>0</v>
      </c>
      <c r="AD140" s="251"/>
      <c r="AE140" s="326" t="s">
        <v>157</v>
      </c>
      <c r="AF140" s="322">
        <f t="shared" si="124"/>
        <v>0</v>
      </c>
      <c r="AG140" s="251"/>
      <c r="AH140" s="326" t="s">
        <v>162</v>
      </c>
      <c r="AI140" s="322">
        <f t="shared" si="124"/>
        <v>0</v>
      </c>
      <c r="AJ140" s="251"/>
      <c r="AK140" s="326" t="s">
        <v>162</v>
      </c>
      <c r="AL140" s="322">
        <f t="shared" si="124"/>
        <v>0</v>
      </c>
      <c r="AM140" s="251"/>
      <c r="AN140" s="326" t="s">
        <v>161</v>
      </c>
      <c r="AO140" s="322">
        <f t="shared" si="124"/>
        <v>0</v>
      </c>
      <c r="AP140" s="251"/>
      <c r="AQ140" s="326" t="s">
        <v>158</v>
      </c>
      <c r="AR140" s="322">
        <f t="shared" si="124"/>
        <v>0</v>
      </c>
      <c r="AS140" s="251"/>
      <c r="AT140" s="326" t="s">
        <v>157</v>
      </c>
      <c r="AU140" s="322">
        <f t="shared" si="124"/>
        <v>0</v>
      </c>
      <c r="AV140" s="251"/>
      <c r="AW140" s="326" t="s">
        <v>166</v>
      </c>
      <c r="AX140" s="322">
        <f t="shared" si="124"/>
        <v>0</v>
      </c>
      <c r="AY140" s="251"/>
      <c r="AZ140" s="539" t="s">
        <v>162</v>
      </c>
      <c r="BA140" s="322">
        <f t="shared" si="124"/>
        <v>0</v>
      </c>
      <c r="BB140" s="251"/>
      <c r="BC140" s="326" t="s">
        <v>166</v>
      </c>
      <c r="BD140" s="322">
        <f t="shared" si="124"/>
        <v>0</v>
      </c>
      <c r="BE140" s="251"/>
      <c r="BF140" s="326"/>
      <c r="BG140" s="322">
        <f t="shared" si="124"/>
        <v>0</v>
      </c>
      <c r="BH140" s="251"/>
      <c r="BI140" s="326"/>
      <c r="BJ140" s="322">
        <f t="shared" si="124"/>
        <v>0</v>
      </c>
      <c r="BK140" s="251"/>
      <c r="BL140" s="326"/>
      <c r="BM140" s="322">
        <f t="shared" si="124"/>
        <v>0</v>
      </c>
      <c r="BN140" s="251"/>
      <c r="BO140" s="326"/>
      <c r="BP140" s="322">
        <f t="shared" si="124"/>
        <v>0</v>
      </c>
      <c r="BQ140" s="251"/>
      <c r="BR140" s="326"/>
      <c r="BS140" s="322">
        <f t="shared" si="124"/>
        <v>0</v>
      </c>
      <c r="BT140" s="251"/>
      <c r="BU140" s="326"/>
      <c r="BV140" s="322">
        <f t="shared" si="124"/>
        <v>0</v>
      </c>
      <c r="BW140" s="251"/>
      <c r="BX140" s="326"/>
      <c r="BY140" s="322">
        <f t="shared" si="124"/>
        <v>0</v>
      </c>
      <c r="BZ140" s="251"/>
      <c r="CA140" s="326"/>
      <c r="CB140" s="322">
        <f t="shared" si="123"/>
        <v>0</v>
      </c>
      <c r="CC140" s="251"/>
      <c r="CD140" s="326"/>
      <c r="CE140" s="322">
        <f t="shared" si="123"/>
        <v>0</v>
      </c>
      <c r="CF140" s="251"/>
      <c r="CG140" s="251"/>
      <c r="CH140" s="251"/>
    </row>
    <row r="141" spans="1:86" ht="15" customHeight="1">
      <c r="A141" s="219"/>
      <c r="B141" s="219"/>
      <c r="C141" s="219"/>
      <c r="D141" s="219"/>
      <c r="E141" s="219"/>
      <c r="F141" s="561"/>
      <c r="G141" s="319" t="str">
        <f>CONCATENATE(League!D137,"-",League!K137)</f>
        <v>Barcelona-Copenhagen</v>
      </c>
      <c r="H141" s="320" t="str">
        <f>CONCATENATE(IF(League!G137&gt;League!H137,1,IF(League!G137&lt;League!H137,2,IF(AND(League!G137=League!H137,League!G137&lt;&gt;"",League!H137&lt;&gt;""),"X",0))),"|",League!G137,"-",League!H137)</f>
        <v>0|-</v>
      </c>
      <c r="I141" s="219"/>
      <c r="J141" s="458" t="s">
        <v>165</v>
      </c>
      <c r="K141" s="322">
        <f t="shared" si="122"/>
        <v>0</v>
      </c>
      <c r="L141" s="251"/>
      <c r="M141" s="326" t="s">
        <v>165</v>
      </c>
      <c r="N141" s="322">
        <f t="shared" si="124"/>
        <v>0</v>
      </c>
      <c r="O141" s="251"/>
      <c r="P141" s="326" t="s">
        <v>165</v>
      </c>
      <c r="Q141" s="322">
        <f t="shared" si="124"/>
        <v>0</v>
      </c>
      <c r="R141" s="251"/>
      <c r="S141" s="326" t="s">
        <v>171</v>
      </c>
      <c r="T141" s="322">
        <f t="shared" si="124"/>
        <v>0</v>
      </c>
      <c r="U141" s="251"/>
      <c r="V141" s="326" t="s">
        <v>172</v>
      </c>
      <c r="W141" s="322">
        <f t="shared" si="124"/>
        <v>0</v>
      </c>
      <c r="X141" s="251"/>
      <c r="Y141" s="326" t="s">
        <v>184</v>
      </c>
      <c r="Z141" s="322">
        <f t="shared" si="124"/>
        <v>0</v>
      </c>
      <c r="AA141" s="251"/>
      <c r="AB141" s="326" t="s">
        <v>171</v>
      </c>
      <c r="AC141" s="322">
        <f t="shared" si="124"/>
        <v>0</v>
      </c>
      <c r="AD141" s="251"/>
      <c r="AE141" s="326" t="s">
        <v>167</v>
      </c>
      <c r="AF141" s="322">
        <f t="shared" si="124"/>
        <v>0</v>
      </c>
      <c r="AG141" s="251"/>
      <c r="AH141" s="326" t="s">
        <v>165</v>
      </c>
      <c r="AI141" s="322">
        <f t="shared" si="124"/>
        <v>0</v>
      </c>
      <c r="AJ141" s="251"/>
      <c r="AK141" s="326" t="s">
        <v>165</v>
      </c>
      <c r="AL141" s="322">
        <f t="shared" si="124"/>
        <v>0</v>
      </c>
      <c r="AM141" s="251"/>
      <c r="AN141" s="326" t="s">
        <v>163</v>
      </c>
      <c r="AO141" s="322">
        <f t="shared" si="124"/>
        <v>0</v>
      </c>
      <c r="AP141" s="251"/>
      <c r="AQ141" s="326" t="s">
        <v>167</v>
      </c>
      <c r="AR141" s="322">
        <f t="shared" si="124"/>
        <v>0</v>
      </c>
      <c r="AS141" s="251"/>
      <c r="AT141" s="326" t="s">
        <v>167</v>
      </c>
      <c r="AU141" s="322">
        <f t="shared" si="124"/>
        <v>0</v>
      </c>
      <c r="AV141" s="251"/>
      <c r="AW141" s="326" t="s">
        <v>167</v>
      </c>
      <c r="AX141" s="322">
        <f t="shared" si="124"/>
        <v>0</v>
      </c>
      <c r="AY141" s="251"/>
      <c r="AZ141" s="539" t="s">
        <v>163</v>
      </c>
      <c r="BA141" s="322">
        <f t="shared" si="124"/>
        <v>0</v>
      </c>
      <c r="BB141" s="251"/>
      <c r="BC141" s="326" t="s">
        <v>165</v>
      </c>
      <c r="BD141" s="322">
        <f t="shared" si="124"/>
        <v>0</v>
      </c>
      <c r="BE141" s="251"/>
      <c r="BF141" s="326"/>
      <c r="BG141" s="322">
        <f t="shared" si="124"/>
        <v>0</v>
      </c>
      <c r="BH141" s="251"/>
      <c r="BI141" s="326"/>
      <c r="BJ141" s="322">
        <f t="shared" si="124"/>
        <v>0</v>
      </c>
      <c r="BK141" s="251"/>
      <c r="BL141" s="326"/>
      <c r="BM141" s="322">
        <f t="shared" si="124"/>
        <v>0</v>
      </c>
      <c r="BN141" s="251"/>
      <c r="BO141" s="326"/>
      <c r="BP141" s="322">
        <f t="shared" si="124"/>
        <v>0</v>
      </c>
      <c r="BQ141" s="251"/>
      <c r="BR141" s="326"/>
      <c r="BS141" s="322">
        <f t="shared" si="124"/>
        <v>0</v>
      </c>
      <c r="BT141" s="251"/>
      <c r="BU141" s="326"/>
      <c r="BV141" s="322">
        <f t="shared" si="124"/>
        <v>0</v>
      </c>
      <c r="BW141" s="251"/>
      <c r="BX141" s="326"/>
      <c r="BY141" s="322">
        <f t="shared" si="124"/>
        <v>0</v>
      </c>
      <c r="BZ141" s="251"/>
      <c r="CA141" s="326"/>
      <c r="CB141" s="322">
        <f t="shared" si="123"/>
        <v>0</v>
      </c>
      <c r="CC141" s="251"/>
      <c r="CD141" s="326"/>
      <c r="CE141" s="322">
        <f t="shared" si="123"/>
        <v>0</v>
      </c>
      <c r="CF141" s="251"/>
      <c r="CG141" s="251"/>
      <c r="CH141" s="251"/>
    </row>
    <row r="142" spans="1:86" ht="15" customHeight="1">
      <c r="A142" s="219"/>
      <c r="B142" s="219"/>
      <c r="C142" s="219"/>
      <c r="D142" s="219"/>
      <c r="E142" s="219"/>
      <c r="F142" s="561"/>
      <c r="G142" s="328" t="str">
        <f>CONCATENATE(League!D138,"-",League!K138)</f>
        <v>Liverpool-Qarabağ</v>
      </c>
      <c r="H142" s="320" t="str">
        <f>CONCATENATE(IF(League!G138&gt;League!H138,1,IF(League!G138&lt;League!H138,2,IF(AND(League!G138=League!H138,League!G138&lt;&gt;"",League!H138&lt;&gt;""),"X",0))),"|",League!G138,"-",League!H138)</f>
        <v>0|-</v>
      </c>
      <c r="I142" s="219"/>
      <c r="J142" s="458" t="s">
        <v>163</v>
      </c>
      <c r="K142" s="322">
        <f t="shared" si="122"/>
        <v>0</v>
      </c>
      <c r="L142" s="251"/>
      <c r="M142" s="326" t="s">
        <v>165</v>
      </c>
      <c r="N142" s="322">
        <f t="shared" si="124"/>
        <v>0</v>
      </c>
      <c r="O142" s="251"/>
      <c r="P142" s="326" t="s">
        <v>163</v>
      </c>
      <c r="Q142" s="322">
        <f t="shared" si="124"/>
        <v>0</v>
      </c>
      <c r="R142" s="251"/>
      <c r="S142" s="326" t="s">
        <v>170</v>
      </c>
      <c r="T142" s="322">
        <f t="shared" si="124"/>
        <v>0</v>
      </c>
      <c r="U142" s="251"/>
      <c r="V142" s="326" t="s">
        <v>172</v>
      </c>
      <c r="W142" s="322">
        <f t="shared" si="124"/>
        <v>0</v>
      </c>
      <c r="X142" s="251"/>
      <c r="Y142" s="326" t="s">
        <v>184</v>
      </c>
      <c r="Z142" s="322">
        <f t="shared" si="124"/>
        <v>0</v>
      </c>
      <c r="AA142" s="251"/>
      <c r="AB142" s="326" t="s">
        <v>163</v>
      </c>
      <c r="AC142" s="322">
        <f t="shared" si="124"/>
        <v>0</v>
      </c>
      <c r="AD142" s="251"/>
      <c r="AE142" s="326" t="s">
        <v>158</v>
      </c>
      <c r="AF142" s="322">
        <f t="shared" si="124"/>
        <v>0</v>
      </c>
      <c r="AG142" s="251"/>
      <c r="AH142" s="326" t="s">
        <v>165</v>
      </c>
      <c r="AI142" s="322">
        <f t="shared" si="124"/>
        <v>0</v>
      </c>
      <c r="AJ142" s="251"/>
      <c r="AK142" s="326" t="s">
        <v>163</v>
      </c>
      <c r="AL142" s="322">
        <f t="shared" si="124"/>
        <v>0</v>
      </c>
      <c r="AM142" s="251"/>
      <c r="AN142" s="326" t="s">
        <v>165</v>
      </c>
      <c r="AO142" s="322">
        <f t="shared" si="124"/>
        <v>0</v>
      </c>
      <c r="AP142" s="251"/>
      <c r="AQ142" s="326" t="s">
        <v>163</v>
      </c>
      <c r="AR142" s="322">
        <f t="shared" si="124"/>
        <v>0</v>
      </c>
      <c r="AS142" s="251"/>
      <c r="AT142" s="326" t="s">
        <v>170</v>
      </c>
      <c r="AU142" s="322">
        <f t="shared" si="124"/>
        <v>0</v>
      </c>
      <c r="AV142" s="251"/>
      <c r="AW142" s="326" t="s">
        <v>166</v>
      </c>
      <c r="AX142" s="322">
        <f t="shared" si="124"/>
        <v>0</v>
      </c>
      <c r="AY142" s="251"/>
      <c r="AZ142" s="539" t="s">
        <v>163</v>
      </c>
      <c r="BA142" s="322">
        <f t="shared" si="124"/>
        <v>0</v>
      </c>
      <c r="BB142" s="251"/>
      <c r="BC142" s="326" t="s">
        <v>163</v>
      </c>
      <c r="BD142" s="322">
        <f t="shared" si="124"/>
        <v>0</v>
      </c>
      <c r="BE142" s="251"/>
      <c r="BF142" s="326"/>
      <c r="BG142" s="322">
        <f t="shared" si="124"/>
        <v>0</v>
      </c>
      <c r="BH142" s="251"/>
      <c r="BI142" s="326"/>
      <c r="BJ142" s="322">
        <f t="shared" si="124"/>
        <v>0</v>
      </c>
      <c r="BK142" s="251"/>
      <c r="BL142" s="326"/>
      <c r="BM142" s="322">
        <f t="shared" si="124"/>
        <v>0</v>
      </c>
      <c r="BN142" s="251"/>
      <c r="BO142" s="326"/>
      <c r="BP142" s="322">
        <f t="shared" si="124"/>
        <v>0</v>
      </c>
      <c r="BQ142" s="251"/>
      <c r="BR142" s="326"/>
      <c r="BS142" s="322">
        <f t="shared" si="124"/>
        <v>0</v>
      </c>
      <c r="BT142" s="251"/>
      <c r="BU142" s="326"/>
      <c r="BV142" s="322">
        <f t="shared" si="124"/>
        <v>0</v>
      </c>
      <c r="BW142" s="251"/>
      <c r="BX142" s="326"/>
      <c r="BY142" s="322">
        <f t="shared" si="124"/>
        <v>0</v>
      </c>
      <c r="BZ142" s="251"/>
      <c r="CA142" s="326"/>
      <c r="CB142" s="322">
        <f t="shared" si="123"/>
        <v>0</v>
      </c>
      <c r="CC142" s="251"/>
      <c r="CD142" s="326"/>
      <c r="CE142" s="322">
        <f t="shared" si="123"/>
        <v>0</v>
      </c>
      <c r="CF142" s="251"/>
      <c r="CG142" s="251"/>
      <c r="CH142" s="251"/>
    </row>
    <row r="143" spans="1:86" ht="15" customHeight="1">
      <c r="A143" s="219"/>
      <c r="B143" s="219"/>
      <c r="C143" s="219"/>
      <c r="D143" s="219"/>
      <c r="E143" s="219"/>
      <c r="F143" s="561"/>
      <c r="G143" s="319" t="str">
        <f>CONCATENATE(League!D139,"-",League!K139)</f>
        <v>Manchester City-Galatasaray</v>
      </c>
      <c r="H143" s="320" t="str">
        <f>CONCATENATE(IF(League!G139&gt;League!H139,1,IF(League!G139&lt;League!H139,2,IF(AND(League!G139=League!H139,League!G139&lt;&gt;"",League!H139&lt;&gt;""),"X",0))),"|",League!G139,"-",League!H139)</f>
        <v>0|-</v>
      </c>
      <c r="I143" s="219"/>
      <c r="J143" s="458" t="s">
        <v>172</v>
      </c>
      <c r="K143" s="322">
        <f t="shared" si="122"/>
        <v>0</v>
      </c>
      <c r="L143" s="251"/>
      <c r="M143" s="326" t="s">
        <v>165</v>
      </c>
      <c r="N143" s="322">
        <f t="shared" si="124"/>
        <v>0</v>
      </c>
      <c r="O143" s="251"/>
      <c r="P143" s="326" t="s">
        <v>171</v>
      </c>
      <c r="Q143" s="322">
        <f t="shared" si="124"/>
        <v>0</v>
      </c>
      <c r="R143" s="251"/>
      <c r="S143" s="326" t="s">
        <v>171</v>
      </c>
      <c r="T143" s="322">
        <f t="shared" si="124"/>
        <v>0</v>
      </c>
      <c r="U143" s="251"/>
      <c r="V143" s="326" t="s">
        <v>166</v>
      </c>
      <c r="W143" s="322">
        <f t="shared" si="124"/>
        <v>0</v>
      </c>
      <c r="X143" s="251"/>
      <c r="Y143" s="326" t="s">
        <v>170</v>
      </c>
      <c r="Z143" s="322">
        <f t="shared" si="124"/>
        <v>0</v>
      </c>
      <c r="AA143" s="251"/>
      <c r="AB143" s="326" t="s">
        <v>165</v>
      </c>
      <c r="AC143" s="322">
        <f t="shared" si="124"/>
        <v>0</v>
      </c>
      <c r="AD143" s="251"/>
      <c r="AE143" s="326" t="s">
        <v>170</v>
      </c>
      <c r="AF143" s="322">
        <f t="shared" si="124"/>
        <v>0</v>
      </c>
      <c r="AG143" s="251"/>
      <c r="AH143" s="326" t="s">
        <v>167</v>
      </c>
      <c r="AI143" s="322">
        <f t="shared" si="124"/>
        <v>0</v>
      </c>
      <c r="AJ143" s="251"/>
      <c r="AK143" s="326" t="s">
        <v>163</v>
      </c>
      <c r="AL143" s="322">
        <f t="shared" si="124"/>
        <v>0</v>
      </c>
      <c r="AM143" s="251"/>
      <c r="AN143" s="326" t="s">
        <v>165</v>
      </c>
      <c r="AO143" s="322">
        <f t="shared" si="124"/>
        <v>0</v>
      </c>
      <c r="AP143" s="251"/>
      <c r="AQ143" s="326" t="s">
        <v>166</v>
      </c>
      <c r="AR143" s="322">
        <f t="shared" si="124"/>
        <v>0</v>
      </c>
      <c r="AS143" s="251"/>
      <c r="AT143" s="326" t="s">
        <v>167</v>
      </c>
      <c r="AU143" s="322">
        <f t="shared" si="124"/>
        <v>0</v>
      </c>
      <c r="AV143" s="251"/>
      <c r="AW143" s="326" t="s">
        <v>170</v>
      </c>
      <c r="AX143" s="322">
        <f t="shared" si="124"/>
        <v>0</v>
      </c>
      <c r="AY143" s="251"/>
      <c r="AZ143" s="539" t="s">
        <v>167</v>
      </c>
      <c r="BA143" s="322">
        <f t="shared" si="124"/>
        <v>0</v>
      </c>
      <c r="BB143" s="251"/>
      <c r="BC143" s="326" t="s">
        <v>170</v>
      </c>
      <c r="BD143" s="322">
        <f t="shared" si="124"/>
        <v>0</v>
      </c>
      <c r="BE143" s="251"/>
      <c r="BF143" s="326"/>
      <c r="BG143" s="322">
        <f t="shared" si="124"/>
        <v>0</v>
      </c>
      <c r="BH143" s="251"/>
      <c r="BI143" s="326"/>
      <c r="BJ143" s="322">
        <f t="shared" si="124"/>
        <v>0</v>
      </c>
      <c r="BK143" s="251"/>
      <c r="BL143" s="326"/>
      <c r="BM143" s="322">
        <f t="shared" si="124"/>
        <v>0</v>
      </c>
      <c r="BN143" s="251"/>
      <c r="BO143" s="326"/>
      <c r="BP143" s="322">
        <f t="shared" si="124"/>
        <v>0</v>
      </c>
      <c r="BQ143" s="251"/>
      <c r="BR143" s="326"/>
      <c r="BS143" s="322">
        <f t="shared" si="124"/>
        <v>0</v>
      </c>
      <c r="BT143" s="251"/>
      <c r="BU143" s="326"/>
      <c r="BV143" s="322">
        <f t="shared" si="124"/>
        <v>0</v>
      </c>
      <c r="BW143" s="251"/>
      <c r="BX143" s="326"/>
      <c r="BY143" s="322">
        <f t="shared" si="124"/>
        <v>0</v>
      </c>
      <c r="BZ143" s="251"/>
      <c r="CA143" s="326"/>
      <c r="CB143" s="322">
        <f t="shared" si="123"/>
        <v>0</v>
      </c>
      <c r="CC143" s="251"/>
      <c r="CD143" s="326"/>
      <c r="CE143" s="322">
        <f t="shared" si="123"/>
        <v>0</v>
      </c>
      <c r="CF143" s="251"/>
      <c r="CG143" s="251"/>
      <c r="CH143" s="251"/>
    </row>
    <row r="144" spans="1:86" ht="15" customHeight="1">
      <c r="A144" s="219"/>
      <c r="B144" s="219"/>
      <c r="C144" s="219"/>
      <c r="D144" s="219"/>
      <c r="E144" s="219"/>
      <c r="F144" s="561"/>
      <c r="G144" s="328" t="str">
        <f>CONCATENATE(League!D140,"-",League!K140)</f>
        <v>Pafos-Slavia Praha</v>
      </c>
      <c r="H144" s="320" t="str">
        <f>CONCATENATE(IF(League!G140&gt;League!H140,1,IF(League!G140&lt;League!H140,2,IF(AND(League!G140=League!H140,League!G140&lt;&gt;"",League!H140&lt;&gt;""),"X",0))),"|",League!G140,"-",League!H140)</f>
        <v>0|-</v>
      </c>
      <c r="I144" s="219"/>
      <c r="J144" s="458" t="s">
        <v>176</v>
      </c>
      <c r="K144" s="322">
        <f t="shared" si="122"/>
        <v>0</v>
      </c>
      <c r="L144" s="251"/>
      <c r="M144" s="326" t="s">
        <v>158</v>
      </c>
      <c r="N144" s="322">
        <f t="shared" si="124"/>
        <v>0</v>
      </c>
      <c r="O144" s="251"/>
      <c r="P144" s="326" t="s">
        <v>161</v>
      </c>
      <c r="Q144" s="322">
        <f t="shared" si="124"/>
        <v>0</v>
      </c>
      <c r="R144" s="251"/>
      <c r="S144" s="326" t="s">
        <v>160</v>
      </c>
      <c r="T144" s="322">
        <f t="shared" si="124"/>
        <v>0</v>
      </c>
      <c r="U144" s="251"/>
      <c r="V144" s="326" t="s">
        <v>160</v>
      </c>
      <c r="W144" s="322">
        <f t="shared" si="124"/>
        <v>0</v>
      </c>
      <c r="X144" s="251"/>
      <c r="Y144" s="326" t="s">
        <v>174</v>
      </c>
      <c r="Z144" s="322">
        <f t="shared" si="124"/>
        <v>0</v>
      </c>
      <c r="AA144" s="251"/>
      <c r="AB144" s="326" t="s">
        <v>164</v>
      </c>
      <c r="AC144" s="322">
        <f t="shared" si="124"/>
        <v>0</v>
      </c>
      <c r="AD144" s="251"/>
      <c r="AE144" s="326" t="s">
        <v>166</v>
      </c>
      <c r="AF144" s="322">
        <f t="shared" si="124"/>
        <v>0</v>
      </c>
      <c r="AG144" s="251"/>
      <c r="AH144" s="326" t="s">
        <v>162</v>
      </c>
      <c r="AI144" s="322">
        <f t="shared" si="124"/>
        <v>0</v>
      </c>
      <c r="AJ144" s="251"/>
      <c r="AK144" s="326" t="s">
        <v>162</v>
      </c>
      <c r="AL144" s="322">
        <f t="shared" si="124"/>
        <v>0</v>
      </c>
      <c r="AM144" s="251"/>
      <c r="AN144" s="326" t="s">
        <v>174</v>
      </c>
      <c r="AO144" s="322">
        <f t="shared" si="124"/>
        <v>0</v>
      </c>
      <c r="AP144" s="251"/>
      <c r="AQ144" s="326" t="s">
        <v>159</v>
      </c>
      <c r="AR144" s="322">
        <f t="shared" si="124"/>
        <v>0</v>
      </c>
      <c r="AS144" s="251"/>
      <c r="AT144" s="326" t="s">
        <v>158</v>
      </c>
      <c r="AU144" s="322">
        <f t="shared" si="124"/>
        <v>0</v>
      </c>
      <c r="AV144" s="251"/>
      <c r="AW144" s="326" t="s">
        <v>161</v>
      </c>
      <c r="AX144" s="322">
        <f t="shared" si="124"/>
        <v>0</v>
      </c>
      <c r="AY144" s="251"/>
      <c r="AZ144" s="539" t="s">
        <v>158</v>
      </c>
      <c r="BA144" s="322">
        <f t="shared" si="124"/>
        <v>0</v>
      </c>
      <c r="BB144" s="251"/>
      <c r="BC144" s="326" t="s">
        <v>160</v>
      </c>
      <c r="BD144" s="322">
        <f t="shared" si="124"/>
        <v>0</v>
      </c>
      <c r="BE144" s="251"/>
      <c r="BF144" s="326"/>
      <c r="BG144" s="322">
        <f t="shared" si="124"/>
        <v>0</v>
      </c>
      <c r="BH144" s="251"/>
      <c r="BI144" s="326"/>
      <c r="BJ144" s="322">
        <f t="shared" si="124"/>
        <v>0</v>
      </c>
      <c r="BK144" s="251"/>
      <c r="BL144" s="326"/>
      <c r="BM144" s="322">
        <f t="shared" si="124"/>
        <v>0</v>
      </c>
      <c r="BN144" s="251"/>
      <c r="BO144" s="326"/>
      <c r="BP144" s="322">
        <f t="shared" si="124"/>
        <v>0</v>
      </c>
      <c r="BQ144" s="251"/>
      <c r="BR144" s="326"/>
      <c r="BS144" s="322">
        <f t="shared" si="124"/>
        <v>0</v>
      </c>
      <c r="BT144" s="251"/>
      <c r="BU144" s="326"/>
      <c r="BV144" s="322">
        <f t="shared" si="124"/>
        <v>0</v>
      </c>
      <c r="BW144" s="251"/>
      <c r="BX144" s="326"/>
      <c r="BY144" s="322">
        <f t="shared" si="124"/>
        <v>0</v>
      </c>
      <c r="BZ144" s="251"/>
      <c r="CA144" s="326"/>
      <c r="CB144" s="322">
        <f t="shared" si="123"/>
        <v>0</v>
      </c>
      <c r="CC144" s="251"/>
      <c r="CD144" s="326"/>
      <c r="CE144" s="322">
        <f t="shared" si="123"/>
        <v>0</v>
      </c>
      <c r="CF144" s="251"/>
      <c r="CG144" s="251"/>
      <c r="CH144" s="251"/>
    </row>
    <row r="145" spans="1:86" ht="15" customHeight="1">
      <c r="A145" s="219"/>
      <c r="B145" s="219"/>
      <c r="C145" s="219"/>
      <c r="D145" s="219"/>
      <c r="E145" s="219"/>
      <c r="F145" s="561"/>
      <c r="G145" s="319" t="str">
        <f>CONCATENATE(League!D141,"-",League!K141)</f>
        <v>PSG-Newcastle</v>
      </c>
      <c r="H145" s="320" t="str">
        <f>CONCATENATE(IF(League!G141&gt;League!H141,1,IF(League!G141&lt;League!H141,2,IF(AND(League!G141=League!H141,League!G141&lt;&gt;"",League!H141&lt;&gt;""),"X",0))),"|",League!G141,"-",League!H141)</f>
        <v>0|-</v>
      </c>
      <c r="I145" s="219"/>
      <c r="J145" s="458" t="s">
        <v>160</v>
      </c>
      <c r="K145" s="322">
        <f t="shared" si="122"/>
        <v>0</v>
      </c>
      <c r="L145" s="251"/>
      <c r="M145" s="326" t="s">
        <v>166</v>
      </c>
      <c r="N145" s="322">
        <f t="shared" si="124"/>
        <v>0</v>
      </c>
      <c r="O145" s="251"/>
      <c r="P145" s="326" t="s">
        <v>170</v>
      </c>
      <c r="Q145" s="322">
        <f t="shared" si="124"/>
        <v>0</v>
      </c>
      <c r="R145" s="251"/>
      <c r="S145" s="326" t="s">
        <v>165</v>
      </c>
      <c r="T145" s="322">
        <f t="shared" si="124"/>
        <v>0</v>
      </c>
      <c r="U145" s="251"/>
      <c r="V145" s="326" t="s">
        <v>166</v>
      </c>
      <c r="W145" s="322">
        <f t="shared" si="124"/>
        <v>0</v>
      </c>
      <c r="X145" s="251"/>
      <c r="Y145" s="326" t="s">
        <v>167</v>
      </c>
      <c r="Z145" s="322">
        <f t="shared" si="124"/>
        <v>0</v>
      </c>
      <c r="AA145" s="251"/>
      <c r="AB145" s="326" t="s">
        <v>167</v>
      </c>
      <c r="AC145" s="322">
        <f t="shared" si="124"/>
        <v>0</v>
      </c>
      <c r="AD145" s="251"/>
      <c r="AE145" s="326" t="s">
        <v>165</v>
      </c>
      <c r="AF145" s="322">
        <f t="shared" si="124"/>
        <v>0</v>
      </c>
      <c r="AG145" s="251"/>
      <c r="AH145" s="326" t="s">
        <v>160</v>
      </c>
      <c r="AI145" s="322">
        <f t="shared" si="124"/>
        <v>0</v>
      </c>
      <c r="AJ145" s="251"/>
      <c r="AK145" s="326" t="s">
        <v>163</v>
      </c>
      <c r="AL145" s="322">
        <f t="shared" si="124"/>
        <v>0</v>
      </c>
      <c r="AM145" s="251"/>
      <c r="AN145" s="326" t="s">
        <v>167</v>
      </c>
      <c r="AO145" s="322">
        <f t="shared" si="124"/>
        <v>0</v>
      </c>
      <c r="AP145" s="251"/>
      <c r="AQ145" s="326" t="s">
        <v>169</v>
      </c>
      <c r="AR145" s="322">
        <f t="shared" si="124"/>
        <v>0</v>
      </c>
      <c r="AS145" s="251"/>
      <c r="AT145" s="326" t="s">
        <v>160</v>
      </c>
      <c r="AU145" s="322">
        <f t="shared" si="124"/>
        <v>0</v>
      </c>
      <c r="AV145" s="251"/>
      <c r="AW145" s="326" t="s">
        <v>166</v>
      </c>
      <c r="AX145" s="322">
        <f t="shared" si="124"/>
        <v>0</v>
      </c>
      <c r="AY145" s="251"/>
      <c r="AZ145" s="539" t="s">
        <v>166</v>
      </c>
      <c r="BA145" s="322">
        <f t="shared" si="124"/>
        <v>0</v>
      </c>
      <c r="BB145" s="251"/>
      <c r="BC145" s="326" t="s">
        <v>170</v>
      </c>
      <c r="BD145" s="322">
        <f t="shared" si="124"/>
        <v>0</v>
      </c>
      <c r="BE145" s="251"/>
      <c r="BF145" s="326"/>
      <c r="BG145" s="322">
        <f t="shared" si="124"/>
        <v>0</v>
      </c>
      <c r="BH145" s="251"/>
      <c r="BI145" s="326"/>
      <c r="BJ145" s="322">
        <f t="shared" si="124"/>
        <v>0</v>
      </c>
      <c r="BK145" s="251"/>
      <c r="BL145" s="326"/>
      <c r="BM145" s="322">
        <f t="shared" si="124"/>
        <v>0</v>
      </c>
      <c r="BN145" s="251"/>
      <c r="BO145" s="326"/>
      <c r="BP145" s="322">
        <f t="shared" si="124"/>
        <v>0</v>
      </c>
      <c r="BQ145" s="251"/>
      <c r="BR145" s="326"/>
      <c r="BS145" s="322">
        <f t="shared" si="124"/>
        <v>0</v>
      </c>
      <c r="BT145" s="251"/>
      <c r="BU145" s="326"/>
      <c r="BV145" s="322">
        <f t="shared" si="124"/>
        <v>0</v>
      </c>
      <c r="BW145" s="251"/>
      <c r="BX145" s="326"/>
      <c r="BY145" s="322">
        <f t="shared" si="124"/>
        <v>0</v>
      </c>
      <c r="BZ145" s="251"/>
      <c r="CA145" s="326"/>
      <c r="CB145" s="322">
        <f t="shared" si="123"/>
        <v>0</v>
      </c>
      <c r="CC145" s="251"/>
      <c r="CD145" s="326"/>
      <c r="CE145" s="322">
        <f t="shared" si="123"/>
        <v>0</v>
      </c>
      <c r="CF145" s="251"/>
      <c r="CG145" s="251"/>
      <c r="CH145" s="251"/>
    </row>
    <row r="146" spans="1:86" ht="15" customHeight="1">
      <c r="A146" s="219"/>
      <c r="B146" s="219"/>
      <c r="C146" s="219"/>
      <c r="D146" s="219"/>
      <c r="E146" s="219"/>
      <c r="F146" s="561"/>
      <c r="G146" s="328" t="str">
        <f>CONCATENATE(League!D142,"-",League!K142)</f>
        <v>PSV Eindhoven-Bayern München</v>
      </c>
      <c r="H146" s="320" t="str">
        <f>CONCATENATE(IF(League!G142&gt;League!H142,1,IF(League!G142&lt;League!H142,2,IF(AND(League!G142=League!H142,League!G142&lt;&gt;"",League!H142&lt;&gt;""),"X",0))),"|",League!G142,"-",League!H142)</f>
        <v>0|-</v>
      </c>
      <c r="I146" s="219"/>
      <c r="J146" s="458" t="s">
        <v>162</v>
      </c>
      <c r="K146" s="322">
        <f t="shared" si="122"/>
        <v>0</v>
      </c>
      <c r="L146" s="251"/>
      <c r="M146" s="326" t="s">
        <v>161</v>
      </c>
      <c r="N146" s="322">
        <f t="shared" si="124"/>
        <v>0</v>
      </c>
      <c r="O146" s="251"/>
      <c r="P146" s="326" t="s">
        <v>177</v>
      </c>
      <c r="Q146" s="322">
        <f t="shared" si="124"/>
        <v>0</v>
      </c>
      <c r="R146" s="251"/>
      <c r="S146" s="326" t="s">
        <v>177</v>
      </c>
      <c r="T146" s="322">
        <f t="shared" si="124"/>
        <v>0</v>
      </c>
      <c r="U146" s="251"/>
      <c r="V146" s="326" t="s">
        <v>158</v>
      </c>
      <c r="W146" s="322">
        <f t="shared" si="124"/>
        <v>0</v>
      </c>
      <c r="X146" s="251"/>
      <c r="Y146" s="326" t="s">
        <v>159</v>
      </c>
      <c r="Z146" s="322">
        <f t="shared" si="124"/>
        <v>0</v>
      </c>
      <c r="AA146" s="251"/>
      <c r="AB146" s="326" t="s">
        <v>161</v>
      </c>
      <c r="AC146" s="322">
        <f t="shared" si="124"/>
        <v>0</v>
      </c>
      <c r="AD146" s="251"/>
      <c r="AE146" s="326" t="s">
        <v>173</v>
      </c>
      <c r="AF146" s="322">
        <f t="shared" si="124"/>
        <v>0</v>
      </c>
      <c r="AG146" s="251"/>
      <c r="AH146" s="326" t="s">
        <v>158</v>
      </c>
      <c r="AI146" s="322">
        <f t="shared" si="124"/>
        <v>0</v>
      </c>
      <c r="AJ146" s="251"/>
      <c r="AK146" s="326" t="s">
        <v>159</v>
      </c>
      <c r="AL146" s="322">
        <f t="shared" si="124"/>
        <v>0</v>
      </c>
      <c r="AM146" s="251"/>
      <c r="AN146" s="326" t="s">
        <v>157</v>
      </c>
      <c r="AO146" s="322">
        <f t="shared" si="124"/>
        <v>0</v>
      </c>
      <c r="AP146" s="251"/>
      <c r="AQ146" s="326" t="s">
        <v>161</v>
      </c>
      <c r="AR146" s="322">
        <f t="shared" si="124"/>
        <v>0</v>
      </c>
      <c r="AS146" s="251"/>
      <c r="AT146" s="326" t="s">
        <v>157</v>
      </c>
      <c r="AU146" s="322">
        <f t="shared" si="124"/>
        <v>0</v>
      </c>
      <c r="AV146" s="251"/>
      <c r="AW146" s="326" t="s">
        <v>161</v>
      </c>
      <c r="AX146" s="322">
        <f t="shared" si="124"/>
        <v>0</v>
      </c>
      <c r="AY146" s="251"/>
      <c r="AZ146" s="539" t="s">
        <v>161</v>
      </c>
      <c r="BA146" s="322">
        <f t="shared" si="124"/>
        <v>0</v>
      </c>
      <c r="BB146" s="251"/>
      <c r="BC146" s="326" t="s">
        <v>157</v>
      </c>
      <c r="BD146" s="322">
        <f t="shared" si="124"/>
        <v>0</v>
      </c>
      <c r="BE146" s="251"/>
      <c r="BF146" s="326"/>
      <c r="BG146" s="322">
        <f t="shared" si="124"/>
        <v>0</v>
      </c>
      <c r="BH146" s="251"/>
      <c r="BI146" s="326"/>
      <c r="BJ146" s="322">
        <f t="shared" si="124"/>
        <v>0</v>
      </c>
      <c r="BK146" s="251"/>
      <c r="BL146" s="326"/>
      <c r="BM146" s="322">
        <f t="shared" si="124"/>
        <v>0</v>
      </c>
      <c r="BN146" s="251"/>
      <c r="BO146" s="326"/>
      <c r="BP146" s="322">
        <f t="shared" si="124"/>
        <v>0</v>
      </c>
      <c r="BQ146" s="251"/>
      <c r="BR146" s="326"/>
      <c r="BS146" s="322">
        <f t="shared" si="124"/>
        <v>0</v>
      </c>
      <c r="BT146" s="251"/>
      <c r="BU146" s="326"/>
      <c r="BV146" s="322">
        <f t="shared" si="124"/>
        <v>0</v>
      </c>
      <c r="BW146" s="251"/>
      <c r="BX146" s="326"/>
      <c r="BY146" s="322">
        <f t="shared" si="124"/>
        <v>0</v>
      </c>
      <c r="BZ146" s="251"/>
      <c r="CA146" s="326"/>
      <c r="CB146" s="322">
        <f t="shared" si="123"/>
        <v>0</v>
      </c>
      <c r="CC146" s="251"/>
      <c r="CD146" s="326"/>
      <c r="CE146" s="322">
        <f t="shared" si="123"/>
        <v>0</v>
      </c>
      <c r="CF146" s="251"/>
      <c r="CG146" s="251"/>
      <c r="CH146" s="251"/>
    </row>
    <row r="147" spans="1:86" ht="15" customHeight="1">
      <c r="A147" s="219"/>
      <c r="B147" s="219"/>
      <c r="C147" s="219"/>
      <c r="D147" s="219"/>
      <c r="E147" s="219"/>
      <c r="F147" s="561"/>
      <c r="G147" s="319" t="str">
        <f>CONCATENATE(League!D143,"-",League!K143)</f>
        <v>Union Saint-Gilloise-Atalanta</v>
      </c>
      <c r="H147" s="320" t="str">
        <f>CONCATENATE(IF(League!G143&gt;League!H143,1,IF(League!G143&lt;League!H143,2,IF(AND(League!G143=League!H143,League!G143&lt;&gt;"",League!H143&lt;&gt;""),"X",0))),"|",League!G143,"-",League!H143)</f>
        <v>0|-</v>
      </c>
      <c r="I147" s="219"/>
      <c r="J147" s="458" t="s">
        <v>162</v>
      </c>
      <c r="K147" s="322">
        <f t="shared" si="122"/>
        <v>0</v>
      </c>
      <c r="L147" s="251"/>
      <c r="M147" s="326" t="s">
        <v>160</v>
      </c>
      <c r="N147" s="322">
        <f t="shared" si="124"/>
        <v>0</v>
      </c>
      <c r="O147" s="251"/>
      <c r="P147" s="326" t="s">
        <v>162</v>
      </c>
      <c r="Q147" s="322">
        <f t="shared" si="124"/>
        <v>0</v>
      </c>
      <c r="R147" s="251"/>
      <c r="S147" s="326" t="s">
        <v>174</v>
      </c>
      <c r="T147" s="322">
        <f t="shared" si="124"/>
        <v>0</v>
      </c>
      <c r="U147" s="251"/>
      <c r="V147" s="326" t="s">
        <v>158</v>
      </c>
      <c r="W147" s="322">
        <f t="shared" si="124"/>
        <v>0</v>
      </c>
      <c r="X147" s="251"/>
      <c r="Y147" s="326" t="s">
        <v>166</v>
      </c>
      <c r="Z147" s="322">
        <f t="shared" si="124"/>
        <v>0</v>
      </c>
      <c r="AA147" s="251"/>
      <c r="AB147" s="326" t="s">
        <v>160</v>
      </c>
      <c r="AC147" s="322">
        <f t="shared" si="124"/>
        <v>0</v>
      </c>
      <c r="AD147" s="251"/>
      <c r="AE147" s="326" t="s">
        <v>166</v>
      </c>
      <c r="AF147" s="322">
        <f t="shared" si="124"/>
        <v>0</v>
      </c>
      <c r="AG147" s="251"/>
      <c r="AH147" s="326" t="s">
        <v>159</v>
      </c>
      <c r="AI147" s="322">
        <f t="shared" si="124"/>
        <v>0</v>
      </c>
      <c r="AJ147" s="251"/>
      <c r="AK147" s="326" t="s">
        <v>159</v>
      </c>
      <c r="AL147" s="322">
        <f t="shared" si="124"/>
        <v>0</v>
      </c>
      <c r="AM147" s="251"/>
      <c r="AN147" s="326" t="s">
        <v>162</v>
      </c>
      <c r="AO147" s="322">
        <f t="shared" si="124"/>
        <v>0</v>
      </c>
      <c r="AP147" s="251"/>
      <c r="AQ147" s="326" t="s">
        <v>157</v>
      </c>
      <c r="AR147" s="322">
        <f t="shared" si="124"/>
        <v>0</v>
      </c>
      <c r="AS147" s="251"/>
      <c r="AT147" s="326" t="s">
        <v>162</v>
      </c>
      <c r="AU147" s="322">
        <f t="shared" si="124"/>
        <v>0</v>
      </c>
      <c r="AV147" s="251"/>
      <c r="AW147" s="326" t="s">
        <v>161</v>
      </c>
      <c r="AX147" s="322">
        <f t="shared" si="124"/>
        <v>0</v>
      </c>
      <c r="AY147" s="251"/>
      <c r="AZ147" s="539" t="s">
        <v>174</v>
      </c>
      <c r="BA147" s="322">
        <f t="shared" si="124"/>
        <v>0</v>
      </c>
      <c r="BB147" s="251"/>
      <c r="BC147" s="326" t="s">
        <v>161</v>
      </c>
      <c r="BD147" s="322">
        <f t="shared" si="124"/>
        <v>0</v>
      </c>
      <c r="BE147" s="251"/>
      <c r="BF147" s="326"/>
      <c r="BG147" s="322">
        <f t="shared" si="124"/>
        <v>0</v>
      </c>
      <c r="BH147" s="251"/>
      <c r="BI147" s="326"/>
      <c r="BJ147" s="322">
        <f t="shared" si="124"/>
        <v>0</v>
      </c>
      <c r="BK147" s="251"/>
      <c r="BL147" s="326"/>
      <c r="BM147" s="322">
        <f t="shared" si="124"/>
        <v>0</v>
      </c>
      <c r="BN147" s="251"/>
      <c r="BO147" s="326"/>
      <c r="BP147" s="322">
        <f t="shared" si="124"/>
        <v>0</v>
      </c>
      <c r="BQ147" s="251"/>
      <c r="BR147" s="326"/>
      <c r="BS147" s="322">
        <f t="shared" si="124"/>
        <v>0</v>
      </c>
      <c r="BT147" s="251"/>
      <c r="BU147" s="326"/>
      <c r="BV147" s="322">
        <f t="shared" si="124"/>
        <v>0</v>
      </c>
      <c r="BW147" s="251"/>
      <c r="BX147" s="326"/>
      <c r="BY147" s="322">
        <f t="shared" si="124"/>
        <v>0</v>
      </c>
      <c r="BZ147" s="251"/>
      <c r="CA147" s="326"/>
      <c r="CB147" s="322">
        <f t="shared" si="123"/>
        <v>0</v>
      </c>
      <c r="CC147" s="251"/>
      <c r="CD147" s="326"/>
      <c r="CE147" s="322">
        <f t="shared" si="123"/>
        <v>0</v>
      </c>
      <c r="CF147" s="251"/>
      <c r="CG147" s="251"/>
      <c r="CH147" s="251"/>
    </row>
    <row r="148" spans="1:86" ht="15" customHeight="1">
      <c r="A148" s="219"/>
      <c r="B148" s="219"/>
      <c r="C148" s="219"/>
      <c r="D148" s="219"/>
      <c r="E148" s="219"/>
      <c r="F148" s="561"/>
      <c r="G148" s="328" t="str">
        <f>CONCATENATE(League!D144,"-",League!K144)</f>
        <v>Benfica-Real Madrid</v>
      </c>
      <c r="H148" s="320" t="str">
        <f>CONCATENATE(IF(League!G144&gt;League!H144,1,IF(League!G144&lt;League!H144,2,IF(AND(League!G144=League!H144,League!G144&lt;&gt;"",League!H144&lt;&gt;""),"X",0))),"|",League!G144,"-",League!H144)</f>
        <v>0|-</v>
      </c>
      <c r="I148" s="219"/>
      <c r="J148" s="458" t="s">
        <v>160</v>
      </c>
      <c r="K148" s="322">
        <f t="shared" si="122"/>
        <v>0</v>
      </c>
      <c r="L148" s="251"/>
      <c r="M148" s="326" t="s">
        <v>161</v>
      </c>
      <c r="N148" s="322">
        <f t="shared" si="124"/>
        <v>0</v>
      </c>
      <c r="O148" s="251"/>
      <c r="P148" s="326" t="s">
        <v>161</v>
      </c>
      <c r="Q148" s="322">
        <f t="shared" si="124"/>
        <v>0</v>
      </c>
      <c r="R148" s="251"/>
      <c r="S148" s="326" t="s">
        <v>157</v>
      </c>
      <c r="T148" s="322">
        <f t="shared" si="124"/>
        <v>0</v>
      </c>
      <c r="U148" s="251"/>
      <c r="V148" s="326" t="s">
        <v>160</v>
      </c>
      <c r="W148" s="322">
        <f t="shared" si="124"/>
        <v>0</v>
      </c>
      <c r="X148" s="251"/>
      <c r="Y148" s="326" t="s">
        <v>160</v>
      </c>
      <c r="Z148" s="322">
        <f t="shared" si="124"/>
        <v>0</v>
      </c>
      <c r="AA148" s="251"/>
      <c r="AB148" s="326" t="s">
        <v>162</v>
      </c>
      <c r="AC148" s="322">
        <f t="shared" si="124"/>
        <v>0</v>
      </c>
      <c r="AD148" s="251"/>
      <c r="AE148" s="326" t="s">
        <v>173</v>
      </c>
      <c r="AF148" s="322">
        <f t="shared" si="124"/>
        <v>0</v>
      </c>
      <c r="AG148" s="251"/>
      <c r="AH148" s="326" t="s">
        <v>173</v>
      </c>
      <c r="AI148" s="322">
        <f t="shared" si="124"/>
        <v>0</v>
      </c>
      <c r="AJ148" s="251"/>
      <c r="AK148" s="326" t="s">
        <v>162</v>
      </c>
      <c r="AL148" s="322">
        <f t="shared" si="124"/>
        <v>0</v>
      </c>
      <c r="AM148" s="251"/>
      <c r="AN148" s="326" t="s">
        <v>161</v>
      </c>
      <c r="AO148" s="322">
        <f t="shared" si="124"/>
        <v>0</v>
      </c>
      <c r="AP148" s="251"/>
      <c r="AQ148" s="326" t="s">
        <v>157</v>
      </c>
      <c r="AR148" s="322">
        <f t="shared" si="124"/>
        <v>0</v>
      </c>
      <c r="AS148" s="251"/>
      <c r="AT148" s="326" t="s">
        <v>161</v>
      </c>
      <c r="AU148" s="322">
        <f t="shared" si="124"/>
        <v>0</v>
      </c>
      <c r="AV148" s="251"/>
      <c r="AW148" s="326" t="s">
        <v>157</v>
      </c>
      <c r="AX148" s="322">
        <f t="shared" si="124"/>
        <v>0</v>
      </c>
      <c r="AY148" s="251"/>
      <c r="AZ148" s="539" t="s">
        <v>161</v>
      </c>
      <c r="BA148" s="322">
        <f t="shared" si="124"/>
        <v>0</v>
      </c>
      <c r="BB148" s="251"/>
      <c r="BC148" s="326" t="s">
        <v>175</v>
      </c>
      <c r="BD148" s="322">
        <f t="shared" si="124"/>
        <v>0</v>
      </c>
      <c r="BE148" s="251"/>
      <c r="BF148" s="326"/>
      <c r="BG148" s="322">
        <f t="shared" si="124"/>
        <v>0</v>
      </c>
      <c r="BH148" s="251"/>
      <c r="BI148" s="326"/>
      <c r="BJ148" s="322">
        <f t="shared" si="124"/>
        <v>0</v>
      </c>
      <c r="BK148" s="251"/>
      <c r="BL148" s="326"/>
      <c r="BM148" s="322">
        <f t="shared" si="124"/>
        <v>0</v>
      </c>
      <c r="BN148" s="251"/>
      <c r="BO148" s="326"/>
      <c r="BP148" s="322">
        <f t="shared" si="124"/>
        <v>0</v>
      </c>
      <c r="BQ148" s="251"/>
      <c r="BR148" s="326"/>
      <c r="BS148" s="322">
        <f t="shared" si="124"/>
        <v>0</v>
      </c>
      <c r="BT148" s="251"/>
      <c r="BU148" s="326"/>
      <c r="BV148" s="322">
        <f t="shared" si="124"/>
        <v>0</v>
      </c>
      <c r="BW148" s="251"/>
      <c r="BX148" s="326"/>
      <c r="BY148" s="322">
        <f t="shared" si="124"/>
        <v>0</v>
      </c>
      <c r="BZ148" s="251"/>
      <c r="CA148" s="326"/>
      <c r="CB148" s="322">
        <f t="shared" si="123"/>
        <v>0</v>
      </c>
      <c r="CC148" s="251"/>
      <c r="CD148" s="326"/>
      <c r="CE148" s="322">
        <f t="shared" si="123"/>
        <v>0</v>
      </c>
      <c r="CF148" s="251"/>
      <c r="CG148" s="251"/>
      <c r="CH148" s="251"/>
    </row>
    <row r="149" spans="1:86" ht="15" customHeight="1">
      <c r="A149" s="219"/>
      <c r="B149" s="219"/>
      <c r="C149" s="219"/>
      <c r="D149" s="219"/>
      <c r="E149" s="219"/>
      <c r="F149" s="561"/>
      <c r="G149" s="367" t="str">
        <f>CONCATENATE(League!D145,"-",League!K145)</f>
        <v>Napoli-Chelsea</v>
      </c>
      <c r="H149" s="367" t="str">
        <f>CONCATENATE(IF(League!G145&gt;League!H145,1,IF(League!G145&lt;League!H145,2,IF(AND(League!G145=League!H145,League!G145&lt;&gt;"",League!H145&lt;&gt;""),"X",0))),"|",League!G145,"-",League!H145)</f>
        <v>0|-</v>
      </c>
      <c r="I149" s="219"/>
      <c r="J149" s="459" t="s">
        <v>158</v>
      </c>
      <c r="K149" s="322">
        <f t="shared" si="122"/>
        <v>0</v>
      </c>
      <c r="L149" s="251"/>
      <c r="M149" s="326" t="s">
        <v>160</v>
      </c>
      <c r="N149" s="322">
        <f t="shared" si="124"/>
        <v>0</v>
      </c>
      <c r="O149" s="251"/>
      <c r="P149" s="326" t="s">
        <v>157</v>
      </c>
      <c r="Q149" s="322">
        <f t="shared" si="124"/>
        <v>0</v>
      </c>
      <c r="R149" s="251"/>
      <c r="S149" s="326" t="s">
        <v>162</v>
      </c>
      <c r="T149" s="322">
        <f t="shared" si="124"/>
        <v>0</v>
      </c>
      <c r="U149" s="251"/>
      <c r="V149" s="326" t="s">
        <v>176</v>
      </c>
      <c r="W149" s="322">
        <f t="shared" si="124"/>
        <v>0</v>
      </c>
      <c r="X149" s="251"/>
      <c r="Y149" s="326" t="s">
        <v>166</v>
      </c>
      <c r="Z149" s="322">
        <f t="shared" si="124"/>
        <v>0</v>
      </c>
      <c r="AA149" s="251"/>
      <c r="AB149" s="326" t="s">
        <v>166</v>
      </c>
      <c r="AC149" s="322">
        <f t="shared" si="124"/>
        <v>0</v>
      </c>
      <c r="AD149" s="251"/>
      <c r="AE149" s="326" t="s">
        <v>177</v>
      </c>
      <c r="AF149" s="322">
        <f t="shared" si="124"/>
        <v>0</v>
      </c>
      <c r="AG149" s="251"/>
      <c r="AH149" s="326" t="s">
        <v>173</v>
      </c>
      <c r="AI149" s="322">
        <f t="shared" si="124"/>
        <v>0</v>
      </c>
      <c r="AJ149" s="251"/>
      <c r="AK149" s="326" t="s">
        <v>166</v>
      </c>
      <c r="AL149" s="322">
        <f t="shared" si="124"/>
        <v>0</v>
      </c>
      <c r="AM149" s="251"/>
      <c r="AN149" s="326" t="s">
        <v>166</v>
      </c>
      <c r="AO149" s="322">
        <f t="shared" si="124"/>
        <v>0</v>
      </c>
      <c r="AP149" s="251"/>
      <c r="AQ149" s="326" t="s">
        <v>160</v>
      </c>
      <c r="AR149" s="322">
        <f t="shared" si="124"/>
        <v>0</v>
      </c>
      <c r="AS149" s="251"/>
      <c r="AT149" s="326" t="s">
        <v>160</v>
      </c>
      <c r="AU149" s="322">
        <f t="shared" si="124"/>
        <v>0</v>
      </c>
      <c r="AV149" s="251"/>
      <c r="AW149" s="326" t="s">
        <v>166</v>
      </c>
      <c r="AX149" s="322">
        <f t="shared" si="124"/>
        <v>0</v>
      </c>
      <c r="AY149" s="251"/>
      <c r="AZ149" s="540" t="s">
        <v>158</v>
      </c>
      <c r="BA149" s="322">
        <f t="shared" ref="BA149:CE149" si="125">IFERROR(SUM(IF($H149=AZ149,$D$10),IF(LEFT($H149,1)=LEFT(AZ149,1),$D$8),IF(MID($H149,FIND("|",$H149)+1,FIND("-",$H149)-FIND("|",$H149)-1)-MID($H149,FIND("-",$H149)+1,11)=MID(AZ149,FIND("|",AZ149)+1,FIND("-",AZ149)-FIND("|",AZ149)-1)-MID(AZ149,FIND("-",AZ149)+1,11),$D$9)),)</f>
        <v>0</v>
      </c>
      <c r="BB149" s="251"/>
      <c r="BC149" s="326" t="s">
        <v>160</v>
      </c>
      <c r="BD149" s="322">
        <f t="shared" si="125"/>
        <v>0</v>
      </c>
      <c r="BE149" s="251"/>
      <c r="BF149" s="326"/>
      <c r="BG149" s="322">
        <f t="shared" si="125"/>
        <v>0</v>
      </c>
      <c r="BH149" s="251"/>
      <c r="BI149" s="326"/>
      <c r="BJ149" s="322">
        <f t="shared" si="125"/>
        <v>0</v>
      </c>
      <c r="BK149" s="251"/>
      <c r="BL149" s="326"/>
      <c r="BM149" s="322">
        <f t="shared" si="125"/>
        <v>0</v>
      </c>
      <c r="BN149" s="251"/>
      <c r="BO149" s="326"/>
      <c r="BP149" s="322">
        <f t="shared" si="125"/>
        <v>0</v>
      </c>
      <c r="BQ149" s="251"/>
      <c r="BR149" s="326"/>
      <c r="BS149" s="322">
        <f t="shared" si="125"/>
        <v>0</v>
      </c>
      <c r="BT149" s="251"/>
      <c r="BU149" s="326"/>
      <c r="BV149" s="322">
        <f t="shared" si="125"/>
        <v>0</v>
      </c>
      <c r="BW149" s="251"/>
      <c r="BX149" s="326"/>
      <c r="BY149" s="322">
        <f t="shared" si="125"/>
        <v>0</v>
      </c>
      <c r="BZ149" s="251"/>
      <c r="CA149" s="326"/>
      <c r="CB149" s="322">
        <f t="shared" si="125"/>
        <v>0</v>
      </c>
      <c r="CC149" s="251"/>
      <c r="CD149" s="326"/>
      <c r="CE149" s="322">
        <f t="shared" si="125"/>
        <v>0</v>
      </c>
      <c r="CF149" s="251"/>
      <c r="CG149" s="251"/>
      <c r="CH149" s="251"/>
    </row>
    <row r="150" spans="1:86" s="369" customFormat="1">
      <c r="A150" s="265"/>
      <c r="B150" s="265"/>
      <c r="C150" s="265"/>
      <c r="D150" s="265"/>
      <c r="E150" s="265"/>
      <c r="F150" s="265"/>
      <c r="G150" s="265"/>
      <c r="H150" s="265"/>
      <c r="I150" s="265"/>
      <c r="J150" s="460"/>
      <c r="K150" s="265" t="str">
        <f>CONCATENATE(SUM(K6:K149),"/",SUM($D$8:$D$10)*COUNT(K6:K149))</f>
        <v>149/720</v>
      </c>
      <c r="L150" s="265"/>
      <c r="M150" s="368"/>
      <c r="N150" s="265" t="str">
        <f t="shared" ref="N150" si="126">CONCATENATE(SUM(N6:N149),"/",SUM($D$8:$D$10)*COUNT(N6:N149))</f>
        <v>153/720</v>
      </c>
      <c r="O150" s="265"/>
      <c r="P150" s="368"/>
      <c r="Q150" s="265" t="str">
        <f t="shared" ref="Q150" si="127">CONCATENATE(SUM(Q6:Q149),"/",SUM($D$8:$D$10)*COUNT(Q6:Q149))</f>
        <v>160/720</v>
      </c>
      <c r="R150" s="265"/>
      <c r="S150" s="368"/>
      <c r="T150" s="265" t="str">
        <f t="shared" ref="T150" si="128">CONCATENATE(SUM(T6:T149),"/",SUM($D$8:$D$10)*COUNT(T6:T149))</f>
        <v>166/720</v>
      </c>
      <c r="U150" s="265"/>
      <c r="V150" s="368"/>
      <c r="W150" s="265" t="str">
        <f t="shared" ref="W150" si="129">CONCATENATE(SUM(W6:W149),"/",SUM($D$8:$D$10)*COUNT(W6:W149))</f>
        <v>144/720</v>
      </c>
      <c r="X150" s="265"/>
      <c r="Y150" s="368"/>
      <c r="Z150" s="265" t="str">
        <f t="shared" ref="Z150" si="130">CONCATENATE(SUM(Z6:Z149),"/",SUM($D$8:$D$10)*COUNT(Z6:Z149))</f>
        <v>190/720</v>
      </c>
      <c r="AA150" s="265"/>
      <c r="AB150" s="368"/>
      <c r="AC150" s="265" t="str">
        <f t="shared" ref="AC150" si="131">CONCATENATE(SUM(AC6:AC149),"/",SUM($D$8:$D$10)*COUNT(AC6:AC149))</f>
        <v>158/720</v>
      </c>
      <c r="AD150" s="265"/>
      <c r="AE150" s="368"/>
      <c r="AF150" s="265" t="str">
        <f t="shared" ref="AF150" si="132">CONCATENATE(SUM(AF6:AF149),"/",SUM($D$8:$D$10)*COUNT(AF6:AF149))</f>
        <v>153/720</v>
      </c>
      <c r="AG150" s="265"/>
      <c r="AH150" s="368"/>
      <c r="AI150" s="265" t="str">
        <f t="shared" ref="AI150" si="133">CONCATENATE(SUM(AI6:AI149),"/",SUM($D$8:$D$10)*COUNT(AI6:AI149))</f>
        <v>170/720</v>
      </c>
      <c r="AJ150" s="265"/>
      <c r="AK150" s="368"/>
      <c r="AL150" s="265" t="str">
        <f t="shared" ref="AL150" si="134">CONCATENATE(SUM(AL6:AL149),"/",SUM($D$8:$D$10)*COUNT(AL6:AL149))</f>
        <v>173/720</v>
      </c>
      <c r="AM150" s="265"/>
      <c r="AN150" s="368"/>
      <c r="AO150" s="265" t="str">
        <f t="shared" ref="AO150" si="135">CONCATENATE(SUM(AO6:AO149),"/",SUM($D$8:$D$10)*COUNT(AO6:AO149))</f>
        <v>147/720</v>
      </c>
      <c r="AP150" s="265"/>
      <c r="AQ150" s="368"/>
      <c r="AR150" s="265" t="str">
        <f t="shared" ref="AR150" si="136">CONCATENATE(SUM(AR6:AR149),"/",SUM($D$8:$D$10)*COUNT(AR6:AR149))</f>
        <v>155/720</v>
      </c>
      <c r="AS150" s="265"/>
      <c r="AT150" s="368"/>
      <c r="AU150" s="265" t="str">
        <f t="shared" ref="AU150" si="137">CONCATENATE(SUM(AU6:AU149),"/",SUM($D$8:$D$10)*COUNT(AU6:AU149))</f>
        <v>123/720</v>
      </c>
      <c r="AV150" s="265"/>
      <c r="AW150" s="368"/>
      <c r="AX150" s="265" t="str">
        <f t="shared" ref="AX150" si="138">CONCATENATE(SUM(AX6:AX149),"/",SUM($D$8:$D$10)*COUNT(AX6:AX149))</f>
        <v>163/720</v>
      </c>
      <c r="AY150" s="265"/>
      <c r="AZ150" s="541"/>
      <c r="BA150" s="265" t="str">
        <f t="shared" ref="BA150" si="139">CONCATENATE(SUM(BA6:BA149),"/",SUM($D$8:$D$10)*COUNT(BA6:BA149))</f>
        <v>158/720</v>
      </c>
      <c r="BB150" s="265"/>
      <c r="BC150" s="368"/>
      <c r="BD150" s="265" t="str">
        <f t="shared" ref="BD150" si="140">CONCATENATE(SUM(BD6:BD149),"/",SUM($D$8:$D$10)*COUNT(BD6:BD149))</f>
        <v>151/720</v>
      </c>
      <c r="BE150" s="265"/>
      <c r="BF150" s="368"/>
      <c r="BG150" s="265" t="str">
        <f t="shared" ref="BG150" si="141">CONCATENATE(SUM(BG6:BG149),"/",SUM($D$8:$D$10)*COUNT(BG6:BG149))</f>
        <v>0/720</v>
      </c>
      <c r="BH150" s="265"/>
      <c r="BI150" s="368"/>
      <c r="BJ150" s="265" t="str">
        <f t="shared" ref="BJ150" si="142">CONCATENATE(SUM(BJ6:BJ149),"/",SUM($D$8:$D$10)*COUNT(BJ6:BJ149))</f>
        <v>0/720</v>
      </c>
      <c r="BK150" s="265"/>
      <c r="BL150" s="368"/>
      <c r="BM150" s="265" t="str">
        <f t="shared" ref="BM150" si="143">CONCATENATE(SUM(BM6:BM149),"/",SUM($D$8:$D$10)*COUNT(BM6:BM149))</f>
        <v>0/720</v>
      </c>
      <c r="BN150" s="265"/>
      <c r="BO150" s="368"/>
      <c r="BP150" s="265" t="str">
        <f t="shared" ref="BP150" si="144">CONCATENATE(SUM(BP6:BP149),"/",SUM($D$8:$D$10)*COUNT(BP6:BP149))</f>
        <v>0/720</v>
      </c>
      <c r="BQ150" s="265"/>
      <c r="BR150" s="368"/>
      <c r="BS150" s="265" t="str">
        <f t="shared" ref="BS150" si="145">CONCATENATE(SUM(BS6:BS149),"/",SUM($D$8:$D$10)*COUNT(BS6:BS149))</f>
        <v>0/720</v>
      </c>
      <c r="BT150" s="265"/>
      <c r="BU150" s="368"/>
      <c r="BV150" s="265" t="str">
        <f t="shared" ref="BV150" si="146">CONCATENATE(SUM(BV6:BV149),"/",SUM($D$8:$D$10)*COUNT(BV6:BV149))</f>
        <v>0/720</v>
      </c>
      <c r="BW150" s="265"/>
      <c r="BX150" s="368"/>
      <c r="BY150" s="265" t="str">
        <f t="shared" ref="BY150" si="147">CONCATENATE(SUM(BY6:BY149),"/",SUM($D$8:$D$10)*COUNT(BY6:BY149))</f>
        <v>0/720</v>
      </c>
      <c r="BZ150" s="265"/>
      <c r="CA150" s="368"/>
      <c r="CB150" s="265" t="str">
        <f t="shared" ref="CB150" si="148">CONCATENATE(SUM(CB6:CB149),"/",SUM($D$8:$D$10)*COUNT(CB6:CB149))</f>
        <v>0/720</v>
      </c>
      <c r="CC150" s="265"/>
      <c r="CD150" s="368"/>
      <c r="CE150" s="265" t="str">
        <f t="shared" ref="CE150" si="149">CONCATENATE(SUM(CE6:CE149),"/",SUM($D$8:$D$10)*COUNT(CE6:CE149))</f>
        <v>0/720</v>
      </c>
      <c r="CF150" s="265"/>
      <c r="CG150" s="265"/>
      <c r="CH150" s="265"/>
    </row>
    <row r="151" spans="1:86" ht="15.75">
      <c r="A151" s="219"/>
      <c r="B151" s="219"/>
      <c r="C151" s="219"/>
      <c r="D151" s="219"/>
      <c r="E151" s="219"/>
      <c r="F151" s="265"/>
      <c r="G151" s="316" t="str">
        <f>+Idiomas!D108</f>
        <v>POSICIÓN LIGA</v>
      </c>
      <c r="H151" s="370"/>
      <c r="I151" s="219"/>
      <c r="J151" s="461"/>
      <c r="K151" s="219"/>
      <c r="L151" s="251"/>
      <c r="M151" s="371"/>
      <c r="N151" s="219"/>
      <c r="O151" s="251"/>
      <c r="P151" s="371"/>
      <c r="Q151" s="219"/>
      <c r="R151" s="251"/>
      <c r="S151" s="371"/>
      <c r="T151" s="219"/>
      <c r="U151" s="251"/>
      <c r="V151" s="371"/>
      <c r="W151" s="219"/>
      <c r="X151" s="251"/>
      <c r="Y151" s="371"/>
      <c r="Z151" s="219"/>
      <c r="AA151" s="251"/>
      <c r="AB151" s="371"/>
      <c r="AC151" s="219"/>
      <c r="AD151" s="251"/>
      <c r="AE151" s="371"/>
      <c r="AF151" s="219"/>
      <c r="AG151" s="251"/>
      <c r="AH151" s="371"/>
      <c r="AI151" s="219"/>
      <c r="AJ151" s="251"/>
      <c r="AK151" s="371"/>
      <c r="AL151" s="219"/>
      <c r="AM151" s="251"/>
      <c r="AN151" s="371"/>
      <c r="AO151" s="219"/>
      <c r="AP151" s="251"/>
      <c r="AQ151" s="371"/>
      <c r="AR151" s="219"/>
      <c r="AS151" s="251"/>
      <c r="AT151" s="371"/>
      <c r="AU151" s="219"/>
      <c r="AV151" s="251"/>
      <c r="AW151" s="371"/>
      <c r="AX151" s="219"/>
      <c r="AY151" s="251"/>
      <c r="AZ151" s="542" t="s">
        <v>193</v>
      </c>
      <c r="BA151" s="219"/>
      <c r="BB151" s="251"/>
      <c r="BC151" s="371"/>
      <c r="BD151" s="219"/>
      <c r="BE151" s="251"/>
      <c r="BF151" s="371"/>
      <c r="BG151" s="219"/>
      <c r="BH151" s="251"/>
      <c r="BI151" s="371"/>
      <c r="BJ151" s="219"/>
      <c r="BK151" s="251"/>
      <c r="BL151" s="371"/>
      <c r="BM151" s="219"/>
      <c r="BN151" s="251"/>
      <c r="BO151" s="371"/>
      <c r="BP151" s="219"/>
      <c r="BQ151" s="251"/>
      <c r="BR151" s="371"/>
      <c r="BS151" s="219"/>
      <c r="BT151" s="251"/>
      <c r="BU151" s="371"/>
      <c r="BV151" s="219"/>
      <c r="BW151" s="251"/>
      <c r="BX151" s="371"/>
      <c r="BY151" s="219"/>
      <c r="BZ151" s="251"/>
      <c r="CA151" s="371"/>
      <c r="CB151" s="219"/>
      <c r="CC151" s="251"/>
      <c r="CD151" s="371"/>
      <c r="CE151" s="219"/>
      <c r="CF151" s="251"/>
      <c r="CG151" s="251"/>
      <c r="CH151" s="251"/>
    </row>
    <row r="152" spans="1:86" ht="15" customHeight="1">
      <c r="A152" s="219"/>
      <c r="B152" s="219"/>
      <c r="C152" s="219"/>
      <c r="D152" s="219"/>
      <c r="E152" s="219"/>
      <c r="F152" s="566" t="s">
        <v>194</v>
      </c>
      <c r="G152" s="191">
        <v>1</v>
      </c>
      <c r="H152" s="372" t="str">
        <f>IF(SUM(Calcs!$B$2:$B$37)=288,League!P2,"Pos. "&amp;G152)</f>
        <v>Pos. 1</v>
      </c>
      <c r="I152" s="219"/>
      <c r="J152" s="458" t="s">
        <v>53</v>
      </c>
      <c r="K152" s="322">
        <f t="shared" ref="K152:K187" si="150">IF($H152=J152,$D$11,0)</f>
        <v>0</v>
      </c>
      <c r="L152" s="251"/>
      <c r="M152" s="326" t="s">
        <v>56</v>
      </c>
      <c r="N152" s="322">
        <f t="shared" ref="N152:BY163" si="151">IF($H152=M152,$D$11,0)</f>
        <v>0</v>
      </c>
      <c r="O152" s="251"/>
      <c r="P152" s="326" t="s">
        <v>53</v>
      </c>
      <c r="Q152" s="322">
        <f t="shared" si="151"/>
        <v>0</v>
      </c>
      <c r="R152" s="251"/>
      <c r="S152" s="326" t="s">
        <v>53</v>
      </c>
      <c r="T152" s="322">
        <f t="shared" si="151"/>
        <v>0</v>
      </c>
      <c r="U152" s="251"/>
      <c r="V152" s="326" t="s">
        <v>56</v>
      </c>
      <c r="W152" s="322">
        <f t="shared" si="151"/>
        <v>0</v>
      </c>
      <c r="X152" s="251"/>
      <c r="Y152" s="326" t="s">
        <v>23</v>
      </c>
      <c r="Z152" s="322">
        <f t="shared" si="151"/>
        <v>0</v>
      </c>
      <c r="AA152" s="251"/>
      <c r="AB152" s="326" t="s">
        <v>43</v>
      </c>
      <c r="AC152" s="322">
        <f t="shared" si="151"/>
        <v>0</v>
      </c>
      <c r="AD152" s="251"/>
      <c r="AE152" s="326" t="s">
        <v>28</v>
      </c>
      <c r="AF152" s="322">
        <f t="shared" si="151"/>
        <v>0</v>
      </c>
      <c r="AG152" s="251"/>
      <c r="AH152" s="326" t="s">
        <v>53</v>
      </c>
      <c r="AI152" s="322">
        <f t="shared" si="151"/>
        <v>0</v>
      </c>
      <c r="AJ152" s="251"/>
      <c r="AK152" s="326" t="s">
        <v>56</v>
      </c>
      <c r="AL152" s="322">
        <f t="shared" si="151"/>
        <v>0</v>
      </c>
      <c r="AM152" s="251"/>
      <c r="AN152" s="326" t="s">
        <v>45</v>
      </c>
      <c r="AO152" s="322">
        <f t="shared" si="151"/>
        <v>0</v>
      </c>
      <c r="AP152" s="251"/>
      <c r="AQ152" s="326" t="s">
        <v>44</v>
      </c>
      <c r="AR152" s="322">
        <f t="shared" si="151"/>
        <v>0</v>
      </c>
      <c r="AS152" s="251"/>
      <c r="AT152" s="326" t="s">
        <v>56</v>
      </c>
      <c r="AU152" s="322">
        <f t="shared" si="151"/>
        <v>0</v>
      </c>
      <c r="AV152" s="251"/>
      <c r="AW152" s="326" t="s">
        <v>43</v>
      </c>
      <c r="AX152" s="322">
        <f t="shared" si="151"/>
        <v>0</v>
      </c>
      <c r="AY152" s="251"/>
      <c r="AZ152" s="539" t="s">
        <v>44</v>
      </c>
      <c r="BA152" s="322">
        <f t="shared" si="151"/>
        <v>0</v>
      </c>
      <c r="BB152" s="251"/>
      <c r="BC152" s="326" t="s">
        <v>28</v>
      </c>
      <c r="BD152" s="322">
        <f t="shared" si="151"/>
        <v>0</v>
      </c>
      <c r="BE152" s="251"/>
      <c r="BF152" s="326"/>
      <c r="BG152" s="322">
        <f t="shared" si="151"/>
        <v>0</v>
      </c>
      <c r="BH152" s="251"/>
      <c r="BI152" s="326"/>
      <c r="BJ152" s="322">
        <f t="shared" si="151"/>
        <v>0</v>
      </c>
      <c r="BK152" s="251"/>
      <c r="BL152" s="326"/>
      <c r="BM152" s="322">
        <f t="shared" si="151"/>
        <v>0</v>
      </c>
      <c r="BN152" s="251"/>
      <c r="BO152" s="326"/>
      <c r="BP152" s="322">
        <f t="shared" si="151"/>
        <v>0</v>
      </c>
      <c r="BQ152" s="251"/>
      <c r="BR152" s="326"/>
      <c r="BS152" s="322">
        <f t="shared" si="151"/>
        <v>0</v>
      </c>
      <c r="BT152" s="251"/>
      <c r="BU152" s="326"/>
      <c r="BV152" s="322">
        <f t="shared" si="151"/>
        <v>0</v>
      </c>
      <c r="BW152" s="251"/>
      <c r="BX152" s="326"/>
      <c r="BY152" s="322">
        <f t="shared" si="151"/>
        <v>0</v>
      </c>
      <c r="BZ152" s="251"/>
      <c r="CA152" s="326"/>
      <c r="CB152" s="322">
        <f t="shared" ref="CB152:CE162" si="152">IF($H152=CA152,$D$11,0)</f>
        <v>0</v>
      </c>
      <c r="CC152" s="251"/>
      <c r="CD152" s="326"/>
      <c r="CE152" s="322">
        <f t="shared" si="152"/>
        <v>0</v>
      </c>
      <c r="CF152" s="251"/>
      <c r="CG152" s="251"/>
      <c r="CH152" s="251"/>
    </row>
    <row r="153" spans="1:86" ht="15" customHeight="1">
      <c r="A153" s="219"/>
      <c r="B153" s="219"/>
      <c r="C153" s="219"/>
      <c r="D153" s="219"/>
      <c r="E153" s="219"/>
      <c r="F153" s="567"/>
      <c r="G153" s="191">
        <v>2</v>
      </c>
      <c r="H153" s="372" t="str">
        <f>IF(SUM(Calcs!$B$2:$B$37)=288,League!P3,"Pos. "&amp;G153)</f>
        <v>Pos. 2</v>
      </c>
      <c r="I153" s="219"/>
      <c r="J153" s="458" t="s">
        <v>56</v>
      </c>
      <c r="K153" s="322">
        <f t="shared" si="150"/>
        <v>0</v>
      </c>
      <c r="L153" s="251"/>
      <c r="M153" s="326" t="s">
        <v>53</v>
      </c>
      <c r="N153" s="322">
        <f t="shared" si="151"/>
        <v>0</v>
      </c>
      <c r="O153" s="251"/>
      <c r="P153" s="326" t="s">
        <v>23</v>
      </c>
      <c r="Q153" s="322">
        <f t="shared" si="151"/>
        <v>0</v>
      </c>
      <c r="R153" s="251"/>
      <c r="S153" s="326" t="s">
        <v>43</v>
      </c>
      <c r="T153" s="322">
        <f t="shared" si="151"/>
        <v>0</v>
      </c>
      <c r="U153" s="251"/>
      <c r="V153" s="326" t="s">
        <v>43</v>
      </c>
      <c r="W153" s="322">
        <f t="shared" si="151"/>
        <v>0</v>
      </c>
      <c r="X153" s="251"/>
      <c r="Y153" s="326" t="s">
        <v>43</v>
      </c>
      <c r="Z153" s="322">
        <f t="shared" si="151"/>
        <v>0</v>
      </c>
      <c r="AA153" s="251"/>
      <c r="AB153" s="326" t="s">
        <v>56</v>
      </c>
      <c r="AC153" s="322">
        <f t="shared" si="151"/>
        <v>0</v>
      </c>
      <c r="AD153" s="251"/>
      <c r="AE153" s="326" t="s">
        <v>42</v>
      </c>
      <c r="AF153" s="322">
        <f t="shared" si="151"/>
        <v>0</v>
      </c>
      <c r="AG153" s="251"/>
      <c r="AH153" s="326" t="s">
        <v>42</v>
      </c>
      <c r="AI153" s="322">
        <f t="shared" si="151"/>
        <v>0</v>
      </c>
      <c r="AJ153" s="251"/>
      <c r="AK153" s="326" t="s">
        <v>39</v>
      </c>
      <c r="AL153" s="322">
        <f t="shared" si="151"/>
        <v>0</v>
      </c>
      <c r="AM153" s="251"/>
      <c r="AN153" s="326" t="s">
        <v>41</v>
      </c>
      <c r="AO153" s="322">
        <f t="shared" si="151"/>
        <v>0</v>
      </c>
      <c r="AP153" s="251"/>
      <c r="AQ153" s="326" t="s">
        <v>56</v>
      </c>
      <c r="AR153" s="322">
        <f t="shared" si="151"/>
        <v>0</v>
      </c>
      <c r="AS153" s="251"/>
      <c r="AT153" s="326" t="s">
        <v>53</v>
      </c>
      <c r="AU153" s="322">
        <f t="shared" si="151"/>
        <v>0</v>
      </c>
      <c r="AV153" s="251"/>
      <c r="AW153" s="326" t="s">
        <v>53</v>
      </c>
      <c r="AX153" s="322">
        <f t="shared" si="151"/>
        <v>0</v>
      </c>
      <c r="AY153" s="251"/>
      <c r="AZ153" s="539" t="s">
        <v>54</v>
      </c>
      <c r="BA153" s="322">
        <f t="shared" si="151"/>
        <v>0</v>
      </c>
      <c r="BB153" s="251"/>
      <c r="BC153" s="326" t="s">
        <v>53</v>
      </c>
      <c r="BD153" s="322">
        <f t="shared" si="151"/>
        <v>0</v>
      </c>
      <c r="BE153" s="251"/>
      <c r="BF153" s="326"/>
      <c r="BG153" s="322">
        <f t="shared" si="151"/>
        <v>0</v>
      </c>
      <c r="BH153" s="251"/>
      <c r="BI153" s="326"/>
      <c r="BJ153" s="322">
        <f t="shared" si="151"/>
        <v>0</v>
      </c>
      <c r="BK153" s="251"/>
      <c r="BL153" s="326"/>
      <c r="BM153" s="322">
        <f t="shared" si="151"/>
        <v>0</v>
      </c>
      <c r="BN153" s="251"/>
      <c r="BO153" s="326"/>
      <c r="BP153" s="322">
        <f t="shared" si="151"/>
        <v>0</v>
      </c>
      <c r="BQ153" s="251"/>
      <c r="BR153" s="326"/>
      <c r="BS153" s="322">
        <f t="shared" si="151"/>
        <v>0</v>
      </c>
      <c r="BT153" s="251"/>
      <c r="BU153" s="326"/>
      <c r="BV153" s="322">
        <f t="shared" si="151"/>
        <v>0</v>
      </c>
      <c r="BW153" s="251"/>
      <c r="BX153" s="326"/>
      <c r="BY153" s="322">
        <f t="shared" si="151"/>
        <v>0</v>
      </c>
      <c r="BZ153" s="251"/>
      <c r="CA153" s="326"/>
      <c r="CB153" s="322">
        <f t="shared" si="152"/>
        <v>0</v>
      </c>
      <c r="CC153" s="251"/>
      <c r="CD153" s="326"/>
      <c r="CE153" s="322">
        <f t="shared" si="152"/>
        <v>0</v>
      </c>
      <c r="CF153" s="251"/>
      <c r="CG153" s="251"/>
      <c r="CH153" s="251"/>
    </row>
    <row r="154" spans="1:86" ht="15" customHeight="1">
      <c r="A154" s="219"/>
      <c r="B154" s="219"/>
      <c r="C154" s="219"/>
      <c r="D154" s="219"/>
      <c r="E154" s="219"/>
      <c r="F154" s="567"/>
      <c r="G154" s="191">
        <v>3</v>
      </c>
      <c r="H154" s="372" t="str">
        <f>IF(SUM(Calcs!$B$2:$B$37)=288,League!P4,"Pos. "&amp;G154)</f>
        <v>Pos. 3</v>
      </c>
      <c r="I154" s="219"/>
      <c r="J154" s="458" t="s">
        <v>41</v>
      </c>
      <c r="K154" s="322">
        <f t="shared" si="150"/>
        <v>0</v>
      </c>
      <c r="L154" s="251"/>
      <c r="M154" s="326" t="s">
        <v>43</v>
      </c>
      <c r="N154" s="322">
        <f t="shared" si="151"/>
        <v>0</v>
      </c>
      <c r="O154" s="251"/>
      <c r="P154" s="326" t="s">
        <v>56</v>
      </c>
      <c r="Q154" s="322">
        <f t="shared" si="151"/>
        <v>0</v>
      </c>
      <c r="R154" s="251"/>
      <c r="S154" s="326" t="s">
        <v>23</v>
      </c>
      <c r="T154" s="322">
        <f t="shared" si="151"/>
        <v>0</v>
      </c>
      <c r="U154" s="251"/>
      <c r="V154" s="326" t="s">
        <v>42</v>
      </c>
      <c r="W154" s="322">
        <f t="shared" si="151"/>
        <v>0</v>
      </c>
      <c r="X154" s="251"/>
      <c r="Y154" s="326" t="s">
        <v>56</v>
      </c>
      <c r="Z154" s="322">
        <f t="shared" si="151"/>
        <v>0</v>
      </c>
      <c r="AA154" s="251"/>
      <c r="AB154" s="326" t="s">
        <v>45</v>
      </c>
      <c r="AC154" s="322">
        <f t="shared" si="151"/>
        <v>0</v>
      </c>
      <c r="AD154" s="251"/>
      <c r="AE154" s="326" t="s">
        <v>23</v>
      </c>
      <c r="AF154" s="322">
        <f t="shared" si="151"/>
        <v>0</v>
      </c>
      <c r="AG154" s="251"/>
      <c r="AH154" s="326" t="s">
        <v>44</v>
      </c>
      <c r="AI154" s="322">
        <f t="shared" si="151"/>
        <v>0</v>
      </c>
      <c r="AJ154" s="251"/>
      <c r="AK154" s="326" t="s">
        <v>43</v>
      </c>
      <c r="AL154" s="322">
        <f t="shared" si="151"/>
        <v>0</v>
      </c>
      <c r="AM154" s="251"/>
      <c r="AN154" s="326" t="s">
        <v>28</v>
      </c>
      <c r="AO154" s="322">
        <f t="shared" si="151"/>
        <v>0</v>
      </c>
      <c r="AP154" s="251"/>
      <c r="AQ154" s="326" t="s">
        <v>28</v>
      </c>
      <c r="AR154" s="322">
        <f t="shared" si="151"/>
        <v>0</v>
      </c>
      <c r="AS154" s="251"/>
      <c r="AT154" s="326" t="s">
        <v>41</v>
      </c>
      <c r="AU154" s="322">
        <f t="shared" si="151"/>
        <v>0</v>
      </c>
      <c r="AV154" s="251"/>
      <c r="AW154" s="326" t="s">
        <v>41</v>
      </c>
      <c r="AX154" s="322">
        <f t="shared" si="151"/>
        <v>0</v>
      </c>
      <c r="AY154" s="251"/>
      <c r="AZ154" s="539" t="s">
        <v>53</v>
      </c>
      <c r="BA154" s="322">
        <f t="shared" si="151"/>
        <v>0</v>
      </c>
      <c r="BB154" s="251"/>
      <c r="BC154" s="326" t="s">
        <v>41</v>
      </c>
      <c r="BD154" s="322">
        <f t="shared" si="151"/>
        <v>0</v>
      </c>
      <c r="BE154" s="251"/>
      <c r="BF154" s="326"/>
      <c r="BG154" s="322">
        <f t="shared" si="151"/>
        <v>0</v>
      </c>
      <c r="BH154" s="251"/>
      <c r="BI154" s="326"/>
      <c r="BJ154" s="322">
        <f t="shared" si="151"/>
        <v>0</v>
      </c>
      <c r="BK154" s="251"/>
      <c r="BL154" s="326"/>
      <c r="BM154" s="322">
        <f t="shared" si="151"/>
        <v>0</v>
      </c>
      <c r="BN154" s="251"/>
      <c r="BO154" s="326"/>
      <c r="BP154" s="322">
        <f t="shared" si="151"/>
        <v>0</v>
      </c>
      <c r="BQ154" s="251"/>
      <c r="BR154" s="326"/>
      <c r="BS154" s="322">
        <f t="shared" si="151"/>
        <v>0</v>
      </c>
      <c r="BT154" s="251"/>
      <c r="BU154" s="326"/>
      <c r="BV154" s="322">
        <f t="shared" si="151"/>
        <v>0</v>
      </c>
      <c r="BW154" s="251"/>
      <c r="BX154" s="326"/>
      <c r="BY154" s="322">
        <f t="shared" si="151"/>
        <v>0</v>
      </c>
      <c r="BZ154" s="251"/>
      <c r="CA154" s="326"/>
      <c r="CB154" s="322">
        <f t="shared" si="152"/>
        <v>0</v>
      </c>
      <c r="CC154" s="251"/>
      <c r="CD154" s="326"/>
      <c r="CE154" s="322">
        <f t="shared" si="152"/>
        <v>0</v>
      </c>
      <c r="CF154" s="251"/>
      <c r="CG154" s="251"/>
      <c r="CH154" s="251"/>
    </row>
    <row r="155" spans="1:86" ht="15" customHeight="1">
      <c r="A155" s="219"/>
      <c r="B155" s="219"/>
      <c r="C155" s="219"/>
      <c r="D155" s="219"/>
      <c r="E155" s="219"/>
      <c r="F155" s="567"/>
      <c r="G155" s="191">
        <v>4</v>
      </c>
      <c r="H155" s="372" t="str">
        <f>IF(SUM(Calcs!$B$2:$B$37)=288,League!P5,"Pos. "&amp;G155)</f>
        <v>Pos. 4</v>
      </c>
      <c r="I155" s="219"/>
      <c r="J155" s="458" t="s">
        <v>42</v>
      </c>
      <c r="K155" s="322">
        <f t="shared" si="150"/>
        <v>0</v>
      </c>
      <c r="L155" s="251"/>
      <c r="M155" s="326" t="s">
        <v>41</v>
      </c>
      <c r="N155" s="322">
        <f t="shared" si="151"/>
        <v>0</v>
      </c>
      <c r="O155" s="251"/>
      <c r="P155" s="326" t="s">
        <v>26</v>
      </c>
      <c r="Q155" s="322">
        <f t="shared" si="151"/>
        <v>0</v>
      </c>
      <c r="R155" s="251"/>
      <c r="S155" s="326" t="s">
        <v>56</v>
      </c>
      <c r="T155" s="322">
        <f t="shared" si="151"/>
        <v>0</v>
      </c>
      <c r="U155" s="251"/>
      <c r="V155" s="326" t="s">
        <v>53</v>
      </c>
      <c r="W155" s="322">
        <f t="shared" si="151"/>
        <v>0</v>
      </c>
      <c r="X155" s="251"/>
      <c r="Y155" s="326" t="s">
        <v>53</v>
      </c>
      <c r="Z155" s="322">
        <f t="shared" si="151"/>
        <v>0</v>
      </c>
      <c r="AA155" s="251"/>
      <c r="AB155" s="326" t="s">
        <v>53</v>
      </c>
      <c r="AC155" s="322">
        <f t="shared" si="151"/>
        <v>0</v>
      </c>
      <c r="AD155" s="251"/>
      <c r="AE155" s="326" t="s">
        <v>26</v>
      </c>
      <c r="AF155" s="322">
        <f t="shared" si="151"/>
        <v>0</v>
      </c>
      <c r="AG155" s="251"/>
      <c r="AH155" s="326" t="s">
        <v>23</v>
      </c>
      <c r="AI155" s="322">
        <f t="shared" si="151"/>
        <v>0</v>
      </c>
      <c r="AJ155" s="251"/>
      <c r="AK155" s="326" t="s">
        <v>41</v>
      </c>
      <c r="AL155" s="322">
        <f t="shared" si="151"/>
        <v>0</v>
      </c>
      <c r="AM155" s="251"/>
      <c r="AN155" s="326" t="s">
        <v>43</v>
      </c>
      <c r="AO155" s="322">
        <f t="shared" si="151"/>
        <v>0</v>
      </c>
      <c r="AP155" s="251"/>
      <c r="AQ155" s="326" t="s">
        <v>41</v>
      </c>
      <c r="AR155" s="322">
        <f t="shared" si="151"/>
        <v>0</v>
      </c>
      <c r="AS155" s="251"/>
      <c r="AT155" s="326" t="s">
        <v>28</v>
      </c>
      <c r="AU155" s="322">
        <f t="shared" si="151"/>
        <v>0</v>
      </c>
      <c r="AV155" s="251"/>
      <c r="AW155" s="326" t="s">
        <v>56</v>
      </c>
      <c r="AX155" s="322">
        <f t="shared" si="151"/>
        <v>0</v>
      </c>
      <c r="AY155" s="251"/>
      <c r="AZ155" s="539" t="s">
        <v>45</v>
      </c>
      <c r="BA155" s="322">
        <f t="shared" si="151"/>
        <v>0</v>
      </c>
      <c r="BB155" s="251"/>
      <c r="BC155" s="326" t="s">
        <v>43</v>
      </c>
      <c r="BD155" s="322">
        <f t="shared" si="151"/>
        <v>0</v>
      </c>
      <c r="BE155" s="251"/>
      <c r="BF155" s="326"/>
      <c r="BG155" s="322">
        <f t="shared" si="151"/>
        <v>0</v>
      </c>
      <c r="BH155" s="251"/>
      <c r="BI155" s="326"/>
      <c r="BJ155" s="322">
        <f t="shared" si="151"/>
        <v>0</v>
      </c>
      <c r="BK155" s="251"/>
      <c r="BL155" s="326"/>
      <c r="BM155" s="322">
        <f t="shared" si="151"/>
        <v>0</v>
      </c>
      <c r="BN155" s="251"/>
      <c r="BO155" s="326"/>
      <c r="BP155" s="322">
        <f t="shared" si="151"/>
        <v>0</v>
      </c>
      <c r="BQ155" s="251"/>
      <c r="BR155" s="326"/>
      <c r="BS155" s="322">
        <f t="shared" si="151"/>
        <v>0</v>
      </c>
      <c r="BT155" s="251"/>
      <c r="BU155" s="326"/>
      <c r="BV155" s="322">
        <f t="shared" si="151"/>
        <v>0</v>
      </c>
      <c r="BW155" s="251"/>
      <c r="BX155" s="326"/>
      <c r="BY155" s="322">
        <f t="shared" si="151"/>
        <v>0</v>
      </c>
      <c r="BZ155" s="251"/>
      <c r="CA155" s="326"/>
      <c r="CB155" s="322">
        <f t="shared" si="152"/>
        <v>0</v>
      </c>
      <c r="CC155" s="251"/>
      <c r="CD155" s="326"/>
      <c r="CE155" s="322">
        <f t="shared" si="152"/>
        <v>0</v>
      </c>
      <c r="CF155" s="251"/>
      <c r="CG155" s="251"/>
      <c r="CH155" s="251"/>
    </row>
    <row r="156" spans="1:86" ht="15" customHeight="1">
      <c r="A156" s="219"/>
      <c r="B156" s="219"/>
      <c r="C156" s="219"/>
      <c r="D156" s="219"/>
      <c r="E156" s="219"/>
      <c r="F156" s="567"/>
      <c r="G156" s="191">
        <v>5</v>
      </c>
      <c r="H156" s="372" t="str">
        <f>IF(SUM(Calcs!$B$2:$B$37)=288,League!P6,"Pos. "&amp;G156)</f>
        <v>Pos. 5</v>
      </c>
      <c r="I156" s="219"/>
      <c r="J156" s="458" t="s">
        <v>43</v>
      </c>
      <c r="K156" s="322">
        <f t="shared" si="150"/>
        <v>0</v>
      </c>
      <c r="L156" s="251"/>
      <c r="M156" s="326" t="s">
        <v>44</v>
      </c>
      <c r="N156" s="322">
        <f t="shared" si="151"/>
        <v>0</v>
      </c>
      <c r="O156" s="251"/>
      <c r="P156" s="326" t="s">
        <v>45</v>
      </c>
      <c r="Q156" s="322">
        <f t="shared" si="151"/>
        <v>0</v>
      </c>
      <c r="R156" s="251"/>
      <c r="S156" s="326" t="s">
        <v>45</v>
      </c>
      <c r="T156" s="322">
        <f t="shared" si="151"/>
        <v>0</v>
      </c>
      <c r="U156" s="251"/>
      <c r="V156" s="326" t="s">
        <v>45</v>
      </c>
      <c r="W156" s="322">
        <f t="shared" si="151"/>
        <v>0</v>
      </c>
      <c r="X156" s="251"/>
      <c r="Y156" s="326" t="s">
        <v>45</v>
      </c>
      <c r="Z156" s="322">
        <f t="shared" si="151"/>
        <v>0</v>
      </c>
      <c r="AA156" s="251"/>
      <c r="AB156" s="326" t="s">
        <v>28</v>
      </c>
      <c r="AC156" s="322">
        <f t="shared" si="151"/>
        <v>0</v>
      </c>
      <c r="AD156" s="251"/>
      <c r="AE156" s="326" t="s">
        <v>56</v>
      </c>
      <c r="AF156" s="322">
        <f t="shared" si="151"/>
        <v>0</v>
      </c>
      <c r="AG156" s="251"/>
      <c r="AH156" s="326" t="s">
        <v>56</v>
      </c>
      <c r="AI156" s="322">
        <f t="shared" si="151"/>
        <v>0</v>
      </c>
      <c r="AJ156" s="251"/>
      <c r="AK156" s="326" t="s">
        <v>53</v>
      </c>
      <c r="AL156" s="322">
        <f t="shared" si="151"/>
        <v>0</v>
      </c>
      <c r="AM156" s="251"/>
      <c r="AN156" s="326" t="s">
        <v>53</v>
      </c>
      <c r="AO156" s="322">
        <f t="shared" si="151"/>
        <v>0</v>
      </c>
      <c r="AP156" s="251"/>
      <c r="AQ156" s="326" t="s">
        <v>46</v>
      </c>
      <c r="AR156" s="322">
        <f t="shared" si="151"/>
        <v>0</v>
      </c>
      <c r="AS156" s="251"/>
      <c r="AT156" s="326" t="s">
        <v>43</v>
      </c>
      <c r="AU156" s="322">
        <f t="shared" si="151"/>
        <v>0</v>
      </c>
      <c r="AV156" s="251"/>
      <c r="AW156" s="326" t="s">
        <v>26</v>
      </c>
      <c r="AX156" s="322">
        <f t="shared" si="151"/>
        <v>0</v>
      </c>
      <c r="AY156" s="251"/>
      <c r="AZ156" s="539" t="s">
        <v>32</v>
      </c>
      <c r="BA156" s="322">
        <f t="shared" si="151"/>
        <v>0</v>
      </c>
      <c r="BB156" s="251"/>
      <c r="BC156" s="326" t="s">
        <v>44</v>
      </c>
      <c r="BD156" s="322">
        <f t="shared" si="151"/>
        <v>0</v>
      </c>
      <c r="BE156" s="251"/>
      <c r="BF156" s="326"/>
      <c r="BG156" s="322">
        <f t="shared" si="151"/>
        <v>0</v>
      </c>
      <c r="BH156" s="251"/>
      <c r="BI156" s="326"/>
      <c r="BJ156" s="322">
        <f t="shared" si="151"/>
        <v>0</v>
      </c>
      <c r="BK156" s="251"/>
      <c r="BL156" s="326"/>
      <c r="BM156" s="322">
        <f t="shared" si="151"/>
        <v>0</v>
      </c>
      <c r="BN156" s="251"/>
      <c r="BO156" s="326"/>
      <c r="BP156" s="322">
        <f t="shared" si="151"/>
        <v>0</v>
      </c>
      <c r="BQ156" s="251"/>
      <c r="BR156" s="326"/>
      <c r="BS156" s="322">
        <f t="shared" si="151"/>
        <v>0</v>
      </c>
      <c r="BT156" s="251"/>
      <c r="BU156" s="326"/>
      <c r="BV156" s="322">
        <f t="shared" si="151"/>
        <v>0</v>
      </c>
      <c r="BW156" s="251"/>
      <c r="BX156" s="326"/>
      <c r="BY156" s="322">
        <f t="shared" si="151"/>
        <v>0</v>
      </c>
      <c r="BZ156" s="251"/>
      <c r="CA156" s="326"/>
      <c r="CB156" s="322">
        <f t="shared" si="152"/>
        <v>0</v>
      </c>
      <c r="CC156" s="251"/>
      <c r="CD156" s="326"/>
      <c r="CE156" s="322">
        <f t="shared" si="152"/>
        <v>0</v>
      </c>
      <c r="CF156" s="251"/>
      <c r="CG156" s="251"/>
      <c r="CH156" s="251"/>
    </row>
    <row r="157" spans="1:86" ht="15" customHeight="1">
      <c r="A157" s="219"/>
      <c r="B157" s="219"/>
      <c r="C157" s="219"/>
      <c r="D157" s="219"/>
      <c r="E157" s="219"/>
      <c r="F157" s="567"/>
      <c r="G157" s="191">
        <v>6</v>
      </c>
      <c r="H157" s="372" t="str">
        <f>IF(SUM(Calcs!$B$2:$B$37)=288,League!P7,"Pos. "&amp;G157)</f>
        <v>Pos. 6</v>
      </c>
      <c r="I157" s="219"/>
      <c r="J157" s="458" t="s">
        <v>23</v>
      </c>
      <c r="K157" s="322">
        <f t="shared" si="150"/>
        <v>0</v>
      </c>
      <c r="L157" s="251"/>
      <c r="M157" s="326" t="s">
        <v>45</v>
      </c>
      <c r="N157" s="322">
        <f t="shared" si="151"/>
        <v>0</v>
      </c>
      <c r="O157" s="251"/>
      <c r="P157" s="326" t="s">
        <v>44</v>
      </c>
      <c r="Q157" s="322">
        <f t="shared" si="151"/>
        <v>0</v>
      </c>
      <c r="R157" s="251"/>
      <c r="S157" s="326" t="s">
        <v>41</v>
      </c>
      <c r="T157" s="322">
        <f t="shared" si="151"/>
        <v>0</v>
      </c>
      <c r="U157" s="251"/>
      <c r="V157" s="326" t="s">
        <v>44</v>
      </c>
      <c r="W157" s="322">
        <f t="shared" si="151"/>
        <v>0</v>
      </c>
      <c r="X157" s="251"/>
      <c r="Y157" s="326" t="s">
        <v>54</v>
      </c>
      <c r="Z157" s="322">
        <f t="shared" si="151"/>
        <v>0</v>
      </c>
      <c r="AA157" s="251"/>
      <c r="AB157" s="326" t="s">
        <v>41</v>
      </c>
      <c r="AC157" s="322">
        <f t="shared" si="151"/>
        <v>0</v>
      </c>
      <c r="AD157" s="251"/>
      <c r="AE157" s="326" t="s">
        <v>53</v>
      </c>
      <c r="AF157" s="322">
        <f t="shared" si="151"/>
        <v>0</v>
      </c>
      <c r="AG157" s="251"/>
      <c r="AH157" s="326" t="s">
        <v>28</v>
      </c>
      <c r="AI157" s="322">
        <f t="shared" si="151"/>
        <v>0</v>
      </c>
      <c r="AJ157" s="251"/>
      <c r="AK157" s="326" t="s">
        <v>28</v>
      </c>
      <c r="AL157" s="322">
        <f t="shared" si="151"/>
        <v>0</v>
      </c>
      <c r="AM157" s="251"/>
      <c r="AN157" s="326" t="s">
        <v>23</v>
      </c>
      <c r="AO157" s="322">
        <f t="shared" si="151"/>
        <v>0</v>
      </c>
      <c r="AP157" s="251"/>
      <c r="AQ157" s="326" t="s">
        <v>39</v>
      </c>
      <c r="AR157" s="322">
        <f t="shared" si="151"/>
        <v>0</v>
      </c>
      <c r="AS157" s="251"/>
      <c r="AT157" s="326" t="s">
        <v>32</v>
      </c>
      <c r="AU157" s="322">
        <f t="shared" si="151"/>
        <v>0</v>
      </c>
      <c r="AV157" s="251"/>
      <c r="AW157" s="326" t="s">
        <v>50</v>
      </c>
      <c r="AX157" s="322">
        <f t="shared" si="151"/>
        <v>0</v>
      </c>
      <c r="AY157" s="251"/>
      <c r="AZ157" s="539" t="s">
        <v>39</v>
      </c>
      <c r="BA157" s="322">
        <f t="shared" si="151"/>
        <v>0</v>
      </c>
      <c r="BB157" s="251"/>
      <c r="BC157" s="326" t="s">
        <v>22</v>
      </c>
      <c r="BD157" s="322">
        <f t="shared" si="151"/>
        <v>0</v>
      </c>
      <c r="BE157" s="251"/>
      <c r="BF157" s="326"/>
      <c r="BG157" s="322">
        <f t="shared" si="151"/>
        <v>0</v>
      </c>
      <c r="BH157" s="251"/>
      <c r="BI157" s="326"/>
      <c r="BJ157" s="322">
        <f t="shared" si="151"/>
        <v>0</v>
      </c>
      <c r="BK157" s="251"/>
      <c r="BL157" s="326"/>
      <c r="BM157" s="322">
        <f t="shared" si="151"/>
        <v>0</v>
      </c>
      <c r="BN157" s="251"/>
      <c r="BO157" s="326"/>
      <c r="BP157" s="322">
        <f t="shared" si="151"/>
        <v>0</v>
      </c>
      <c r="BQ157" s="251"/>
      <c r="BR157" s="326"/>
      <c r="BS157" s="322">
        <f t="shared" si="151"/>
        <v>0</v>
      </c>
      <c r="BT157" s="251"/>
      <c r="BU157" s="326"/>
      <c r="BV157" s="322">
        <f t="shared" si="151"/>
        <v>0</v>
      </c>
      <c r="BW157" s="251"/>
      <c r="BX157" s="326"/>
      <c r="BY157" s="322">
        <f t="shared" si="151"/>
        <v>0</v>
      </c>
      <c r="BZ157" s="251"/>
      <c r="CA157" s="326"/>
      <c r="CB157" s="322">
        <f t="shared" si="152"/>
        <v>0</v>
      </c>
      <c r="CC157" s="251"/>
      <c r="CD157" s="326"/>
      <c r="CE157" s="322">
        <f t="shared" si="152"/>
        <v>0</v>
      </c>
      <c r="CF157" s="251"/>
      <c r="CG157" s="251"/>
      <c r="CH157" s="251"/>
    </row>
    <row r="158" spans="1:86" ht="15" customHeight="1">
      <c r="A158" s="219"/>
      <c r="B158" s="219"/>
      <c r="C158" s="219"/>
      <c r="D158" s="219"/>
      <c r="E158" s="219"/>
      <c r="F158" s="567"/>
      <c r="G158" s="191">
        <v>7</v>
      </c>
      <c r="H158" s="372" t="str">
        <f>IF(SUM(Calcs!$B$2:$B$37)=288,League!P8,"Pos. "&amp;G158)</f>
        <v>Pos. 7</v>
      </c>
      <c r="I158" s="219"/>
      <c r="J158" s="458" t="s">
        <v>45</v>
      </c>
      <c r="K158" s="322">
        <f t="shared" si="150"/>
        <v>0</v>
      </c>
      <c r="L158" s="251"/>
      <c r="M158" s="326" t="s">
        <v>28</v>
      </c>
      <c r="N158" s="322">
        <f t="shared" si="151"/>
        <v>0</v>
      </c>
      <c r="O158" s="251"/>
      <c r="P158" s="326" t="s">
        <v>32</v>
      </c>
      <c r="Q158" s="322">
        <f t="shared" si="151"/>
        <v>0</v>
      </c>
      <c r="R158" s="251"/>
      <c r="S158" s="326" t="s">
        <v>42</v>
      </c>
      <c r="T158" s="322">
        <f t="shared" si="151"/>
        <v>0</v>
      </c>
      <c r="U158" s="251"/>
      <c r="V158" s="326" t="s">
        <v>41</v>
      </c>
      <c r="W158" s="322">
        <f t="shared" si="151"/>
        <v>0</v>
      </c>
      <c r="X158" s="251"/>
      <c r="Y158" s="326" t="s">
        <v>41</v>
      </c>
      <c r="Z158" s="322">
        <f t="shared" si="151"/>
        <v>0</v>
      </c>
      <c r="AA158" s="251"/>
      <c r="AB158" s="326" t="s">
        <v>23</v>
      </c>
      <c r="AC158" s="322">
        <f t="shared" si="151"/>
        <v>0</v>
      </c>
      <c r="AD158" s="251"/>
      <c r="AE158" s="326" t="s">
        <v>43</v>
      </c>
      <c r="AF158" s="322">
        <f t="shared" si="151"/>
        <v>0</v>
      </c>
      <c r="AG158" s="251"/>
      <c r="AH158" s="326" t="s">
        <v>32</v>
      </c>
      <c r="AI158" s="322">
        <f t="shared" si="151"/>
        <v>0</v>
      </c>
      <c r="AJ158" s="251"/>
      <c r="AK158" s="326" t="s">
        <v>50</v>
      </c>
      <c r="AL158" s="322">
        <f t="shared" si="151"/>
        <v>0</v>
      </c>
      <c r="AM158" s="251"/>
      <c r="AN158" s="326" t="s">
        <v>39</v>
      </c>
      <c r="AO158" s="322">
        <f t="shared" si="151"/>
        <v>0</v>
      </c>
      <c r="AP158" s="251"/>
      <c r="AQ158" s="326" t="s">
        <v>54</v>
      </c>
      <c r="AR158" s="322">
        <f t="shared" si="151"/>
        <v>0</v>
      </c>
      <c r="AS158" s="251"/>
      <c r="AT158" s="326" t="s">
        <v>23</v>
      </c>
      <c r="AU158" s="322">
        <f t="shared" si="151"/>
        <v>0</v>
      </c>
      <c r="AV158" s="251"/>
      <c r="AW158" s="326" t="s">
        <v>28</v>
      </c>
      <c r="AX158" s="322">
        <f t="shared" si="151"/>
        <v>0</v>
      </c>
      <c r="AY158" s="251"/>
      <c r="AZ158" s="539" t="s">
        <v>43</v>
      </c>
      <c r="BA158" s="322">
        <f t="shared" si="151"/>
        <v>0</v>
      </c>
      <c r="BB158" s="251"/>
      <c r="BC158" s="326" t="s">
        <v>56</v>
      </c>
      <c r="BD158" s="322">
        <f t="shared" si="151"/>
        <v>0</v>
      </c>
      <c r="BE158" s="251"/>
      <c r="BF158" s="326"/>
      <c r="BG158" s="322">
        <f t="shared" si="151"/>
        <v>0</v>
      </c>
      <c r="BH158" s="251"/>
      <c r="BI158" s="326"/>
      <c r="BJ158" s="322">
        <f t="shared" si="151"/>
        <v>0</v>
      </c>
      <c r="BK158" s="251"/>
      <c r="BL158" s="326"/>
      <c r="BM158" s="322">
        <f t="shared" si="151"/>
        <v>0</v>
      </c>
      <c r="BN158" s="251"/>
      <c r="BO158" s="326"/>
      <c r="BP158" s="322">
        <f t="shared" si="151"/>
        <v>0</v>
      </c>
      <c r="BQ158" s="251"/>
      <c r="BR158" s="326"/>
      <c r="BS158" s="322">
        <f t="shared" si="151"/>
        <v>0</v>
      </c>
      <c r="BT158" s="251"/>
      <c r="BU158" s="326"/>
      <c r="BV158" s="322">
        <f t="shared" si="151"/>
        <v>0</v>
      </c>
      <c r="BW158" s="251"/>
      <c r="BX158" s="326"/>
      <c r="BY158" s="322">
        <f t="shared" si="151"/>
        <v>0</v>
      </c>
      <c r="BZ158" s="251"/>
      <c r="CA158" s="326"/>
      <c r="CB158" s="322">
        <f t="shared" si="152"/>
        <v>0</v>
      </c>
      <c r="CC158" s="251"/>
      <c r="CD158" s="326"/>
      <c r="CE158" s="322">
        <f t="shared" si="152"/>
        <v>0</v>
      </c>
      <c r="CF158" s="251"/>
      <c r="CG158" s="251"/>
      <c r="CH158" s="251"/>
    </row>
    <row r="159" spans="1:86" ht="15" customHeight="1">
      <c r="A159" s="219"/>
      <c r="B159" s="219"/>
      <c r="C159" s="219"/>
      <c r="D159" s="219"/>
      <c r="E159" s="219"/>
      <c r="F159" s="567"/>
      <c r="G159" s="191">
        <v>8</v>
      </c>
      <c r="H159" s="372" t="str">
        <f>IF(SUM(Calcs!$B$2:$B$37)=288,League!P9,"Pos. "&amp;G159)</f>
        <v>Pos. 8</v>
      </c>
      <c r="I159" s="219"/>
      <c r="J159" s="458" t="s">
        <v>32</v>
      </c>
      <c r="K159" s="322">
        <f t="shared" si="150"/>
        <v>0</v>
      </c>
      <c r="L159" s="251"/>
      <c r="M159" s="326" t="s">
        <v>27</v>
      </c>
      <c r="N159" s="322">
        <f t="shared" si="151"/>
        <v>0</v>
      </c>
      <c r="O159" s="251"/>
      <c r="P159" s="326" t="s">
        <v>41</v>
      </c>
      <c r="Q159" s="322">
        <f t="shared" si="151"/>
        <v>0</v>
      </c>
      <c r="R159" s="251"/>
      <c r="S159" s="326" t="s">
        <v>28</v>
      </c>
      <c r="T159" s="322">
        <f t="shared" si="151"/>
        <v>0</v>
      </c>
      <c r="U159" s="251"/>
      <c r="V159" s="326" t="s">
        <v>23</v>
      </c>
      <c r="W159" s="322">
        <f t="shared" si="151"/>
        <v>0</v>
      </c>
      <c r="X159" s="251"/>
      <c r="Y159" s="326" t="s">
        <v>32</v>
      </c>
      <c r="Z159" s="322">
        <f t="shared" si="151"/>
        <v>0</v>
      </c>
      <c r="AA159" s="251"/>
      <c r="AB159" s="326" t="s">
        <v>44</v>
      </c>
      <c r="AC159" s="322">
        <f t="shared" si="151"/>
        <v>0</v>
      </c>
      <c r="AD159" s="251"/>
      <c r="AE159" s="326" t="s">
        <v>39</v>
      </c>
      <c r="AF159" s="322">
        <f t="shared" si="151"/>
        <v>0</v>
      </c>
      <c r="AG159" s="251"/>
      <c r="AH159" s="326" t="s">
        <v>54</v>
      </c>
      <c r="AI159" s="322">
        <f t="shared" si="151"/>
        <v>0</v>
      </c>
      <c r="AJ159" s="251"/>
      <c r="AK159" s="326" t="s">
        <v>46</v>
      </c>
      <c r="AL159" s="322">
        <f t="shared" si="151"/>
        <v>0</v>
      </c>
      <c r="AM159" s="251"/>
      <c r="AN159" s="326" t="s">
        <v>32</v>
      </c>
      <c r="AO159" s="322">
        <f t="shared" si="151"/>
        <v>0</v>
      </c>
      <c r="AP159" s="251"/>
      <c r="AQ159" s="326" t="s">
        <v>45</v>
      </c>
      <c r="AR159" s="322">
        <f t="shared" si="151"/>
        <v>0</v>
      </c>
      <c r="AS159" s="251"/>
      <c r="AT159" s="326" t="s">
        <v>46</v>
      </c>
      <c r="AU159" s="322">
        <f t="shared" si="151"/>
        <v>0</v>
      </c>
      <c r="AV159" s="251"/>
      <c r="AW159" s="326" t="s">
        <v>42</v>
      </c>
      <c r="AX159" s="322">
        <f t="shared" si="151"/>
        <v>0</v>
      </c>
      <c r="AY159" s="251"/>
      <c r="AZ159" s="539" t="s">
        <v>28</v>
      </c>
      <c r="BA159" s="322">
        <f t="shared" si="151"/>
        <v>0</v>
      </c>
      <c r="BB159" s="251"/>
      <c r="BC159" s="326" t="s">
        <v>42</v>
      </c>
      <c r="BD159" s="322">
        <f t="shared" si="151"/>
        <v>0</v>
      </c>
      <c r="BE159" s="251"/>
      <c r="BF159" s="326"/>
      <c r="BG159" s="322">
        <f t="shared" si="151"/>
        <v>0</v>
      </c>
      <c r="BH159" s="251"/>
      <c r="BI159" s="326"/>
      <c r="BJ159" s="322">
        <f t="shared" si="151"/>
        <v>0</v>
      </c>
      <c r="BK159" s="251"/>
      <c r="BL159" s="326"/>
      <c r="BM159" s="322">
        <f t="shared" si="151"/>
        <v>0</v>
      </c>
      <c r="BN159" s="251"/>
      <c r="BO159" s="326"/>
      <c r="BP159" s="322">
        <f t="shared" si="151"/>
        <v>0</v>
      </c>
      <c r="BQ159" s="251"/>
      <c r="BR159" s="326"/>
      <c r="BS159" s="322">
        <f t="shared" si="151"/>
        <v>0</v>
      </c>
      <c r="BT159" s="251"/>
      <c r="BU159" s="326"/>
      <c r="BV159" s="322">
        <f t="shared" si="151"/>
        <v>0</v>
      </c>
      <c r="BW159" s="251"/>
      <c r="BX159" s="326"/>
      <c r="BY159" s="322">
        <f t="shared" si="151"/>
        <v>0</v>
      </c>
      <c r="BZ159" s="251"/>
      <c r="CA159" s="326"/>
      <c r="CB159" s="322">
        <f t="shared" si="152"/>
        <v>0</v>
      </c>
      <c r="CC159" s="251"/>
      <c r="CD159" s="326"/>
      <c r="CE159" s="322">
        <f t="shared" si="152"/>
        <v>0</v>
      </c>
      <c r="CF159" s="251"/>
      <c r="CG159" s="251"/>
      <c r="CH159" s="251"/>
    </row>
    <row r="160" spans="1:86" ht="15" customHeight="1">
      <c r="A160" s="219"/>
      <c r="B160" s="219"/>
      <c r="C160" s="219"/>
      <c r="D160" s="219"/>
      <c r="E160" s="219"/>
      <c r="F160" s="567"/>
      <c r="G160" s="191">
        <v>9</v>
      </c>
      <c r="H160" s="372" t="str">
        <f>IF(SUM(Calcs!$B$2:$B$37)=288,League!P10,"Pos. "&amp;G160)</f>
        <v>Pos. 9</v>
      </c>
      <c r="I160" s="219"/>
      <c r="J160" s="458" t="s">
        <v>28</v>
      </c>
      <c r="K160" s="322">
        <f t="shared" si="150"/>
        <v>0</v>
      </c>
      <c r="L160" s="251"/>
      <c r="M160" s="326" t="s">
        <v>42</v>
      </c>
      <c r="N160" s="322">
        <f t="shared" si="151"/>
        <v>0</v>
      </c>
      <c r="O160" s="251"/>
      <c r="P160" s="326" t="s">
        <v>43</v>
      </c>
      <c r="Q160" s="322">
        <f t="shared" si="151"/>
        <v>0</v>
      </c>
      <c r="R160" s="251"/>
      <c r="S160" s="326" t="s">
        <v>44</v>
      </c>
      <c r="T160" s="322">
        <f t="shared" si="151"/>
        <v>0</v>
      </c>
      <c r="U160" s="251"/>
      <c r="V160" s="326" t="s">
        <v>27</v>
      </c>
      <c r="W160" s="322">
        <f t="shared" si="151"/>
        <v>0</v>
      </c>
      <c r="X160" s="251"/>
      <c r="Y160" s="326" t="s">
        <v>44</v>
      </c>
      <c r="Z160" s="322">
        <f t="shared" si="151"/>
        <v>0</v>
      </c>
      <c r="AA160" s="251"/>
      <c r="AB160" s="326" t="s">
        <v>33</v>
      </c>
      <c r="AC160" s="322">
        <f t="shared" si="151"/>
        <v>0</v>
      </c>
      <c r="AD160" s="251"/>
      <c r="AE160" s="326" t="s">
        <v>41</v>
      </c>
      <c r="AF160" s="322">
        <f t="shared" si="151"/>
        <v>0</v>
      </c>
      <c r="AG160" s="251"/>
      <c r="AH160" s="326" t="s">
        <v>55</v>
      </c>
      <c r="AI160" s="322">
        <f t="shared" si="151"/>
        <v>0</v>
      </c>
      <c r="AJ160" s="251"/>
      <c r="AK160" s="326" t="s">
        <v>32</v>
      </c>
      <c r="AL160" s="322">
        <f t="shared" si="151"/>
        <v>0</v>
      </c>
      <c r="AM160" s="251"/>
      <c r="AN160" s="326" t="s">
        <v>56</v>
      </c>
      <c r="AO160" s="322">
        <f t="shared" si="151"/>
        <v>0</v>
      </c>
      <c r="AP160" s="251"/>
      <c r="AQ160" s="326" t="s">
        <v>32</v>
      </c>
      <c r="AR160" s="322">
        <f t="shared" si="151"/>
        <v>0</v>
      </c>
      <c r="AS160" s="251"/>
      <c r="AT160" s="326" t="s">
        <v>39</v>
      </c>
      <c r="AU160" s="322">
        <f t="shared" si="151"/>
        <v>0</v>
      </c>
      <c r="AV160" s="251"/>
      <c r="AW160" s="326" t="s">
        <v>39</v>
      </c>
      <c r="AX160" s="322">
        <f t="shared" si="151"/>
        <v>0</v>
      </c>
      <c r="AY160" s="251"/>
      <c r="AZ160" s="539" t="s">
        <v>56</v>
      </c>
      <c r="BA160" s="322">
        <f t="shared" si="151"/>
        <v>0</v>
      </c>
      <c r="BB160" s="251"/>
      <c r="BC160" s="326" t="s">
        <v>23</v>
      </c>
      <c r="BD160" s="322">
        <f t="shared" si="151"/>
        <v>0</v>
      </c>
      <c r="BE160" s="251"/>
      <c r="BF160" s="326"/>
      <c r="BG160" s="322">
        <f t="shared" si="151"/>
        <v>0</v>
      </c>
      <c r="BH160" s="251"/>
      <c r="BI160" s="326"/>
      <c r="BJ160" s="322">
        <f t="shared" si="151"/>
        <v>0</v>
      </c>
      <c r="BK160" s="251"/>
      <c r="BL160" s="326"/>
      <c r="BM160" s="322">
        <f t="shared" si="151"/>
        <v>0</v>
      </c>
      <c r="BN160" s="251"/>
      <c r="BO160" s="326"/>
      <c r="BP160" s="322">
        <f t="shared" si="151"/>
        <v>0</v>
      </c>
      <c r="BQ160" s="251"/>
      <c r="BR160" s="326"/>
      <c r="BS160" s="322">
        <f t="shared" si="151"/>
        <v>0</v>
      </c>
      <c r="BT160" s="251"/>
      <c r="BU160" s="326"/>
      <c r="BV160" s="322">
        <f t="shared" si="151"/>
        <v>0</v>
      </c>
      <c r="BW160" s="251"/>
      <c r="BX160" s="326"/>
      <c r="BY160" s="322">
        <f t="shared" si="151"/>
        <v>0</v>
      </c>
      <c r="BZ160" s="251"/>
      <c r="CA160" s="326"/>
      <c r="CB160" s="322">
        <f t="shared" si="152"/>
        <v>0</v>
      </c>
      <c r="CC160" s="251"/>
      <c r="CD160" s="326"/>
      <c r="CE160" s="322">
        <f t="shared" si="152"/>
        <v>0</v>
      </c>
      <c r="CF160" s="251"/>
      <c r="CG160" s="251"/>
      <c r="CH160" s="251"/>
    </row>
    <row r="161" spans="1:86" ht="15" customHeight="1">
      <c r="A161" s="219"/>
      <c r="B161" s="219"/>
      <c r="C161" s="219"/>
      <c r="D161" s="219"/>
      <c r="E161" s="219"/>
      <c r="F161" s="567"/>
      <c r="G161" s="191">
        <v>10</v>
      </c>
      <c r="H161" s="372" t="str">
        <f>IF(SUM(Calcs!$B$2:$B$37)=288,League!P11,"Pos. "&amp;G161)</f>
        <v>Pos. 10</v>
      </c>
      <c r="I161" s="219"/>
      <c r="J161" s="458" t="s">
        <v>26</v>
      </c>
      <c r="K161" s="322">
        <f t="shared" si="150"/>
        <v>0</v>
      </c>
      <c r="L161" s="251"/>
      <c r="M161" s="326" t="s">
        <v>32</v>
      </c>
      <c r="N161" s="322">
        <f t="shared" si="151"/>
        <v>0</v>
      </c>
      <c r="O161" s="251"/>
      <c r="P161" s="326" t="s">
        <v>42</v>
      </c>
      <c r="Q161" s="322">
        <f t="shared" si="151"/>
        <v>0</v>
      </c>
      <c r="R161" s="251"/>
      <c r="S161" s="326" t="s">
        <v>33</v>
      </c>
      <c r="T161" s="322">
        <f t="shared" si="151"/>
        <v>0</v>
      </c>
      <c r="U161" s="251"/>
      <c r="V161" s="326" t="s">
        <v>26</v>
      </c>
      <c r="W161" s="322">
        <f t="shared" si="151"/>
        <v>0</v>
      </c>
      <c r="X161" s="251"/>
      <c r="Y161" s="326" t="s">
        <v>28</v>
      </c>
      <c r="Z161" s="322">
        <f t="shared" si="151"/>
        <v>0</v>
      </c>
      <c r="AA161" s="251"/>
      <c r="AB161" s="326" t="s">
        <v>42</v>
      </c>
      <c r="AC161" s="322">
        <f t="shared" si="151"/>
        <v>0</v>
      </c>
      <c r="AD161" s="251"/>
      <c r="AE161" s="326" t="s">
        <v>45</v>
      </c>
      <c r="AF161" s="322">
        <f t="shared" si="151"/>
        <v>0</v>
      </c>
      <c r="AG161" s="251"/>
      <c r="AH161" s="326" t="s">
        <v>39</v>
      </c>
      <c r="AI161" s="322">
        <f t="shared" si="151"/>
        <v>0</v>
      </c>
      <c r="AJ161" s="251"/>
      <c r="AK161" s="326" t="s">
        <v>26</v>
      </c>
      <c r="AL161" s="322">
        <f t="shared" si="151"/>
        <v>0</v>
      </c>
      <c r="AM161" s="251"/>
      <c r="AN161" s="326" t="s">
        <v>48</v>
      </c>
      <c r="AO161" s="322">
        <f t="shared" si="151"/>
        <v>0</v>
      </c>
      <c r="AP161" s="251"/>
      <c r="AQ161" s="326" t="s">
        <v>27</v>
      </c>
      <c r="AR161" s="322">
        <f t="shared" si="151"/>
        <v>0</v>
      </c>
      <c r="AS161" s="251"/>
      <c r="AT161" s="326" t="s">
        <v>45</v>
      </c>
      <c r="AU161" s="322">
        <f t="shared" si="151"/>
        <v>0</v>
      </c>
      <c r="AV161" s="251"/>
      <c r="AW161" s="326" t="s">
        <v>32</v>
      </c>
      <c r="AX161" s="322">
        <f t="shared" si="151"/>
        <v>0</v>
      </c>
      <c r="AY161" s="251"/>
      <c r="AZ161" s="539" t="s">
        <v>41</v>
      </c>
      <c r="BA161" s="322">
        <f t="shared" si="151"/>
        <v>0</v>
      </c>
      <c r="BB161" s="251"/>
      <c r="BC161" s="326" t="s">
        <v>54</v>
      </c>
      <c r="BD161" s="322">
        <f t="shared" si="151"/>
        <v>0</v>
      </c>
      <c r="BE161" s="251"/>
      <c r="BF161" s="326"/>
      <c r="BG161" s="322">
        <f t="shared" si="151"/>
        <v>0</v>
      </c>
      <c r="BH161" s="251"/>
      <c r="BI161" s="326"/>
      <c r="BJ161" s="322">
        <f t="shared" si="151"/>
        <v>0</v>
      </c>
      <c r="BK161" s="251"/>
      <c r="BL161" s="326"/>
      <c r="BM161" s="322">
        <f t="shared" si="151"/>
        <v>0</v>
      </c>
      <c r="BN161" s="251"/>
      <c r="BO161" s="326"/>
      <c r="BP161" s="322">
        <f t="shared" si="151"/>
        <v>0</v>
      </c>
      <c r="BQ161" s="251"/>
      <c r="BR161" s="326"/>
      <c r="BS161" s="322">
        <f t="shared" si="151"/>
        <v>0</v>
      </c>
      <c r="BT161" s="251"/>
      <c r="BU161" s="326"/>
      <c r="BV161" s="322">
        <f t="shared" si="151"/>
        <v>0</v>
      </c>
      <c r="BW161" s="251"/>
      <c r="BX161" s="326"/>
      <c r="BY161" s="322">
        <f t="shared" si="151"/>
        <v>0</v>
      </c>
      <c r="BZ161" s="251"/>
      <c r="CA161" s="326"/>
      <c r="CB161" s="322">
        <f t="shared" si="152"/>
        <v>0</v>
      </c>
      <c r="CC161" s="251"/>
      <c r="CD161" s="326"/>
      <c r="CE161" s="322">
        <f t="shared" si="152"/>
        <v>0</v>
      </c>
      <c r="CF161" s="251"/>
      <c r="CG161" s="251"/>
      <c r="CH161" s="251"/>
    </row>
    <row r="162" spans="1:86" ht="15" customHeight="1">
      <c r="A162" s="219"/>
      <c r="B162" s="219"/>
      <c r="C162" s="219"/>
      <c r="D162" s="219"/>
      <c r="E162" s="219"/>
      <c r="F162" s="567"/>
      <c r="G162" s="191">
        <v>11</v>
      </c>
      <c r="H162" s="372" t="str">
        <f>IF(SUM(Calcs!$B$2:$B$37)=288,League!P12,"Pos. "&amp;G162)</f>
        <v>Pos. 11</v>
      </c>
      <c r="I162" s="219"/>
      <c r="J162" s="458" t="s">
        <v>54</v>
      </c>
      <c r="K162" s="322">
        <f t="shared" si="150"/>
        <v>0</v>
      </c>
      <c r="L162" s="251"/>
      <c r="M162" s="326" t="s">
        <v>39</v>
      </c>
      <c r="N162" s="322">
        <f t="shared" si="151"/>
        <v>0</v>
      </c>
      <c r="O162" s="251"/>
      <c r="P162" s="326" t="s">
        <v>28</v>
      </c>
      <c r="Q162" s="322">
        <f t="shared" si="151"/>
        <v>0</v>
      </c>
      <c r="R162" s="251"/>
      <c r="S162" s="326" t="s">
        <v>39</v>
      </c>
      <c r="T162" s="322">
        <f t="shared" si="151"/>
        <v>0</v>
      </c>
      <c r="U162" s="251"/>
      <c r="V162" s="326" t="s">
        <v>28</v>
      </c>
      <c r="W162" s="322">
        <f t="shared" si="151"/>
        <v>0</v>
      </c>
      <c r="X162" s="251"/>
      <c r="Y162" s="326" t="s">
        <v>29</v>
      </c>
      <c r="Z162" s="322">
        <f t="shared" si="151"/>
        <v>0</v>
      </c>
      <c r="AA162" s="251"/>
      <c r="AB162" s="326" t="s">
        <v>22</v>
      </c>
      <c r="AC162" s="322">
        <f t="shared" si="151"/>
        <v>0</v>
      </c>
      <c r="AD162" s="251"/>
      <c r="AE162" s="326" t="s">
        <v>24</v>
      </c>
      <c r="AF162" s="322">
        <f t="shared" si="151"/>
        <v>0</v>
      </c>
      <c r="AG162" s="251"/>
      <c r="AH162" s="326" t="s">
        <v>33</v>
      </c>
      <c r="AI162" s="322">
        <f t="shared" si="151"/>
        <v>0</v>
      </c>
      <c r="AJ162" s="251"/>
      <c r="AK162" s="326" t="s">
        <v>45</v>
      </c>
      <c r="AL162" s="322">
        <f t="shared" si="151"/>
        <v>0</v>
      </c>
      <c r="AM162" s="251"/>
      <c r="AN162" s="326" t="s">
        <v>33</v>
      </c>
      <c r="AO162" s="322">
        <f t="shared" si="151"/>
        <v>0</v>
      </c>
      <c r="AP162" s="251"/>
      <c r="AQ162" s="326" t="s">
        <v>23</v>
      </c>
      <c r="AR162" s="322">
        <f t="shared" si="151"/>
        <v>0</v>
      </c>
      <c r="AS162" s="251"/>
      <c r="AT162" s="326" t="s">
        <v>44</v>
      </c>
      <c r="AU162" s="322">
        <f t="shared" si="151"/>
        <v>0</v>
      </c>
      <c r="AV162" s="251"/>
      <c r="AW162" s="326" t="s">
        <v>46</v>
      </c>
      <c r="AX162" s="322">
        <f t="shared" si="151"/>
        <v>0</v>
      </c>
      <c r="AY162" s="251"/>
      <c r="AZ162" s="539" t="s">
        <v>23</v>
      </c>
      <c r="BA162" s="322">
        <f t="shared" si="151"/>
        <v>0</v>
      </c>
      <c r="BB162" s="251"/>
      <c r="BC162" s="326" t="s">
        <v>45</v>
      </c>
      <c r="BD162" s="322">
        <f t="shared" si="151"/>
        <v>0</v>
      </c>
      <c r="BE162" s="251"/>
      <c r="BF162" s="326"/>
      <c r="BG162" s="322">
        <f t="shared" si="151"/>
        <v>0</v>
      </c>
      <c r="BH162" s="251"/>
      <c r="BI162" s="326"/>
      <c r="BJ162" s="322">
        <f t="shared" si="151"/>
        <v>0</v>
      </c>
      <c r="BK162" s="251"/>
      <c r="BL162" s="326"/>
      <c r="BM162" s="322">
        <f t="shared" si="151"/>
        <v>0</v>
      </c>
      <c r="BN162" s="251"/>
      <c r="BO162" s="326"/>
      <c r="BP162" s="322">
        <f t="shared" si="151"/>
        <v>0</v>
      </c>
      <c r="BQ162" s="251"/>
      <c r="BR162" s="326"/>
      <c r="BS162" s="322">
        <f t="shared" si="151"/>
        <v>0</v>
      </c>
      <c r="BT162" s="251"/>
      <c r="BU162" s="326"/>
      <c r="BV162" s="322">
        <f t="shared" si="151"/>
        <v>0</v>
      </c>
      <c r="BW162" s="251"/>
      <c r="BX162" s="326"/>
      <c r="BY162" s="322">
        <f t="shared" si="151"/>
        <v>0</v>
      </c>
      <c r="BZ162" s="251"/>
      <c r="CA162" s="326"/>
      <c r="CB162" s="322">
        <f t="shared" si="152"/>
        <v>0</v>
      </c>
      <c r="CC162" s="251"/>
      <c r="CD162" s="326"/>
      <c r="CE162" s="322">
        <f t="shared" si="152"/>
        <v>0</v>
      </c>
      <c r="CF162" s="251"/>
      <c r="CG162" s="251"/>
      <c r="CH162" s="251"/>
    </row>
    <row r="163" spans="1:86" ht="15" customHeight="1">
      <c r="A163" s="219"/>
      <c r="B163" s="219"/>
      <c r="C163" s="219"/>
      <c r="D163" s="219"/>
      <c r="E163" s="219"/>
      <c r="F163" s="567"/>
      <c r="G163" s="191">
        <v>12</v>
      </c>
      <c r="H163" s="372" t="str">
        <f>IF(SUM(Calcs!$B$2:$B$37)=288,League!P13,"Pos. "&amp;G163)</f>
        <v>Pos. 12</v>
      </c>
      <c r="I163" s="219"/>
      <c r="J163" s="458" t="s">
        <v>55</v>
      </c>
      <c r="K163" s="322">
        <f t="shared" si="150"/>
        <v>0</v>
      </c>
      <c r="L163" s="251"/>
      <c r="M163" s="326" t="s">
        <v>23</v>
      </c>
      <c r="N163" s="322">
        <f t="shared" si="151"/>
        <v>0</v>
      </c>
      <c r="O163" s="251"/>
      <c r="P163" s="326" t="s">
        <v>39</v>
      </c>
      <c r="Q163" s="322">
        <f t="shared" si="151"/>
        <v>0</v>
      </c>
      <c r="R163" s="251"/>
      <c r="S163" s="326" t="s">
        <v>26</v>
      </c>
      <c r="T163" s="322">
        <f t="shared" si="151"/>
        <v>0</v>
      </c>
      <c r="U163" s="251"/>
      <c r="V163" s="326" t="s">
        <v>29</v>
      </c>
      <c r="W163" s="322">
        <f t="shared" si="151"/>
        <v>0</v>
      </c>
      <c r="X163" s="251"/>
      <c r="Y163" s="326" t="s">
        <v>42</v>
      </c>
      <c r="Z163" s="322">
        <f t="shared" si="151"/>
        <v>0</v>
      </c>
      <c r="AA163" s="251"/>
      <c r="AB163" s="326" t="s">
        <v>32</v>
      </c>
      <c r="AC163" s="322">
        <f t="shared" si="151"/>
        <v>0</v>
      </c>
      <c r="AD163" s="251"/>
      <c r="AE163" s="326" t="s">
        <v>50</v>
      </c>
      <c r="AF163" s="322">
        <f t="shared" si="151"/>
        <v>0</v>
      </c>
      <c r="AG163" s="251"/>
      <c r="AH163" s="326" t="s">
        <v>43</v>
      </c>
      <c r="AI163" s="322">
        <f t="shared" si="151"/>
        <v>0</v>
      </c>
      <c r="AJ163" s="251"/>
      <c r="AK163" s="326" t="s">
        <v>23</v>
      </c>
      <c r="AL163" s="322">
        <f t="shared" si="151"/>
        <v>0</v>
      </c>
      <c r="AM163" s="251"/>
      <c r="AN163" s="326" t="s">
        <v>30</v>
      </c>
      <c r="AO163" s="322">
        <f t="shared" si="151"/>
        <v>0</v>
      </c>
      <c r="AP163" s="251"/>
      <c r="AQ163" s="326" t="s">
        <v>26</v>
      </c>
      <c r="AR163" s="322">
        <f t="shared" si="151"/>
        <v>0</v>
      </c>
      <c r="AS163" s="251"/>
      <c r="AT163" s="326" t="s">
        <v>26</v>
      </c>
      <c r="AU163" s="322">
        <f t="shared" si="151"/>
        <v>0</v>
      </c>
      <c r="AV163" s="251"/>
      <c r="AW163" s="326" t="s">
        <v>44</v>
      </c>
      <c r="AX163" s="322">
        <f t="shared" si="151"/>
        <v>0</v>
      </c>
      <c r="AY163" s="251"/>
      <c r="AZ163" s="539" t="s">
        <v>42</v>
      </c>
      <c r="BA163" s="322">
        <f t="shared" ref="BA163:CE174" si="153">IF($H163=AZ163,$D$11,0)</f>
        <v>0</v>
      </c>
      <c r="BB163" s="251"/>
      <c r="BC163" s="326" t="s">
        <v>39</v>
      </c>
      <c r="BD163" s="322">
        <f t="shared" si="153"/>
        <v>0</v>
      </c>
      <c r="BE163" s="251"/>
      <c r="BF163" s="326"/>
      <c r="BG163" s="322">
        <f t="shared" si="153"/>
        <v>0</v>
      </c>
      <c r="BH163" s="251"/>
      <c r="BI163" s="326"/>
      <c r="BJ163" s="322">
        <f t="shared" si="153"/>
        <v>0</v>
      </c>
      <c r="BK163" s="251"/>
      <c r="BL163" s="326"/>
      <c r="BM163" s="322">
        <f t="shared" si="153"/>
        <v>0</v>
      </c>
      <c r="BN163" s="251"/>
      <c r="BO163" s="326"/>
      <c r="BP163" s="322">
        <f t="shared" si="153"/>
        <v>0</v>
      </c>
      <c r="BQ163" s="251"/>
      <c r="BR163" s="326"/>
      <c r="BS163" s="322">
        <f t="shared" si="153"/>
        <v>0</v>
      </c>
      <c r="BT163" s="251"/>
      <c r="BU163" s="326"/>
      <c r="BV163" s="322">
        <f t="shared" si="153"/>
        <v>0</v>
      </c>
      <c r="BW163" s="251"/>
      <c r="BX163" s="326"/>
      <c r="BY163" s="322">
        <f t="shared" si="153"/>
        <v>0</v>
      </c>
      <c r="BZ163" s="251"/>
      <c r="CA163" s="326"/>
      <c r="CB163" s="322">
        <f t="shared" si="153"/>
        <v>0</v>
      </c>
      <c r="CC163" s="251"/>
      <c r="CD163" s="326"/>
      <c r="CE163" s="322">
        <f t="shared" si="153"/>
        <v>0</v>
      </c>
      <c r="CF163" s="251"/>
      <c r="CG163" s="251"/>
      <c r="CH163" s="251"/>
    </row>
    <row r="164" spans="1:86" ht="15" customHeight="1">
      <c r="A164" s="219"/>
      <c r="B164" s="219"/>
      <c r="C164" s="219"/>
      <c r="D164" s="219"/>
      <c r="E164" s="219"/>
      <c r="F164" s="567"/>
      <c r="G164" s="191">
        <v>13</v>
      </c>
      <c r="H164" s="372" t="str">
        <f>IF(SUM(Calcs!$B$2:$B$37)=288,League!P14,"Pos. "&amp;G164)</f>
        <v>Pos. 13</v>
      </c>
      <c r="I164" s="219"/>
      <c r="J164" s="458" t="s">
        <v>39</v>
      </c>
      <c r="K164" s="322">
        <f t="shared" si="150"/>
        <v>0</v>
      </c>
      <c r="L164" s="251"/>
      <c r="M164" s="326" t="s">
        <v>26</v>
      </c>
      <c r="N164" s="322">
        <f t="shared" ref="N164:BY175" si="154">IF($H164=M164,$D$11,0)</f>
        <v>0</v>
      </c>
      <c r="O164" s="251"/>
      <c r="P164" s="326" t="s">
        <v>54</v>
      </c>
      <c r="Q164" s="322">
        <f t="shared" si="154"/>
        <v>0</v>
      </c>
      <c r="R164" s="251"/>
      <c r="S164" s="326" t="s">
        <v>54</v>
      </c>
      <c r="T164" s="322">
        <f t="shared" si="154"/>
        <v>0</v>
      </c>
      <c r="U164" s="251"/>
      <c r="V164" s="326" t="s">
        <v>39</v>
      </c>
      <c r="W164" s="322">
        <f t="shared" si="154"/>
        <v>0</v>
      </c>
      <c r="X164" s="251"/>
      <c r="Y164" s="326" t="s">
        <v>39</v>
      </c>
      <c r="Z164" s="322">
        <f t="shared" si="154"/>
        <v>0</v>
      </c>
      <c r="AA164" s="251"/>
      <c r="AB164" s="326" t="s">
        <v>39</v>
      </c>
      <c r="AC164" s="322">
        <f t="shared" si="154"/>
        <v>0</v>
      </c>
      <c r="AD164" s="251"/>
      <c r="AE164" s="326" t="s">
        <v>44</v>
      </c>
      <c r="AF164" s="322">
        <f t="shared" si="154"/>
        <v>0</v>
      </c>
      <c r="AG164" s="251"/>
      <c r="AH164" s="326" t="s">
        <v>46</v>
      </c>
      <c r="AI164" s="322">
        <f t="shared" si="154"/>
        <v>0</v>
      </c>
      <c r="AJ164" s="251"/>
      <c r="AK164" s="326" t="s">
        <v>54</v>
      </c>
      <c r="AL164" s="322">
        <f t="shared" si="154"/>
        <v>0</v>
      </c>
      <c r="AM164" s="251"/>
      <c r="AN164" s="326" t="s">
        <v>42</v>
      </c>
      <c r="AO164" s="322">
        <f t="shared" si="154"/>
        <v>0</v>
      </c>
      <c r="AP164" s="251"/>
      <c r="AQ164" s="326" t="s">
        <v>53</v>
      </c>
      <c r="AR164" s="322">
        <f t="shared" si="154"/>
        <v>0</v>
      </c>
      <c r="AS164" s="251"/>
      <c r="AT164" s="326" t="s">
        <v>42</v>
      </c>
      <c r="AU164" s="322">
        <f t="shared" si="154"/>
        <v>0</v>
      </c>
      <c r="AV164" s="251"/>
      <c r="AW164" s="326" t="s">
        <v>58</v>
      </c>
      <c r="AX164" s="322">
        <f t="shared" si="154"/>
        <v>0</v>
      </c>
      <c r="AY164" s="251"/>
      <c r="AZ164" s="539" t="s">
        <v>26</v>
      </c>
      <c r="BA164" s="322">
        <f t="shared" si="154"/>
        <v>0</v>
      </c>
      <c r="BB164" s="251"/>
      <c r="BC164" s="326" t="s">
        <v>33</v>
      </c>
      <c r="BD164" s="322">
        <f t="shared" si="154"/>
        <v>0</v>
      </c>
      <c r="BE164" s="251"/>
      <c r="BF164" s="326"/>
      <c r="BG164" s="322">
        <f t="shared" si="154"/>
        <v>0</v>
      </c>
      <c r="BH164" s="251"/>
      <c r="BI164" s="326"/>
      <c r="BJ164" s="322">
        <f t="shared" si="154"/>
        <v>0</v>
      </c>
      <c r="BK164" s="251"/>
      <c r="BL164" s="326"/>
      <c r="BM164" s="322">
        <f t="shared" si="154"/>
        <v>0</v>
      </c>
      <c r="BN164" s="251"/>
      <c r="BO164" s="326"/>
      <c r="BP164" s="322">
        <f t="shared" si="154"/>
        <v>0</v>
      </c>
      <c r="BQ164" s="251"/>
      <c r="BR164" s="326"/>
      <c r="BS164" s="322">
        <f t="shared" si="154"/>
        <v>0</v>
      </c>
      <c r="BT164" s="251"/>
      <c r="BU164" s="326"/>
      <c r="BV164" s="322">
        <f t="shared" si="154"/>
        <v>0</v>
      </c>
      <c r="BW164" s="251"/>
      <c r="BX164" s="326"/>
      <c r="BY164" s="322">
        <f t="shared" si="154"/>
        <v>0</v>
      </c>
      <c r="BZ164" s="251"/>
      <c r="CA164" s="326"/>
      <c r="CB164" s="322">
        <f t="shared" si="153"/>
        <v>0</v>
      </c>
      <c r="CC164" s="251"/>
      <c r="CD164" s="326"/>
      <c r="CE164" s="322">
        <f t="shared" si="153"/>
        <v>0</v>
      </c>
      <c r="CF164" s="251"/>
      <c r="CG164" s="251"/>
      <c r="CH164" s="251"/>
    </row>
    <row r="165" spans="1:86" ht="15" customHeight="1">
      <c r="A165" s="219"/>
      <c r="B165" s="219"/>
      <c r="C165" s="219"/>
      <c r="D165" s="219"/>
      <c r="E165" s="219"/>
      <c r="F165" s="567"/>
      <c r="G165" s="191">
        <v>14</v>
      </c>
      <c r="H165" s="372" t="str">
        <f>IF(SUM(Calcs!$B$2:$B$37)=288,League!P15,"Pos. "&amp;G165)</f>
        <v>Pos. 14</v>
      </c>
      <c r="I165" s="219"/>
      <c r="J165" s="458" t="s">
        <v>27</v>
      </c>
      <c r="K165" s="322">
        <f t="shared" si="150"/>
        <v>0</v>
      </c>
      <c r="L165" s="251"/>
      <c r="M165" s="326" t="s">
        <v>48</v>
      </c>
      <c r="N165" s="322">
        <f t="shared" si="154"/>
        <v>0</v>
      </c>
      <c r="O165" s="251"/>
      <c r="P165" s="326" t="s">
        <v>22</v>
      </c>
      <c r="Q165" s="322">
        <f t="shared" si="154"/>
        <v>0</v>
      </c>
      <c r="R165" s="251"/>
      <c r="S165" s="326" t="s">
        <v>32</v>
      </c>
      <c r="T165" s="322">
        <f t="shared" si="154"/>
        <v>0</v>
      </c>
      <c r="U165" s="251"/>
      <c r="V165" s="326" t="s">
        <v>33</v>
      </c>
      <c r="W165" s="322">
        <f t="shared" si="154"/>
        <v>0</v>
      </c>
      <c r="X165" s="251"/>
      <c r="Y165" s="326" t="s">
        <v>26</v>
      </c>
      <c r="Z165" s="322">
        <f t="shared" si="154"/>
        <v>0</v>
      </c>
      <c r="AA165" s="251"/>
      <c r="AB165" s="326" t="s">
        <v>26</v>
      </c>
      <c r="AC165" s="322">
        <f t="shared" si="154"/>
        <v>0</v>
      </c>
      <c r="AD165" s="251"/>
      <c r="AE165" s="326" t="s">
        <v>33</v>
      </c>
      <c r="AF165" s="322">
        <f t="shared" si="154"/>
        <v>0</v>
      </c>
      <c r="AG165" s="251"/>
      <c r="AH165" s="326" t="s">
        <v>41</v>
      </c>
      <c r="AI165" s="322">
        <f t="shared" si="154"/>
        <v>0</v>
      </c>
      <c r="AJ165" s="251"/>
      <c r="AK165" s="326" t="s">
        <v>44</v>
      </c>
      <c r="AL165" s="322">
        <f t="shared" si="154"/>
        <v>0</v>
      </c>
      <c r="AM165" s="251"/>
      <c r="AN165" s="326" t="s">
        <v>44</v>
      </c>
      <c r="AO165" s="322">
        <f t="shared" si="154"/>
        <v>0</v>
      </c>
      <c r="AP165" s="251"/>
      <c r="AQ165" s="326" t="s">
        <v>43</v>
      </c>
      <c r="AR165" s="322">
        <f t="shared" si="154"/>
        <v>0</v>
      </c>
      <c r="AS165" s="251"/>
      <c r="AT165" s="326" t="s">
        <v>27</v>
      </c>
      <c r="AU165" s="322">
        <f t="shared" si="154"/>
        <v>0</v>
      </c>
      <c r="AV165" s="251"/>
      <c r="AW165" s="326" t="s">
        <v>45</v>
      </c>
      <c r="AX165" s="322">
        <f t="shared" si="154"/>
        <v>0</v>
      </c>
      <c r="AY165" s="251"/>
      <c r="AZ165" s="539" t="s">
        <v>22</v>
      </c>
      <c r="BA165" s="322">
        <f t="shared" si="154"/>
        <v>0</v>
      </c>
      <c r="BB165" s="251"/>
      <c r="BC165" s="326" t="s">
        <v>26</v>
      </c>
      <c r="BD165" s="322">
        <f t="shared" si="154"/>
        <v>0</v>
      </c>
      <c r="BE165" s="251"/>
      <c r="BF165" s="326"/>
      <c r="BG165" s="322">
        <f t="shared" si="154"/>
        <v>0</v>
      </c>
      <c r="BH165" s="251"/>
      <c r="BI165" s="326"/>
      <c r="BJ165" s="322">
        <f t="shared" si="154"/>
        <v>0</v>
      </c>
      <c r="BK165" s="251"/>
      <c r="BL165" s="326"/>
      <c r="BM165" s="322">
        <f t="shared" si="154"/>
        <v>0</v>
      </c>
      <c r="BN165" s="251"/>
      <c r="BO165" s="326"/>
      <c r="BP165" s="322">
        <f t="shared" si="154"/>
        <v>0</v>
      </c>
      <c r="BQ165" s="251"/>
      <c r="BR165" s="326"/>
      <c r="BS165" s="322">
        <f t="shared" si="154"/>
        <v>0</v>
      </c>
      <c r="BT165" s="251"/>
      <c r="BU165" s="326"/>
      <c r="BV165" s="322">
        <f t="shared" si="154"/>
        <v>0</v>
      </c>
      <c r="BW165" s="251"/>
      <c r="BX165" s="326"/>
      <c r="BY165" s="322">
        <f t="shared" si="154"/>
        <v>0</v>
      </c>
      <c r="BZ165" s="251"/>
      <c r="CA165" s="326"/>
      <c r="CB165" s="322">
        <f t="shared" si="153"/>
        <v>0</v>
      </c>
      <c r="CC165" s="251"/>
      <c r="CD165" s="326"/>
      <c r="CE165" s="322">
        <f t="shared" si="153"/>
        <v>0</v>
      </c>
      <c r="CF165" s="251"/>
      <c r="CG165" s="251"/>
      <c r="CH165" s="251"/>
    </row>
    <row r="166" spans="1:86" ht="15" customHeight="1">
      <c r="A166" s="219"/>
      <c r="B166" s="219"/>
      <c r="C166" s="219"/>
      <c r="D166" s="219"/>
      <c r="E166" s="219"/>
      <c r="F166" s="567"/>
      <c r="G166" s="191">
        <v>15</v>
      </c>
      <c r="H166" s="372" t="str">
        <f>IF(SUM(Calcs!$B$2:$B$37)=288,League!P16,"Pos. "&amp;G166)</f>
        <v>Pos. 15</v>
      </c>
      <c r="I166" s="219"/>
      <c r="J166" s="458" t="s">
        <v>50</v>
      </c>
      <c r="K166" s="322">
        <f t="shared" si="150"/>
        <v>0</v>
      </c>
      <c r="L166" s="251"/>
      <c r="M166" s="326" t="s">
        <v>50</v>
      </c>
      <c r="N166" s="322">
        <f t="shared" si="154"/>
        <v>0</v>
      </c>
      <c r="O166" s="251"/>
      <c r="P166" s="326" t="s">
        <v>46</v>
      </c>
      <c r="Q166" s="322">
        <f t="shared" si="154"/>
        <v>0</v>
      </c>
      <c r="R166" s="251"/>
      <c r="S166" s="326" t="s">
        <v>27</v>
      </c>
      <c r="T166" s="322">
        <f t="shared" si="154"/>
        <v>0</v>
      </c>
      <c r="U166" s="251"/>
      <c r="V166" s="326" t="s">
        <v>54</v>
      </c>
      <c r="W166" s="322">
        <f t="shared" si="154"/>
        <v>0</v>
      </c>
      <c r="X166" s="251"/>
      <c r="Y166" s="326" t="s">
        <v>27</v>
      </c>
      <c r="Z166" s="322">
        <f t="shared" si="154"/>
        <v>0</v>
      </c>
      <c r="AA166" s="251"/>
      <c r="AB166" s="326" t="s">
        <v>30</v>
      </c>
      <c r="AC166" s="322">
        <f t="shared" si="154"/>
        <v>0</v>
      </c>
      <c r="AD166" s="251"/>
      <c r="AE166" s="326" t="s">
        <v>30</v>
      </c>
      <c r="AF166" s="322">
        <f t="shared" si="154"/>
        <v>0</v>
      </c>
      <c r="AG166" s="251"/>
      <c r="AH166" s="326" t="s">
        <v>38</v>
      </c>
      <c r="AI166" s="322">
        <f t="shared" si="154"/>
        <v>0</v>
      </c>
      <c r="AJ166" s="251"/>
      <c r="AK166" s="326" t="s">
        <v>27</v>
      </c>
      <c r="AL166" s="322">
        <f t="shared" si="154"/>
        <v>0</v>
      </c>
      <c r="AM166" s="251"/>
      <c r="AN166" s="326" t="s">
        <v>27</v>
      </c>
      <c r="AO166" s="322">
        <f t="shared" si="154"/>
        <v>0</v>
      </c>
      <c r="AP166" s="251"/>
      <c r="AQ166" s="326" t="s">
        <v>42</v>
      </c>
      <c r="AR166" s="322">
        <f t="shared" si="154"/>
        <v>0</v>
      </c>
      <c r="AS166" s="251"/>
      <c r="AT166" s="326" t="s">
        <v>54</v>
      </c>
      <c r="AU166" s="322">
        <f t="shared" si="154"/>
        <v>0</v>
      </c>
      <c r="AV166" s="251"/>
      <c r="AW166" s="326" t="s">
        <v>23</v>
      </c>
      <c r="AX166" s="322">
        <f t="shared" si="154"/>
        <v>0</v>
      </c>
      <c r="AY166" s="251"/>
      <c r="AZ166" s="539" t="s">
        <v>33</v>
      </c>
      <c r="BA166" s="322">
        <f t="shared" si="154"/>
        <v>0</v>
      </c>
      <c r="BB166" s="251"/>
      <c r="BC166" s="326" t="s">
        <v>46</v>
      </c>
      <c r="BD166" s="322">
        <f t="shared" si="154"/>
        <v>0</v>
      </c>
      <c r="BE166" s="251"/>
      <c r="BF166" s="326"/>
      <c r="BG166" s="322">
        <f t="shared" si="154"/>
        <v>0</v>
      </c>
      <c r="BH166" s="251"/>
      <c r="BI166" s="326"/>
      <c r="BJ166" s="322">
        <f t="shared" si="154"/>
        <v>0</v>
      </c>
      <c r="BK166" s="251"/>
      <c r="BL166" s="326"/>
      <c r="BM166" s="322">
        <f t="shared" si="154"/>
        <v>0</v>
      </c>
      <c r="BN166" s="251"/>
      <c r="BO166" s="326"/>
      <c r="BP166" s="322">
        <f t="shared" si="154"/>
        <v>0</v>
      </c>
      <c r="BQ166" s="251"/>
      <c r="BR166" s="326"/>
      <c r="BS166" s="322">
        <f t="shared" si="154"/>
        <v>0</v>
      </c>
      <c r="BT166" s="251"/>
      <c r="BU166" s="326"/>
      <c r="BV166" s="322">
        <f t="shared" si="154"/>
        <v>0</v>
      </c>
      <c r="BW166" s="251"/>
      <c r="BX166" s="326"/>
      <c r="BY166" s="322">
        <f t="shared" si="154"/>
        <v>0</v>
      </c>
      <c r="BZ166" s="251"/>
      <c r="CA166" s="326"/>
      <c r="CB166" s="322">
        <f t="shared" si="153"/>
        <v>0</v>
      </c>
      <c r="CC166" s="251"/>
      <c r="CD166" s="326"/>
      <c r="CE166" s="322">
        <f t="shared" si="153"/>
        <v>0</v>
      </c>
      <c r="CF166" s="251"/>
      <c r="CG166" s="251"/>
      <c r="CH166" s="251"/>
    </row>
    <row r="167" spans="1:86" ht="15" customHeight="1">
      <c r="A167" s="219"/>
      <c r="B167" s="219"/>
      <c r="C167" s="219"/>
      <c r="D167" s="219"/>
      <c r="E167" s="219"/>
      <c r="F167" s="567"/>
      <c r="G167" s="191">
        <v>16</v>
      </c>
      <c r="H167" s="372" t="str">
        <f>IF(SUM(Calcs!$B$2:$B$37)=288,League!P17,"Pos. "&amp;G167)</f>
        <v>Pos. 16</v>
      </c>
      <c r="I167" s="219"/>
      <c r="J167" s="458" t="s">
        <v>38</v>
      </c>
      <c r="K167" s="322">
        <f t="shared" si="150"/>
        <v>0</v>
      </c>
      <c r="L167" s="251"/>
      <c r="M167" s="326" t="s">
        <v>22</v>
      </c>
      <c r="N167" s="322">
        <f t="shared" si="154"/>
        <v>0</v>
      </c>
      <c r="O167" s="251"/>
      <c r="P167" s="326" t="s">
        <v>27</v>
      </c>
      <c r="Q167" s="322">
        <f t="shared" si="154"/>
        <v>0</v>
      </c>
      <c r="R167" s="251"/>
      <c r="S167" s="326" t="s">
        <v>30</v>
      </c>
      <c r="T167" s="322">
        <f t="shared" si="154"/>
        <v>0</v>
      </c>
      <c r="U167" s="251"/>
      <c r="V167" s="326" t="s">
        <v>55</v>
      </c>
      <c r="W167" s="322">
        <f t="shared" si="154"/>
        <v>0</v>
      </c>
      <c r="X167" s="251"/>
      <c r="Y167" s="326" t="s">
        <v>48</v>
      </c>
      <c r="Z167" s="322">
        <f t="shared" si="154"/>
        <v>0</v>
      </c>
      <c r="AA167" s="251"/>
      <c r="AB167" s="326" t="s">
        <v>51</v>
      </c>
      <c r="AC167" s="322">
        <f t="shared" si="154"/>
        <v>0</v>
      </c>
      <c r="AD167" s="251"/>
      <c r="AE167" s="326" t="s">
        <v>32</v>
      </c>
      <c r="AF167" s="322">
        <f t="shared" si="154"/>
        <v>0</v>
      </c>
      <c r="AG167" s="251"/>
      <c r="AH167" s="326" t="s">
        <v>48</v>
      </c>
      <c r="AI167" s="322">
        <f t="shared" si="154"/>
        <v>0</v>
      </c>
      <c r="AJ167" s="251"/>
      <c r="AK167" s="326" t="s">
        <v>42</v>
      </c>
      <c r="AL167" s="322">
        <f t="shared" si="154"/>
        <v>0</v>
      </c>
      <c r="AM167" s="251"/>
      <c r="AN167" s="326" t="s">
        <v>46</v>
      </c>
      <c r="AO167" s="322">
        <f t="shared" si="154"/>
        <v>0</v>
      </c>
      <c r="AP167" s="251"/>
      <c r="AQ167" s="326" t="s">
        <v>50</v>
      </c>
      <c r="AR167" s="322">
        <f t="shared" si="154"/>
        <v>0</v>
      </c>
      <c r="AS167" s="251"/>
      <c r="AT167" s="326" t="s">
        <v>38</v>
      </c>
      <c r="AU167" s="322">
        <f t="shared" si="154"/>
        <v>0</v>
      </c>
      <c r="AV167" s="251"/>
      <c r="AW167" s="326" t="s">
        <v>24</v>
      </c>
      <c r="AX167" s="322">
        <f t="shared" si="154"/>
        <v>0</v>
      </c>
      <c r="AY167" s="251"/>
      <c r="AZ167" s="539" t="s">
        <v>46</v>
      </c>
      <c r="BA167" s="322">
        <f t="shared" si="154"/>
        <v>0</v>
      </c>
      <c r="BB167" s="251"/>
      <c r="BC167" s="326" t="s">
        <v>32</v>
      </c>
      <c r="BD167" s="322">
        <f t="shared" si="154"/>
        <v>0</v>
      </c>
      <c r="BE167" s="251"/>
      <c r="BF167" s="326"/>
      <c r="BG167" s="322">
        <f t="shared" si="154"/>
        <v>0</v>
      </c>
      <c r="BH167" s="251"/>
      <c r="BI167" s="326"/>
      <c r="BJ167" s="322">
        <f t="shared" si="154"/>
        <v>0</v>
      </c>
      <c r="BK167" s="251"/>
      <c r="BL167" s="326"/>
      <c r="BM167" s="322">
        <f t="shared" si="154"/>
        <v>0</v>
      </c>
      <c r="BN167" s="251"/>
      <c r="BO167" s="326"/>
      <c r="BP167" s="322">
        <f t="shared" si="154"/>
        <v>0</v>
      </c>
      <c r="BQ167" s="251"/>
      <c r="BR167" s="326"/>
      <c r="BS167" s="322">
        <f t="shared" si="154"/>
        <v>0</v>
      </c>
      <c r="BT167" s="251"/>
      <c r="BU167" s="326"/>
      <c r="BV167" s="322">
        <f t="shared" si="154"/>
        <v>0</v>
      </c>
      <c r="BW167" s="251"/>
      <c r="BX167" s="326"/>
      <c r="BY167" s="322">
        <f t="shared" si="154"/>
        <v>0</v>
      </c>
      <c r="BZ167" s="251"/>
      <c r="CA167" s="326"/>
      <c r="CB167" s="322">
        <f t="shared" si="153"/>
        <v>0</v>
      </c>
      <c r="CC167" s="251"/>
      <c r="CD167" s="326"/>
      <c r="CE167" s="322">
        <f t="shared" si="153"/>
        <v>0</v>
      </c>
      <c r="CF167" s="251"/>
      <c r="CG167" s="251"/>
      <c r="CH167" s="251"/>
    </row>
    <row r="168" spans="1:86" ht="15" customHeight="1">
      <c r="A168" s="219"/>
      <c r="B168" s="219"/>
      <c r="C168" s="219"/>
      <c r="D168" s="219"/>
      <c r="E168" s="219"/>
      <c r="F168" s="567"/>
      <c r="G168" s="191">
        <v>17</v>
      </c>
      <c r="H168" s="372" t="str">
        <f>IF(SUM(Calcs!$B$2:$B$37)=288,League!P18,"Pos. "&amp;G168)</f>
        <v>Pos. 17</v>
      </c>
      <c r="I168" s="219"/>
      <c r="J168" s="458" t="s">
        <v>52</v>
      </c>
      <c r="K168" s="322">
        <f t="shared" si="150"/>
        <v>0</v>
      </c>
      <c r="L168" s="251"/>
      <c r="M168" s="326" t="s">
        <v>54</v>
      </c>
      <c r="N168" s="322">
        <f t="shared" si="154"/>
        <v>0</v>
      </c>
      <c r="O168" s="251"/>
      <c r="P168" s="326" t="s">
        <v>34</v>
      </c>
      <c r="Q168" s="322">
        <f t="shared" si="154"/>
        <v>0</v>
      </c>
      <c r="R168" s="251"/>
      <c r="S168" s="326" t="s">
        <v>22</v>
      </c>
      <c r="T168" s="322">
        <f t="shared" si="154"/>
        <v>0</v>
      </c>
      <c r="U168" s="251"/>
      <c r="V168" s="326" t="s">
        <v>22</v>
      </c>
      <c r="W168" s="322">
        <f t="shared" si="154"/>
        <v>0</v>
      </c>
      <c r="X168" s="251"/>
      <c r="Y168" s="326" t="s">
        <v>55</v>
      </c>
      <c r="Z168" s="322">
        <f t="shared" si="154"/>
        <v>0</v>
      </c>
      <c r="AA168" s="251"/>
      <c r="AB168" s="326" t="s">
        <v>54</v>
      </c>
      <c r="AC168" s="322">
        <f t="shared" si="154"/>
        <v>0</v>
      </c>
      <c r="AD168" s="251"/>
      <c r="AE168" s="326" t="s">
        <v>27</v>
      </c>
      <c r="AF168" s="322">
        <f t="shared" si="154"/>
        <v>0</v>
      </c>
      <c r="AG168" s="251"/>
      <c r="AH168" s="326" t="s">
        <v>27</v>
      </c>
      <c r="AI168" s="322">
        <f t="shared" si="154"/>
        <v>0</v>
      </c>
      <c r="AJ168" s="251"/>
      <c r="AK168" s="326" t="s">
        <v>30</v>
      </c>
      <c r="AL168" s="322">
        <f t="shared" si="154"/>
        <v>0</v>
      </c>
      <c r="AM168" s="251"/>
      <c r="AN168" s="326" t="s">
        <v>55</v>
      </c>
      <c r="AO168" s="322">
        <f t="shared" si="154"/>
        <v>0</v>
      </c>
      <c r="AP168" s="251"/>
      <c r="AQ168" s="326" t="s">
        <v>38</v>
      </c>
      <c r="AR168" s="322">
        <f t="shared" si="154"/>
        <v>0</v>
      </c>
      <c r="AS168" s="251"/>
      <c r="AT168" s="326" t="s">
        <v>50</v>
      </c>
      <c r="AU168" s="322">
        <f t="shared" si="154"/>
        <v>0</v>
      </c>
      <c r="AV168" s="251"/>
      <c r="AW168" s="326" t="s">
        <v>55</v>
      </c>
      <c r="AX168" s="322">
        <f t="shared" si="154"/>
        <v>0</v>
      </c>
      <c r="AY168" s="251"/>
      <c r="AZ168" s="539" t="s">
        <v>48</v>
      </c>
      <c r="BA168" s="322">
        <f t="shared" si="154"/>
        <v>0</v>
      </c>
      <c r="BB168" s="251"/>
      <c r="BC168" s="326" t="s">
        <v>34</v>
      </c>
      <c r="BD168" s="322">
        <f t="shared" si="154"/>
        <v>0</v>
      </c>
      <c r="BE168" s="251"/>
      <c r="BF168" s="326"/>
      <c r="BG168" s="322">
        <f t="shared" si="154"/>
        <v>0</v>
      </c>
      <c r="BH168" s="251"/>
      <c r="BI168" s="326"/>
      <c r="BJ168" s="322">
        <f t="shared" si="154"/>
        <v>0</v>
      </c>
      <c r="BK168" s="251"/>
      <c r="BL168" s="326"/>
      <c r="BM168" s="322">
        <f t="shared" si="154"/>
        <v>0</v>
      </c>
      <c r="BN168" s="251"/>
      <c r="BO168" s="326"/>
      <c r="BP168" s="322">
        <f t="shared" si="154"/>
        <v>0</v>
      </c>
      <c r="BQ168" s="251"/>
      <c r="BR168" s="326"/>
      <c r="BS168" s="322">
        <f t="shared" si="154"/>
        <v>0</v>
      </c>
      <c r="BT168" s="251"/>
      <c r="BU168" s="326"/>
      <c r="BV168" s="322">
        <f t="shared" si="154"/>
        <v>0</v>
      </c>
      <c r="BW168" s="251"/>
      <c r="BX168" s="326"/>
      <c r="BY168" s="322">
        <f t="shared" si="154"/>
        <v>0</v>
      </c>
      <c r="BZ168" s="251"/>
      <c r="CA168" s="326"/>
      <c r="CB168" s="322">
        <f t="shared" si="153"/>
        <v>0</v>
      </c>
      <c r="CC168" s="251"/>
      <c r="CD168" s="326"/>
      <c r="CE168" s="322">
        <f t="shared" si="153"/>
        <v>0</v>
      </c>
      <c r="CF168" s="251"/>
      <c r="CG168" s="251"/>
      <c r="CH168" s="251"/>
    </row>
    <row r="169" spans="1:86" ht="15" customHeight="1">
      <c r="A169" s="219"/>
      <c r="B169" s="219"/>
      <c r="C169" s="219"/>
      <c r="D169" s="219"/>
      <c r="E169" s="219"/>
      <c r="F169" s="567"/>
      <c r="G169" s="191">
        <v>18</v>
      </c>
      <c r="H169" s="372" t="str">
        <f>IF(SUM(Calcs!$B$2:$B$37)=288,League!P19,"Pos. "&amp;G169)</f>
        <v>Pos. 18</v>
      </c>
      <c r="I169" s="219"/>
      <c r="J169" s="458" t="s">
        <v>22</v>
      </c>
      <c r="K169" s="322">
        <f t="shared" si="150"/>
        <v>0</v>
      </c>
      <c r="L169" s="251"/>
      <c r="M169" s="326" t="s">
        <v>30</v>
      </c>
      <c r="N169" s="322">
        <f t="shared" si="154"/>
        <v>0</v>
      </c>
      <c r="O169" s="251"/>
      <c r="P169" s="326" t="s">
        <v>33</v>
      </c>
      <c r="Q169" s="322">
        <f t="shared" si="154"/>
        <v>0</v>
      </c>
      <c r="R169" s="251"/>
      <c r="S169" s="326" t="s">
        <v>48</v>
      </c>
      <c r="T169" s="322">
        <f t="shared" si="154"/>
        <v>0</v>
      </c>
      <c r="U169" s="251"/>
      <c r="V169" s="326" t="s">
        <v>50</v>
      </c>
      <c r="W169" s="322">
        <f t="shared" si="154"/>
        <v>0</v>
      </c>
      <c r="X169" s="251"/>
      <c r="Y169" s="326" t="s">
        <v>33</v>
      </c>
      <c r="Z169" s="322">
        <f t="shared" si="154"/>
        <v>0</v>
      </c>
      <c r="AA169" s="251"/>
      <c r="AB169" s="326" t="s">
        <v>29</v>
      </c>
      <c r="AC169" s="322">
        <f t="shared" si="154"/>
        <v>0</v>
      </c>
      <c r="AD169" s="251"/>
      <c r="AE169" s="326" t="s">
        <v>58</v>
      </c>
      <c r="AF169" s="322">
        <f t="shared" si="154"/>
        <v>0</v>
      </c>
      <c r="AG169" s="251"/>
      <c r="AH169" s="326" t="s">
        <v>26</v>
      </c>
      <c r="AI169" s="322">
        <f t="shared" si="154"/>
        <v>0</v>
      </c>
      <c r="AJ169" s="251"/>
      <c r="AK169" s="326" t="s">
        <v>48</v>
      </c>
      <c r="AL169" s="322">
        <f t="shared" si="154"/>
        <v>0</v>
      </c>
      <c r="AM169" s="251"/>
      <c r="AN169" s="326" t="s">
        <v>38</v>
      </c>
      <c r="AO169" s="322">
        <f t="shared" si="154"/>
        <v>0</v>
      </c>
      <c r="AP169" s="251"/>
      <c r="AQ169" s="326" t="s">
        <v>48</v>
      </c>
      <c r="AR169" s="322">
        <f t="shared" si="154"/>
        <v>0</v>
      </c>
      <c r="AS169" s="251"/>
      <c r="AT169" s="326" t="s">
        <v>30</v>
      </c>
      <c r="AU169" s="322">
        <f t="shared" si="154"/>
        <v>0</v>
      </c>
      <c r="AV169" s="251"/>
      <c r="AW169" s="326" t="s">
        <v>54</v>
      </c>
      <c r="AX169" s="322">
        <f t="shared" si="154"/>
        <v>0</v>
      </c>
      <c r="AY169" s="251"/>
      <c r="AZ169" s="539" t="s">
        <v>50</v>
      </c>
      <c r="BA169" s="322">
        <f t="shared" si="154"/>
        <v>0</v>
      </c>
      <c r="BB169" s="251"/>
      <c r="BC169" s="326" t="s">
        <v>52</v>
      </c>
      <c r="BD169" s="322">
        <f t="shared" si="154"/>
        <v>0</v>
      </c>
      <c r="BE169" s="251"/>
      <c r="BF169" s="326"/>
      <c r="BG169" s="322">
        <f t="shared" si="154"/>
        <v>0</v>
      </c>
      <c r="BH169" s="251"/>
      <c r="BI169" s="326"/>
      <c r="BJ169" s="322">
        <f t="shared" si="154"/>
        <v>0</v>
      </c>
      <c r="BK169" s="251"/>
      <c r="BL169" s="326"/>
      <c r="BM169" s="322">
        <f t="shared" si="154"/>
        <v>0</v>
      </c>
      <c r="BN169" s="251"/>
      <c r="BO169" s="326"/>
      <c r="BP169" s="322">
        <f t="shared" si="154"/>
        <v>0</v>
      </c>
      <c r="BQ169" s="251"/>
      <c r="BR169" s="326"/>
      <c r="BS169" s="322">
        <f t="shared" si="154"/>
        <v>0</v>
      </c>
      <c r="BT169" s="251"/>
      <c r="BU169" s="326"/>
      <c r="BV169" s="322">
        <f t="shared" si="154"/>
        <v>0</v>
      </c>
      <c r="BW169" s="251"/>
      <c r="BX169" s="326"/>
      <c r="BY169" s="322">
        <f t="shared" si="154"/>
        <v>0</v>
      </c>
      <c r="BZ169" s="251"/>
      <c r="CA169" s="326"/>
      <c r="CB169" s="322">
        <f t="shared" si="153"/>
        <v>0</v>
      </c>
      <c r="CC169" s="251"/>
      <c r="CD169" s="326"/>
      <c r="CE169" s="322">
        <f t="shared" si="153"/>
        <v>0</v>
      </c>
      <c r="CF169" s="251"/>
      <c r="CG169" s="251"/>
      <c r="CH169" s="251"/>
    </row>
    <row r="170" spans="1:86" ht="15" customHeight="1">
      <c r="A170" s="219"/>
      <c r="B170" s="219"/>
      <c r="C170" s="219"/>
      <c r="D170" s="219"/>
      <c r="E170" s="219"/>
      <c r="F170" s="567"/>
      <c r="G170" s="191">
        <v>19</v>
      </c>
      <c r="H170" s="372" t="str">
        <f>IF(SUM(Calcs!$B$2:$B$37)=288,League!P20,"Pos. "&amp;G170)</f>
        <v>Pos. 19</v>
      </c>
      <c r="I170" s="219"/>
      <c r="J170" s="458" t="s">
        <v>29</v>
      </c>
      <c r="K170" s="322">
        <f t="shared" si="150"/>
        <v>0</v>
      </c>
      <c r="L170" s="251"/>
      <c r="M170" s="326" t="s">
        <v>58</v>
      </c>
      <c r="N170" s="322">
        <f t="shared" si="154"/>
        <v>0</v>
      </c>
      <c r="O170" s="251"/>
      <c r="P170" s="326" t="s">
        <v>55</v>
      </c>
      <c r="Q170" s="322">
        <f t="shared" si="154"/>
        <v>0</v>
      </c>
      <c r="R170" s="251"/>
      <c r="S170" s="326" t="s">
        <v>29</v>
      </c>
      <c r="T170" s="322">
        <f t="shared" si="154"/>
        <v>0</v>
      </c>
      <c r="U170" s="251"/>
      <c r="V170" s="326" t="s">
        <v>52</v>
      </c>
      <c r="W170" s="322">
        <f t="shared" si="154"/>
        <v>0</v>
      </c>
      <c r="X170" s="251"/>
      <c r="Y170" s="326" t="s">
        <v>30</v>
      </c>
      <c r="Z170" s="322">
        <f t="shared" si="154"/>
        <v>0</v>
      </c>
      <c r="AA170" s="251"/>
      <c r="AB170" s="326" t="s">
        <v>48</v>
      </c>
      <c r="AC170" s="322">
        <f t="shared" si="154"/>
        <v>0</v>
      </c>
      <c r="AD170" s="251"/>
      <c r="AE170" s="326" t="s">
        <v>59</v>
      </c>
      <c r="AF170" s="322">
        <f t="shared" si="154"/>
        <v>0</v>
      </c>
      <c r="AG170" s="251"/>
      <c r="AH170" s="326" t="s">
        <v>45</v>
      </c>
      <c r="AI170" s="322">
        <f t="shared" si="154"/>
        <v>0</v>
      </c>
      <c r="AJ170" s="251"/>
      <c r="AK170" s="326" t="s">
        <v>38</v>
      </c>
      <c r="AL170" s="322">
        <f t="shared" si="154"/>
        <v>0</v>
      </c>
      <c r="AM170" s="251"/>
      <c r="AN170" s="326" t="s">
        <v>50</v>
      </c>
      <c r="AO170" s="322">
        <f t="shared" si="154"/>
        <v>0</v>
      </c>
      <c r="AP170" s="251"/>
      <c r="AQ170" s="326" t="s">
        <v>58</v>
      </c>
      <c r="AR170" s="322">
        <f t="shared" si="154"/>
        <v>0</v>
      </c>
      <c r="AS170" s="251"/>
      <c r="AT170" s="326" t="s">
        <v>48</v>
      </c>
      <c r="AU170" s="322">
        <f t="shared" si="154"/>
        <v>0</v>
      </c>
      <c r="AV170" s="251"/>
      <c r="AW170" s="326" t="s">
        <v>51</v>
      </c>
      <c r="AX170" s="322">
        <f t="shared" si="154"/>
        <v>0</v>
      </c>
      <c r="AY170" s="251"/>
      <c r="AZ170" s="539" t="s">
        <v>27</v>
      </c>
      <c r="BA170" s="322">
        <f t="shared" si="154"/>
        <v>0</v>
      </c>
      <c r="BB170" s="251"/>
      <c r="BC170" s="326" t="s">
        <v>48</v>
      </c>
      <c r="BD170" s="322">
        <f t="shared" si="154"/>
        <v>0</v>
      </c>
      <c r="BE170" s="251"/>
      <c r="BF170" s="326"/>
      <c r="BG170" s="322">
        <f t="shared" si="154"/>
        <v>0</v>
      </c>
      <c r="BH170" s="251"/>
      <c r="BI170" s="326"/>
      <c r="BJ170" s="322">
        <f t="shared" si="154"/>
        <v>0</v>
      </c>
      <c r="BK170" s="251"/>
      <c r="BL170" s="326"/>
      <c r="BM170" s="322">
        <f t="shared" si="154"/>
        <v>0</v>
      </c>
      <c r="BN170" s="251"/>
      <c r="BO170" s="326"/>
      <c r="BP170" s="322">
        <f t="shared" si="154"/>
        <v>0</v>
      </c>
      <c r="BQ170" s="251"/>
      <c r="BR170" s="326"/>
      <c r="BS170" s="322">
        <f t="shared" si="154"/>
        <v>0</v>
      </c>
      <c r="BT170" s="251"/>
      <c r="BU170" s="326"/>
      <c r="BV170" s="322">
        <f t="shared" si="154"/>
        <v>0</v>
      </c>
      <c r="BW170" s="251"/>
      <c r="BX170" s="326"/>
      <c r="BY170" s="322">
        <f t="shared" si="154"/>
        <v>0</v>
      </c>
      <c r="BZ170" s="251"/>
      <c r="CA170" s="326"/>
      <c r="CB170" s="322">
        <f t="shared" si="153"/>
        <v>0</v>
      </c>
      <c r="CC170" s="251"/>
      <c r="CD170" s="326"/>
      <c r="CE170" s="322">
        <f t="shared" si="153"/>
        <v>0</v>
      </c>
      <c r="CF170" s="251"/>
      <c r="CG170" s="251"/>
      <c r="CH170" s="251"/>
    </row>
    <row r="171" spans="1:86" ht="15" customHeight="1">
      <c r="A171" s="219"/>
      <c r="B171" s="219"/>
      <c r="C171" s="219"/>
      <c r="D171" s="219"/>
      <c r="E171" s="219"/>
      <c r="F171" s="567"/>
      <c r="G171" s="191">
        <v>20</v>
      </c>
      <c r="H171" s="372" t="str">
        <f>IF(SUM(Calcs!$B$2:$B$37)=288,League!P21,"Pos. "&amp;G171)</f>
        <v>Pos. 20</v>
      </c>
      <c r="I171" s="219"/>
      <c r="J171" s="458" t="s">
        <v>34</v>
      </c>
      <c r="K171" s="322">
        <f t="shared" si="150"/>
        <v>0</v>
      </c>
      <c r="L171" s="251"/>
      <c r="M171" s="326" t="s">
        <v>38</v>
      </c>
      <c r="N171" s="322">
        <f t="shared" si="154"/>
        <v>0</v>
      </c>
      <c r="O171" s="251"/>
      <c r="P171" s="326" t="s">
        <v>52</v>
      </c>
      <c r="Q171" s="322">
        <f t="shared" si="154"/>
        <v>0</v>
      </c>
      <c r="R171" s="251"/>
      <c r="S171" s="326" t="s">
        <v>38</v>
      </c>
      <c r="T171" s="322">
        <f t="shared" si="154"/>
        <v>0</v>
      </c>
      <c r="U171" s="251"/>
      <c r="V171" s="326" t="s">
        <v>30</v>
      </c>
      <c r="W171" s="322">
        <f t="shared" si="154"/>
        <v>0</v>
      </c>
      <c r="X171" s="251"/>
      <c r="Y171" s="326" t="s">
        <v>50</v>
      </c>
      <c r="Z171" s="322">
        <f t="shared" si="154"/>
        <v>0</v>
      </c>
      <c r="AA171" s="251"/>
      <c r="AB171" s="326" t="s">
        <v>27</v>
      </c>
      <c r="AC171" s="322">
        <f t="shared" si="154"/>
        <v>0</v>
      </c>
      <c r="AD171" s="251"/>
      <c r="AE171" s="326" t="s">
        <v>25</v>
      </c>
      <c r="AF171" s="322">
        <f t="shared" si="154"/>
        <v>0</v>
      </c>
      <c r="AG171" s="251"/>
      <c r="AH171" s="326" t="s">
        <v>29</v>
      </c>
      <c r="AI171" s="322">
        <f t="shared" si="154"/>
        <v>0</v>
      </c>
      <c r="AJ171" s="251"/>
      <c r="AK171" s="326" t="s">
        <v>58</v>
      </c>
      <c r="AL171" s="322">
        <f t="shared" si="154"/>
        <v>0</v>
      </c>
      <c r="AM171" s="251"/>
      <c r="AN171" s="326" t="s">
        <v>29</v>
      </c>
      <c r="AO171" s="322">
        <f t="shared" si="154"/>
        <v>0</v>
      </c>
      <c r="AP171" s="251"/>
      <c r="AQ171" s="326" t="s">
        <v>55</v>
      </c>
      <c r="AR171" s="322">
        <f t="shared" si="154"/>
        <v>0</v>
      </c>
      <c r="AS171" s="251"/>
      <c r="AT171" s="326" t="s">
        <v>24</v>
      </c>
      <c r="AU171" s="322">
        <f t="shared" si="154"/>
        <v>0</v>
      </c>
      <c r="AV171" s="251"/>
      <c r="AW171" s="326" t="s">
        <v>48</v>
      </c>
      <c r="AX171" s="322">
        <f t="shared" si="154"/>
        <v>0</v>
      </c>
      <c r="AY171" s="251"/>
      <c r="AZ171" s="539" t="s">
        <v>58</v>
      </c>
      <c r="BA171" s="322">
        <f t="shared" si="154"/>
        <v>0</v>
      </c>
      <c r="BB171" s="251"/>
      <c r="BC171" s="326" t="s">
        <v>29</v>
      </c>
      <c r="BD171" s="322">
        <f t="shared" si="154"/>
        <v>0</v>
      </c>
      <c r="BE171" s="251"/>
      <c r="BF171" s="326"/>
      <c r="BG171" s="322">
        <f t="shared" si="154"/>
        <v>0</v>
      </c>
      <c r="BH171" s="251"/>
      <c r="BI171" s="326"/>
      <c r="BJ171" s="322">
        <f t="shared" si="154"/>
        <v>0</v>
      </c>
      <c r="BK171" s="251"/>
      <c r="BL171" s="326"/>
      <c r="BM171" s="322">
        <f t="shared" si="154"/>
        <v>0</v>
      </c>
      <c r="BN171" s="251"/>
      <c r="BO171" s="326"/>
      <c r="BP171" s="322">
        <f t="shared" si="154"/>
        <v>0</v>
      </c>
      <c r="BQ171" s="251"/>
      <c r="BR171" s="326"/>
      <c r="BS171" s="322">
        <f t="shared" si="154"/>
        <v>0</v>
      </c>
      <c r="BT171" s="251"/>
      <c r="BU171" s="326"/>
      <c r="BV171" s="322">
        <f t="shared" si="154"/>
        <v>0</v>
      </c>
      <c r="BW171" s="251"/>
      <c r="BX171" s="326"/>
      <c r="BY171" s="322">
        <f t="shared" si="154"/>
        <v>0</v>
      </c>
      <c r="BZ171" s="251"/>
      <c r="CA171" s="326"/>
      <c r="CB171" s="322">
        <f t="shared" si="153"/>
        <v>0</v>
      </c>
      <c r="CC171" s="251"/>
      <c r="CD171" s="326"/>
      <c r="CE171" s="322">
        <f t="shared" si="153"/>
        <v>0</v>
      </c>
      <c r="CF171" s="251"/>
      <c r="CG171" s="251"/>
      <c r="CH171" s="251"/>
    </row>
    <row r="172" spans="1:86" ht="15" customHeight="1">
      <c r="A172" s="219"/>
      <c r="B172" s="219"/>
      <c r="C172" s="219"/>
      <c r="D172" s="219"/>
      <c r="E172" s="219"/>
      <c r="F172" s="567"/>
      <c r="G172" s="191">
        <v>21</v>
      </c>
      <c r="H172" s="372" t="str">
        <f>IF(SUM(Calcs!$B$2:$B$37)=288,League!P22,"Pos. "&amp;G172)</f>
        <v>Pos. 21</v>
      </c>
      <c r="I172" s="219"/>
      <c r="J172" s="458" t="s">
        <v>48</v>
      </c>
      <c r="K172" s="322">
        <f t="shared" si="150"/>
        <v>0</v>
      </c>
      <c r="L172" s="251"/>
      <c r="M172" s="326" t="s">
        <v>51</v>
      </c>
      <c r="N172" s="322">
        <f t="shared" si="154"/>
        <v>0</v>
      </c>
      <c r="O172" s="251"/>
      <c r="P172" s="326" t="s">
        <v>48</v>
      </c>
      <c r="Q172" s="322">
        <f t="shared" si="154"/>
        <v>0</v>
      </c>
      <c r="R172" s="251"/>
      <c r="S172" s="326" t="s">
        <v>55</v>
      </c>
      <c r="T172" s="322">
        <f t="shared" si="154"/>
        <v>0</v>
      </c>
      <c r="U172" s="251"/>
      <c r="V172" s="326" t="s">
        <v>48</v>
      </c>
      <c r="W172" s="322">
        <f t="shared" si="154"/>
        <v>0</v>
      </c>
      <c r="X172" s="251"/>
      <c r="Y172" s="326" t="s">
        <v>38</v>
      </c>
      <c r="Z172" s="322">
        <f t="shared" si="154"/>
        <v>0</v>
      </c>
      <c r="AA172" s="251"/>
      <c r="AB172" s="326" t="s">
        <v>38</v>
      </c>
      <c r="AC172" s="322">
        <f t="shared" si="154"/>
        <v>0</v>
      </c>
      <c r="AD172" s="251"/>
      <c r="AE172" s="326" t="s">
        <v>49</v>
      </c>
      <c r="AF172" s="322">
        <f t="shared" si="154"/>
        <v>0</v>
      </c>
      <c r="AG172" s="251"/>
      <c r="AH172" s="326" t="s">
        <v>22</v>
      </c>
      <c r="AI172" s="322">
        <f t="shared" si="154"/>
        <v>0</v>
      </c>
      <c r="AJ172" s="251"/>
      <c r="AK172" s="326" t="s">
        <v>29</v>
      </c>
      <c r="AL172" s="322">
        <f t="shared" si="154"/>
        <v>0</v>
      </c>
      <c r="AM172" s="251"/>
      <c r="AN172" s="326" t="s">
        <v>54</v>
      </c>
      <c r="AO172" s="322">
        <f t="shared" si="154"/>
        <v>0</v>
      </c>
      <c r="AP172" s="251"/>
      <c r="AQ172" s="326" t="s">
        <v>29</v>
      </c>
      <c r="AR172" s="322">
        <f t="shared" si="154"/>
        <v>0</v>
      </c>
      <c r="AS172" s="251"/>
      <c r="AT172" s="326" t="s">
        <v>33</v>
      </c>
      <c r="AU172" s="322">
        <f t="shared" si="154"/>
        <v>0</v>
      </c>
      <c r="AV172" s="251"/>
      <c r="AW172" s="326" t="s">
        <v>27</v>
      </c>
      <c r="AX172" s="322">
        <f t="shared" si="154"/>
        <v>0</v>
      </c>
      <c r="AY172" s="251"/>
      <c r="AZ172" s="539" t="s">
        <v>52</v>
      </c>
      <c r="BA172" s="322">
        <f t="shared" si="154"/>
        <v>0</v>
      </c>
      <c r="BB172" s="251"/>
      <c r="BC172" s="326" t="s">
        <v>27</v>
      </c>
      <c r="BD172" s="322">
        <f t="shared" si="154"/>
        <v>0</v>
      </c>
      <c r="BE172" s="251"/>
      <c r="BF172" s="326"/>
      <c r="BG172" s="322">
        <f t="shared" si="154"/>
        <v>0</v>
      </c>
      <c r="BH172" s="251"/>
      <c r="BI172" s="326"/>
      <c r="BJ172" s="322">
        <f t="shared" si="154"/>
        <v>0</v>
      </c>
      <c r="BK172" s="251"/>
      <c r="BL172" s="326"/>
      <c r="BM172" s="322">
        <f t="shared" si="154"/>
        <v>0</v>
      </c>
      <c r="BN172" s="251"/>
      <c r="BO172" s="326"/>
      <c r="BP172" s="322">
        <f t="shared" si="154"/>
        <v>0</v>
      </c>
      <c r="BQ172" s="251"/>
      <c r="BR172" s="326"/>
      <c r="BS172" s="322">
        <f t="shared" si="154"/>
        <v>0</v>
      </c>
      <c r="BT172" s="251"/>
      <c r="BU172" s="326"/>
      <c r="BV172" s="322">
        <f t="shared" si="154"/>
        <v>0</v>
      </c>
      <c r="BW172" s="251"/>
      <c r="BX172" s="326"/>
      <c r="BY172" s="322">
        <f t="shared" si="154"/>
        <v>0</v>
      </c>
      <c r="BZ172" s="251"/>
      <c r="CA172" s="326"/>
      <c r="CB172" s="322">
        <f t="shared" si="153"/>
        <v>0</v>
      </c>
      <c r="CC172" s="251"/>
      <c r="CD172" s="326"/>
      <c r="CE172" s="322">
        <f t="shared" si="153"/>
        <v>0</v>
      </c>
      <c r="CF172" s="251"/>
      <c r="CG172" s="251"/>
      <c r="CH172" s="251"/>
    </row>
    <row r="173" spans="1:86" ht="15" customHeight="1">
      <c r="A173" s="219"/>
      <c r="B173" s="219"/>
      <c r="C173" s="219"/>
      <c r="D173" s="219"/>
      <c r="E173" s="219"/>
      <c r="F173" s="567"/>
      <c r="G173" s="191">
        <v>22</v>
      </c>
      <c r="H173" s="372" t="str">
        <f>IF(SUM(Calcs!$B$2:$B$37)=288,League!P23,"Pos. "&amp;G173)</f>
        <v>Pos. 22</v>
      </c>
      <c r="I173" s="219"/>
      <c r="J173" s="458" t="s">
        <v>51</v>
      </c>
      <c r="K173" s="322">
        <f t="shared" si="150"/>
        <v>0</v>
      </c>
      <c r="L173" s="251"/>
      <c r="M173" s="326" t="s">
        <v>33</v>
      </c>
      <c r="N173" s="322">
        <f t="shared" si="154"/>
        <v>0</v>
      </c>
      <c r="O173" s="251"/>
      <c r="P173" s="326" t="s">
        <v>38</v>
      </c>
      <c r="Q173" s="322">
        <f t="shared" si="154"/>
        <v>0</v>
      </c>
      <c r="R173" s="251"/>
      <c r="S173" s="326" t="s">
        <v>46</v>
      </c>
      <c r="T173" s="322">
        <f t="shared" si="154"/>
        <v>0</v>
      </c>
      <c r="U173" s="251"/>
      <c r="V173" s="326" t="s">
        <v>58</v>
      </c>
      <c r="W173" s="322">
        <f t="shared" si="154"/>
        <v>0</v>
      </c>
      <c r="X173" s="251"/>
      <c r="Y173" s="326" t="s">
        <v>34</v>
      </c>
      <c r="Z173" s="322">
        <f t="shared" si="154"/>
        <v>0</v>
      </c>
      <c r="AA173" s="251"/>
      <c r="AB173" s="326" t="s">
        <v>46</v>
      </c>
      <c r="AC173" s="322">
        <f t="shared" si="154"/>
        <v>0</v>
      </c>
      <c r="AD173" s="251"/>
      <c r="AE173" s="326" t="s">
        <v>52</v>
      </c>
      <c r="AF173" s="322">
        <f t="shared" si="154"/>
        <v>0</v>
      </c>
      <c r="AG173" s="251"/>
      <c r="AH173" s="326" t="s">
        <v>58</v>
      </c>
      <c r="AI173" s="322">
        <f t="shared" si="154"/>
        <v>0</v>
      </c>
      <c r="AJ173" s="251"/>
      <c r="AK173" s="326" t="s">
        <v>55</v>
      </c>
      <c r="AL173" s="322">
        <f t="shared" si="154"/>
        <v>0</v>
      </c>
      <c r="AM173" s="251"/>
      <c r="AN173" s="326" t="s">
        <v>51</v>
      </c>
      <c r="AO173" s="322">
        <f t="shared" si="154"/>
        <v>0</v>
      </c>
      <c r="AP173" s="251"/>
      <c r="AQ173" s="326" t="s">
        <v>33</v>
      </c>
      <c r="AR173" s="322">
        <f t="shared" si="154"/>
        <v>0</v>
      </c>
      <c r="AS173" s="251"/>
      <c r="AT173" s="326" t="s">
        <v>58</v>
      </c>
      <c r="AU173" s="322">
        <f t="shared" si="154"/>
        <v>0</v>
      </c>
      <c r="AV173" s="251"/>
      <c r="AW173" s="326" t="s">
        <v>30</v>
      </c>
      <c r="AX173" s="322">
        <f t="shared" si="154"/>
        <v>0</v>
      </c>
      <c r="AY173" s="251"/>
      <c r="AZ173" s="539" t="s">
        <v>30</v>
      </c>
      <c r="BA173" s="322">
        <f t="shared" si="154"/>
        <v>0</v>
      </c>
      <c r="BB173" s="251"/>
      <c r="BC173" s="326" t="s">
        <v>50</v>
      </c>
      <c r="BD173" s="322">
        <f t="shared" si="154"/>
        <v>0</v>
      </c>
      <c r="BE173" s="251"/>
      <c r="BF173" s="326"/>
      <c r="BG173" s="322">
        <f t="shared" si="154"/>
        <v>0</v>
      </c>
      <c r="BH173" s="251"/>
      <c r="BI173" s="326"/>
      <c r="BJ173" s="322">
        <f t="shared" si="154"/>
        <v>0</v>
      </c>
      <c r="BK173" s="251"/>
      <c r="BL173" s="326"/>
      <c r="BM173" s="322">
        <f t="shared" si="154"/>
        <v>0</v>
      </c>
      <c r="BN173" s="251"/>
      <c r="BO173" s="326"/>
      <c r="BP173" s="322">
        <f t="shared" si="154"/>
        <v>0</v>
      </c>
      <c r="BQ173" s="251"/>
      <c r="BR173" s="326"/>
      <c r="BS173" s="322">
        <f t="shared" si="154"/>
        <v>0</v>
      </c>
      <c r="BT173" s="251"/>
      <c r="BU173" s="326"/>
      <c r="BV173" s="322">
        <f t="shared" si="154"/>
        <v>0</v>
      </c>
      <c r="BW173" s="251"/>
      <c r="BX173" s="326"/>
      <c r="BY173" s="322">
        <f t="shared" si="154"/>
        <v>0</v>
      </c>
      <c r="BZ173" s="251"/>
      <c r="CA173" s="326"/>
      <c r="CB173" s="322">
        <f t="shared" si="153"/>
        <v>0</v>
      </c>
      <c r="CC173" s="251"/>
      <c r="CD173" s="326"/>
      <c r="CE173" s="322">
        <f t="shared" si="153"/>
        <v>0</v>
      </c>
      <c r="CF173" s="251"/>
      <c r="CG173" s="251"/>
      <c r="CH173" s="251"/>
    </row>
    <row r="174" spans="1:86" ht="15" customHeight="1">
      <c r="A174" s="219"/>
      <c r="B174" s="219"/>
      <c r="C174" s="219"/>
      <c r="D174" s="219"/>
      <c r="E174" s="219"/>
      <c r="F174" s="567"/>
      <c r="G174" s="191">
        <v>23</v>
      </c>
      <c r="H174" s="372" t="str">
        <f>IF(SUM(Calcs!$B$2:$B$37)=288,League!P24,"Pos. "&amp;G174)</f>
        <v>Pos. 23</v>
      </c>
      <c r="I174" s="219"/>
      <c r="J174" s="458" t="s">
        <v>30</v>
      </c>
      <c r="K174" s="322">
        <f t="shared" si="150"/>
        <v>0</v>
      </c>
      <c r="L174" s="251"/>
      <c r="M174" s="326" t="s">
        <v>52</v>
      </c>
      <c r="N174" s="322">
        <f t="shared" si="154"/>
        <v>0</v>
      </c>
      <c r="O174" s="251"/>
      <c r="P174" s="326" t="s">
        <v>30</v>
      </c>
      <c r="Q174" s="322">
        <f t="shared" si="154"/>
        <v>0</v>
      </c>
      <c r="R174" s="251"/>
      <c r="S174" s="326" t="s">
        <v>51</v>
      </c>
      <c r="T174" s="322">
        <f t="shared" si="154"/>
        <v>0</v>
      </c>
      <c r="U174" s="251"/>
      <c r="V174" s="326" t="s">
        <v>36</v>
      </c>
      <c r="W174" s="322">
        <f t="shared" si="154"/>
        <v>0</v>
      </c>
      <c r="X174" s="251"/>
      <c r="Y174" s="326" t="s">
        <v>46</v>
      </c>
      <c r="Z174" s="322">
        <f t="shared" si="154"/>
        <v>0</v>
      </c>
      <c r="AA174" s="251"/>
      <c r="AB174" s="326" t="s">
        <v>24</v>
      </c>
      <c r="AC174" s="322">
        <f t="shared" si="154"/>
        <v>0</v>
      </c>
      <c r="AD174" s="251"/>
      <c r="AE174" s="326" t="s">
        <v>38</v>
      </c>
      <c r="AF174" s="322">
        <f t="shared" si="154"/>
        <v>0</v>
      </c>
      <c r="AG174" s="251"/>
      <c r="AH174" s="326" t="s">
        <v>30</v>
      </c>
      <c r="AI174" s="322">
        <f t="shared" si="154"/>
        <v>0</v>
      </c>
      <c r="AJ174" s="251"/>
      <c r="AK174" s="326" t="s">
        <v>33</v>
      </c>
      <c r="AL174" s="322">
        <f t="shared" si="154"/>
        <v>0</v>
      </c>
      <c r="AM174" s="251"/>
      <c r="AN174" s="326" t="s">
        <v>22</v>
      </c>
      <c r="AO174" s="322">
        <f t="shared" si="154"/>
        <v>0</v>
      </c>
      <c r="AP174" s="251"/>
      <c r="AQ174" s="326" t="s">
        <v>52</v>
      </c>
      <c r="AR174" s="322">
        <f t="shared" si="154"/>
        <v>0</v>
      </c>
      <c r="AS174" s="251"/>
      <c r="AT174" s="326" t="s">
        <v>55</v>
      </c>
      <c r="AU174" s="322">
        <f t="shared" si="154"/>
        <v>0</v>
      </c>
      <c r="AV174" s="251"/>
      <c r="AW174" s="326" t="s">
        <v>52</v>
      </c>
      <c r="AX174" s="322">
        <f t="shared" si="154"/>
        <v>0</v>
      </c>
      <c r="AY174" s="251"/>
      <c r="AZ174" s="539" t="s">
        <v>34</v>
      </c>
      <c r="BA174" s="322">
        <f t="shared" si="154"/>
        <v>0</v>
      </c>
      <c r="BB174" s="251"/>
      <c r="BC174" s="326" t="s">
        <v>55</v>
      </c>
      <c r="BD174" s="322">
        <f t="shared" si="154"/>
        <v>0</v>
      </c>
      <c r="BE174" s="251"/>
      <c r="BF174" s="326"/>
      <c r="BG174" s="322">
        <f t="shared" si="154"/>
        <v>0</v>
      </c>
      <c r="BH174" s="251"/>
      <c r="BI174" s="326"/>
      <c r="BJ174" s="322">
        <f t="shared" si="154"/>
        <v>0</v>
      </c>
      <c r="BK174" s="251"/>
      <c r="BL174" s="326"/>
      <c r="BM174" s="322">
        <f t="shared" si="154"/>
        <v>0</v>
      </c>
      <c r="BN174" s="251"/>
      <c r="BO174" s="326"/>
      <c r="BP174" s="322">
        <f t="shared" si="154"/>
        <v>0</v>
      </c>
      <c r="BQ174" s="251"/>
      <c r="BR174" s="326"/>
      <c r="BS174" s="322">
        <f t="shared" si="154"/>
        <v>0</v>
      </c>
      <c r="BT174" s="251"/>
      <c r="BU174" s="326"/>
      <c r="BV174" s="322">
        <f t="shared" si="154"/>
        <v>0</v>
      </c>
      <c r="BW174" s="251"/>
      <c r="BX174" s="326"/>
      <c r="BY174" s="322">
        <f t="shared" si="154"/>
        <v>0</v>
      </c>
      <c r="BZ174" s="251"/>
      <c r="CA174" s="326"/>
      <c r="CB174" s="322">
        <f t="shared" si="153"/>
        <v>0</v>
      </c>
      <c r="CC174" s="251"/>
      <c r="CD174" s="326"/>
      <c r="CE174" s="322">
        <f t="shared" si="153"/>
        <v>0</v>
      </c>
      <c r="CF174" s="251"/>
      <c r="CG174" s="251"/>
      <c r="CH174" s="251"/>
    </row>
    <row r="175" spans="1:86" ht="15" customHeight="1">
      <c r="A175" s="219"/>
      <c r="B175" s="219"/>
      <c r="C175" s="219"/>
      <c r="D175" s="219"/>
      <c r="E175" s="219"/>
      <c r="F175" s="567"/>
      <c r="G175" s="191">
        <v>24</v>
      </c>
      <c r="H175" s="372" t="str">
        <f>IF(SUM(Calcs!$B$2:$B$37)=288,League!P25,"Pos. "&amp;G175)</f>
        <v>Pos. 24</v>
      </c>
      <c r="I175" s="219"/>
      <c r="J175" s="458" t="s">
        <v>44</v>
      </c>
      <c r="K175" s="322">
        <f t="shared" si="150"/>
        <v>0</v>
      </c>
      <c r="L175" s="251"/>
      <c r="M175" s="326" t="s">
        <v>29</v>
      </c>
      <c r="N175" s="322">
        <f t="shared" si="154"/>
        <v>0</v>
      </c>
      <c r="O175" s="251"/>
      <c r="P175" s="326" t="s">
        <v>50</v>
      </c>
      <c r="Q175" s="322">
        <f t="shared" si="154"/>
        <v>0</v>
      </c>
      <c r="R175" s="251"/>
      <c r="S175" s="326" t="s">
        <v>47</v>
      </c>
      <c r="T175" s="322">
        <f t="shared" si="154"/>
        <v>0</v>
      </c>
      <c r="U175" s="251"/>
      <c r="V175" s="326" t="s">
        <v>32</v>
      </c>
      <c r="W175" s="322">
        <f t="shared" si="154"/>
        <v>0</v>
      </c>
      <c r="X175" s="251"/>
      <c r="Y175" s="326" t="s">
        <v>58</v>
      </c>
      <c r="Z175" s="322">
        <f t="shared" si="154"/>
        <v>0</v>
      </c>
      <c r="AA175" s="251"/>
      <c r="AB175" s="326" t="s">
        <v>47</v>
      </c>
      <c r="AC175" s="322">
        <f t="shared" si="154"/>
        <v>0</v>
      </c>
      <c r="AD175" s="251"/>
      <c r="AE175" s="326" t="s">
        <v>48</v>
      </c>
      <c r="AF175" s="322">
        <f t="shared" si="154"/>
        <v>0</v>
      </c>
      <c r="AG175" s="251"/>
      <c r="AH175" s="326" t="s">
        <v>24</v>
      </c>
      <c r="AI175" s="322">
        <f t="shared" si="154"/>
        <v>0</v>
      </c>
      <c r="AJ175" s="251"/>
      <c r="AK175" s="326" t="s">
        <v>24</v>
      </c>
      <c r="AL175" s="322">
        <f t="shared" si="154"/>
        <v>0</v>
      </c>
      <c r="AM175" s="251"/>
      <c r="AN175" s="326" t="s">
        <v>37</v>
      </c>
      <c r="AO175" s="322">
        <f t="shared" si="154"/>
        <v>0</v>
      </c>
      <c r="AP175" s="251"/>
      <c r="AQ175" s="326" t="s">
        <v>34</v>
      </c>
      <c r="AR175" s="322">
        <f t="shared" si="154"/>
        <v>0</v>
      </c>
      <c r="AS175" s="251"/>
      <c r="AT175" s="326" t="s">
        <v>22</v>
      </c>
      <c r="AU175" s="322">
        <f t="shared" si="154"/>
        <v>0</v>
      </c>
      <c r="AV175" s="251"/>
      <c r="AW175" s="326" t="s">
        <v>33</v>
      </c>
      <c r="AX175" s="322">
        <f t="shared" si="154"/>
        <v>0</v>
      </c>
      <c r="AY175" s="251"/>
      <c r="AZ175" s="539" t="s">
        <v>47</v>
      </c>
      <c r="BA175" s="322">
        <f t="shared" ref="BA175:CE186" si="155">IF($H175=AZ175,$D$11,0)</f>
        <v>0</v>
      </c>
      <c r="BB175" s="251"/>
      <c r="BC175" s="326" t="s">
        <v>38</v>
      </c>
      <c r="BD175" s="322">
        <f t="shared" si="155"/>
        <v>0</v>
      </c>
      <c r="BE175" s="251"/>
      <c r="BF175" s="326"/>
      <c r="BG175" s="322">
        <f t="shared" si="155"/>
        <v>0</v>
      </c>
      <c r="BH175" s="251"/>
      <c r="BI175" s="326"/>
      <c r="BJ175" s="322">
        <f t="shared" si="155"/>
        <v>0</v>
      </c>
      <c r="BK175" s="251"/>
      <c r="BL175" s="326"/>
      <c r="BM175" s="322">
        <f t="shared" si="155"/>
        <v>0</v>
      </c>
      <c r="BN175" s="251"/>
      <c r="BO175" s="326"/>
      <c r="BP175" s="322">
        <f t="shared" si="155"/>
        <v>0</v>
      </c>
      <c r="BQ175" s="251"/>
      <c r="BR175" s="326"/>
      <c r="BS175" s="322">
        <f t="shared" si="155"/>
        <v>0</v>
      </c>
      <c r="BT175" s="251"/>
      <c r="BU175" s="326"/>
      <c r="BV175" s="322">
        <f t="shared" si="155"/>
        <v>0</v>
      </c>
      <c r="BW175" s="251"/>
      <c r="BX175" s="326"/>
      <c r="BY175" s="322">
        <f t="shared" si="155"/>
        <v>0</v>
      </c>
      <c r="BZ175" s="251"/>
      <c r="CA175" s="326"/>
      <c r="CB175" s="322">
        <f t="shared" si="155"/>
        <v>0</v>
      </c>
      <c r="CC175" s="251"/>
      <c r="CD175" s="326"/>
      <c r="CE175" s="322">
        <f t="shared" si="155"/>
        <v>0</v>
      </c>
      <c r="CF175" s="251"/>
      <c r="CG175" s="251"/>
      <c r="CH175" s="251"/>
    </row>
    <row r="176" spans="1:86" ht="15" customHeight="1">
      <c r="A176" s="219"/>
      <c r="B176" s="219"/>
      <c r="C176" s="219"/>
      <c r="D176" s="219"/>
      <c r="E176" s="219"/>
      <c r="F176" s="567"/>
      <c r="G176" s="191">
        <v>25</v>
      </c>
      <c r="H176" s="372" t="str">
        <f>IF(SUM(Calcs!$B$2:$B$37)=288,League!P26,"Pos. "&amp;G176)</f>
        <v>Pos. 25</v>
      </c>
      <c r="I176" s="219"/>
      <c r="J176" s="458" t="s">
        <v>24</v>
      </c>
      <c r="K176" s="322">
        <f t="shared" si="150"/>
        <v>0</v>
      </c>
      <c r="L176" s="251"/>
      <c r="M176" s="326" t="s">
        <v>55</v>
      </c>
      <c r="N176" s="322">
        <f t="shared" ref="N176:BY187" si="156">IF($H176=M176,$D$11,0)</f>
        <v>0</v>
      </c>
      <c r="O176" s="251"/>
      <c r="P176" s="326" t="s">
        <v>29</v>
      </c>
      <c r="Q176" s="322">
        <f t="shared" si="156"/>
        <v>0</v>
      </c>
      <c r="R176" s="251"/>
      <c r="S176" s="326" t="s">
        <v>24</v>
      </c>
      <c r="T176" s="322">
        <f t="shared" si="156"/>
        <v>0</v>
      </c>
      <c r="U176" s="251"/>
      <c r="V176" s="326" t="s">
        <v>51</v>
      </c>
      <c r="W176" s="322">
        <f t="shared" si="156"/>
        <v>0</v>
      </c>
      <c r="X176" s="251"/>
      <c r="Y176" s="326" t="s">
        <v>51</v>
      </c>
      <c r="Z176" s="322">
        <f t="shared" si="156"/>
        <v>0</v>
      </c>
      <c r="AA176" s="251"/>
      <c r="AB176" s="326" t="s">
        <v>58</v>
      </c>
      <c r="AC176" s="322">
        <f t="shared" si="156"/>
        <v>0</v>
      </c>
      <c r="AD176" s="251"/>
      <c r="AE176" s="326" t="s">
        <v>22</v>
      </c>
      <c r="AF176" s="322">
        <f t="shared" si="156"/>
        <v>0</v>
      </c>
      <c r="AG176" s="251"/>
      <c r="AH176" s="326" t="s">
        <v>52</v>
      </c>
      <c r="AI176" s="322">
        <f t="shared" si="156"/>
        <v>0</v>
      </c>
      <c r="AJ176" s="251"/>
      <c r="AK176" s="326" t="s">
        <v>36</v>
      </c>
      <c r="AL176" s="322">
        <f t="shared" si="156"/>
        <v>0</v>
      </c>
      <c r="AM176" s="251"/>
      <c r="AN176" s="326" t="s">
        <v>49</v>
      </c>
      <c r="AO176" s="322">
        <f t="shared" si="156"/>
        <v>0</v>
      </c>
      <c r="AP176" s="251"/>
      <c r="AQ176" s="326" t="s">
        <v>49</v>
      </c>
      <c r="AR176" s="322">
        <f t="shared" si="156"/>
        <v>0</v>
      </c>
      <c r="AS176" s="251"/>
      <c r="AT176" s="326" t="s">
        <v>51</v>
      </c>
      <c r="AU176" s="322">
        <f t="shared" si="156"/>
        <v>0</v>
      </c>
      <c r="AV176" s="251"/>
      <c r="AW176" s="326" t="s">
        <v>34</v>
      </c>
      <c r="AX176" s="322">
        <f t="shared" si="156"/>
        <v>0</v>
      </c>
      <c r="AY176" s="251"/>
      <c r="AZ176" s="539" t="s">
        <v>55</v>
      </c>
      <c r="BA176" s="322">
        <f t="shared" si="156"/>
        <v>0</v>
      </c>
      <c r="BB176" s="251"/>
      <c r="BC176" s="326" t="s">
        <v>58</v>
      </c>
      <c r="BD176" s="322">
        <f t="shared" si="156"/>
        <v>0</v>
      </c>
      <c r="BE176" s="251"/>
      <c r="BF176" s="326"/>
      <c r="BG176" s="322">
        <f t="shared" si="156"/>
        <v>0</v>
      </c>
      <c r="BH176" s="251"/>
      <c r="BI176" s="326"/>
      <c r="BJ176" s="322">
        <f t="shared" si="156"/>
        <v>0</v>
      </c>
      <c r="BK176" s="251"/>
      <c r="BL176" s="326"/>
      <c r="BM176" s="322">
        <f t="shared" si="156"/>
        <v>0</v>
      </c>
      <c r="BN176" s="251"/>
      <c r="BO176" s="326"/>
      <c r="BP176" s="322">
        <f t="shared" si="156"/>
        <v>0</v>
      </c>
      <c r="BQ176" s="251"/>
      <c r="BR176" s="326"/>
      <c r="BS176" s="322">
        <f t="shared" si="156"/>
        <v>0</v>
      </c>
      <c r="BT176" s="251"/>
      <c r="BU176" s="326"/>
      <c r="BV176" s="322">
        <f t="shared" si="156"/>
        <v>0</v>
      </c>
      <c r="BW176" s="251"/>
      <c r="BX176" s="326"/>
      <c r="BY176" s="322">
        <f t="shared" si="156"/>
        <v>0</v>
      </c>
      <c r="BZ176" s="251"/>
      <c r="CA176" s="326"/>
      <c r="CB176" s="322">
        <f t="shared" si="155"/>
        <v>0</v>
      </c>
      <c r="CC176" s="251"/>
      <c r="CD176" s="326"/>
      <c r="CE176" s="322">
        <f t="shared" si="155"/>
        <v>0</v>
      </c>
      <c r="CF176" s="251"/>
      <c r="CG176" s="251"/>
      <c r="CH176" s="251"/>
    </row>
    <row r="177" spans="1:86" ht="15" customHeight="1">
      <c r="A177" s="219"/>
      <c r="B177" s="219"/>
      <c r="C177" s="219"/>
      <c r="D177" s="219"/>
      <c r="E177" s="219"/>
      <c r="F177" s="567"/>
      <c r="G177" s="191">
        <v>26</v>
      </c>
      <c r="H177" s="372" t="str">
        <f>IF(SUM(Calcs!$B$2:$B$37)=288,League!P27,"Pos. "&amp;G177)</f>
        <v>Pos. 26</v>
      </c>
      <c r="I177" s="219"/>
      <c r="J177" s="458" t="s">
        <v>58</v>
      </c>
      <c r="K177" s="322">
        <f t="shared" si="150"/>
        <v>0</v>
      </c>
      <c r="L177" s="251"/>
      <c r="M177" s="326" t="s">
        <v>46</v>
      </c>
      <c r="N177" s="322">
        <f t="shared" si="156"/>
        <v>0</v>
      </c>
      <c r="O177" s="251"/>
      <c r="P177" s="326" t="s">
        <v>58</v>
      </c>
      <c r="Q177" s="322">
        <f t="shared" si="156"/>
        <v>0</v>
      </c>
      <c r="R177" s="251"/>
      <c r="S177" s="326" t="s">
        <v>34</v>
      </c>
      <c r="T177" s="322">
        <f t="shared" si="156"/>
        <v>0</v>
      </c>
      <c r="U177" s="251"/>
      <c r="V177" s="326" t="s">
        <v>34</v>
      </c>
      <c r="W177" s="322">
        <f t="shared" si="156"/>
        <v>0</v>
      </c>
      <c r="X177" s="251"/>
      <c r="Y177" s="326" t="s">
        <v>52</v>
      </c>
      <c r="Z177" s="322">
        <f t="shared" si="156"/>
        <v>0</v>
      </c>
      <c r="AA177" s="251"/>
      <c r="AB177" s="326" t="s">
        <v>34</v>
      </c>
      <c r="AC177" s="322">
        <f t="shared" si="156"/>
        <v>0</v>
      </c>
      <c r="AD177" s="251"/>
      <c r="AE177" s="326" t="s">
        <v>35</v>
      </c>
      <c r="AF177" s="322">
        <f t="shared" si="156"/>
        <v>0</v>
      </c>
      <c r="AG177" s="251"/>
      <c r="AH177" s="326" t="s">
        <v>49</v>
      </c>
      <c r="AI177" s="322">
        <f t="shared" si="156"/>
        <v>0</v>
      </c>
      <c r="AJ177" s="251"/>
      <c r="AK177" s="326" t="s">
        <v>51</v>
      </c>
      <c r="AL177" s="322">
        <f t="shared" si="156"/>
        <v>0</v>
      </c>
      <c r="AM177" s="251"/>
      <c r="AN177" s="326" t="s">
        <v>24</v>
      </c>
      <c r="AO177" s="322">
        <f t="shared" si="156"/>
        <v>0</v>
      </c>
      <c r="AP177" s="251"/>
      <c r="AQ177" s="326" t="s">
        <v>51</v>
      </c>
      <c r="AR177" s="322">
        <f t="shared" si="156"/>
        <v>0</v>
      </c>
      <c r="AS177" s="251"/>
      <c r="AT177" s="326" t="s">
        <v>29</v>
      </c>
      <c r="AU177" s="322">
        <f t="shared" si="156"/>
        <v>0</v>
      </c>
      <c r="AV177" s="251"/>
      <c r="AW177" s="326" t="s">
        <v>22</v>
      </c>
      <c r="AX177" s="322">
        <f t="shared" si="156"/>
        <v>0</v>
      </c>
      <c r="AY177" s="251"/>
      <c r="AZ177" s="539" t="s">
        <v>36</v>
      </c>
      <c r="BA177" s="322">
        <f t="shared" si="156"/>
        <v>0</v>
      </c>
      <c r="BB177" s="251"/>
      <c r="BC177" s="326" t="s">
        <v>51</v>
      </c>
      <c r="BD177" s="322">
        <f t="shared" si="156"/>
        <v>0</v>
      </c>
      <c r="BE177" s="251"/>
      <c r="BF177" s="326"/>
      <c r="BG177" s="322">
        <f t="shared" si="156"/>
        <v>0</v>
      </c>
      <c r="BH177" s="251"/>
      <c r="BI177" s="326"/>
      <c r="BJ177" s="322">
        <f t="shared" si="156"/>
        <v>0</v>
      </c>
      <c r="BK177" s="251"/>
      <c r="BL177" s="326"/>
      <c r="BM177" s="322">
        <f t="shared" si="156"/>
        <v>0</v>
      </c>
      <c r="BN177" s="251"/>
      <c r="BO177" s="326"/>
      <c r="BP177" s="322">
        <f t="shared" si="156"/>
        <v>0</v>
      </c>
      <c r="BQ177" s="251"/>
      <c r="BR177" s="326"/>
      <c r="BS177" s="322">
        <f t="shared" si="156"/>
        <v>0</v>
      </c>
      <c r="BT177" s="251"/>
      <c r="BU177" s="326"/>
      <c r="BV177" s="322">
        <f t="shared" si="156"/>
        <v>0</v>
      </c>
      <c r="BW177" s="251"/>
      <c r="BX177" s="326"/>
      <c r="BY177" s="322">
        <f t="shared" si="156"/>
        <v>0</v>
      </c>
      <c r="BZ177" s="251"/>
      <c r="CA177" s="326"/>
      <c r="CB177" s="322">
        <f t="shared" si="155"/>
        <v>0</v>
      </c>
      <c r="CC177" s="251"/>
      <c r="CD177" s="326"/>
      <c r="CE177" s="322">
        <f t="shared" si="155"/>
        <v>0</v>
      </c>
      <c r="CF177" s="251"/>
      <c r="CG177" s="251"/>
      <c r="CH177" s="251"/>
    </row>
    <row r="178" spans="1:86" ht="15" customHeight="1">
      <c r="A178" s="219"/>
      <c r="B178" s="219"/>
      <c r="C178" s="219"/>
      <c r="D178" s="219"/>
      <c r="E178" s="219"/>
      <c r="F178" s="567"/>
      <c r="G178" s="191">
        <v>27</v>
      </c>
      <c r="H178" s="372" t="str">
        <f>IF(SUM(Calcs!$B$2:$B$37)=288,League!P28,"Pos. "&amp;G178)</f>
        <v>Pos. 27</v>
      </c>
      <c r="I178" s="219"/>
      <c r="J178" s="458" t="s">
        <v>33</v>
      </c>
      <c r="K178" s="322">
        <f t="shared" si="150"/>
        <v>0</v>
      </c>
      <c r="L178" s="251"/>
      <c r="M178" s="326" t="s">
        <v>34</v>
      </c>
      <c r="N178" s="322">
        <f t="shared" si="156"/>
        <v>0</v>
      </c>
      <c r="O178" s="251"/>
      <c r="P178" s="326" t="s">
        <v>36</v>
      </c>
      <c r="Q178" s="322">
        <f t="shared" si="156"/>
        <v>0</v>
      </c>
      <c r="R178" s="251"/>
      <c r="S178" s="326" t="s">
        <v>52</v>
      </c>
      <c r="T178" s="322">
        <f t="shared" si="156"/>
        <v>0</v>
      </c>
      <c r="U178" s="251"/>
      <c r="V178" s="326" t="s">
        <v>24</v>
      </c>
      <c r="W178" s="322">
        <f t="shared" si="156"/>
        <v>0</v>
      </c>
      <c r="X178" s="251"/>
      <c r="Y178" s="326" t="s">
        <v>22</v>
      </c>
      <c r="Z178" s="322">
        <f t="shared" si="156"/>
        <v>0</v>
      </c>
      <c r="AA178" s="251"/>
      <c r="AB178" s="326" t="s">
        <v>49</v>
      </c>
      <c r="AC178" s="322">
        <f t="shared" si="156"/>
        <v>0</v>
      </c>
      <c r="AD178" s="251"/>
      <c r="AE178" s="326" t="s">
        <v>36</v>
      </c>
      <c r="AF178" s="322">
        <f t="shared" si="156"/>
        <v>0</v>
      </c>
      <c r="AG178" s="251"/>
      <c r="AH178" s="326" t="s">
        <v>31</v>
      </c>
      <c r="AI178" s="322">
        <f t="shared" si="156"/>
        <v>0</v>
      </c>
      <c r="AJ178" s="251"/>
      <c r="AK178" s="326" t="s">
        <v>49</v>
      </c>
      <c r="AL178" s="322">
        <f t="shared" si="156"/>
        <v>0</v>
      </c>
      <c r="AM178" s="251"/>
      <c r="AN178" s="326" t="s">
        <v>26</v>
      </c>
      <c r="AO178" s="322">
        <f t="shared" si="156"/>
        <v>0</v>
      </c>
      <c r="AP178" s="251"/>
      <c r="AQ178" s="326" t="s">
        <v>24</v>
      </c>
      <c r="AR178" s="322">
        <f t="shared" si="156"/>
        <v>0</v>
      </c>
      <c r="AS178" s="251"/>
      <c r="AT178" s="326" t="s">
        <v>52</v>
      </c>
      <c r="AU178" s="322">
        <f t="shared" si="156"/>
        <v>0</v>
      </c>
      <c r="AV178" s="251"/>
      <c r="AW178" s="326" t="s">
        <v>36</v>
      </c>
      <c r="AX178" s="322">
        <f t="shared" si="156"/>
        <v>0</v>
      </c>
      <c r="AY178" s="251"/>
      <c r="AZ178" s="539" t="s">
        <v>29</v>
      </c>
      <c r="BA178" s="322">
        <f t="shared" si="156"/>
        <v>0</v>
      </c>
      <c r="BB178" s="251"/>
      <c r="BC178" s="326" t="s">
        <v>30</v>
      </c>
      <c r="BD178" s="322">
        <f t="shared" si="156"/>
        <v>0</v>
      </c>
      <c r="BE178" s="251"/>
      <c r="BF178" s="326"/>
      <c r="BG178" s="322">
        <f t="shared" si="156"/>
        <v>0</v>
      </c>
      <c r="BH178" s="251"/>
      <c r="BI178" s="326"/>
      <c r="BJ178" s="322">
        <f t="shared" si="156"/>
        <v>0</v>
      </c>
      <c r="BK178" s="251"/>
      <c r="BL178" s="326"/>
      <c r="BM178" s="322">
        <f t="shared" si="156"/>
        <v>0</v>
      </c>
      <c r="BN178" s="251"/>
      <c r="BO178" s="326"/>
      <c r="BP178" s="322">
        <f t="shared" si="156"/>
        <v>0</v>
      </c>
      <c r="BQ178" s="251"/>
      <c r="BR178" s="326"/>
      <c r="BS178" s="322">
        <f t="shared" si="156"/>
        <v>0</v>
      </c>
      <c r="BT178" s="251"/>
      <c r="BU178" s="326"/>
      <c r="BV178" s="322">
        <f t="shared" si="156"/>
        <v>0</v>
      </c>
      <c r="BW178" s="251"/>
      <c r="BX178" s="326"/>
      <c r="BY178" s="322">
        <f t="shared" si="156"/>
        <v>0</v>
      </c>
      <c r="BZ178" s="251"/>
      <c r="CA178" s="326"/>
      <c r="CB178" s="322">
        <f t="shared" si="155"/>
        <v>0</v>
      </c>
      <c r="CC178" s="251"/>
      <c r="CD178" s="326"/>
      <c r="CE178" s="322">
        <f t="shared" si="155"/>
        <v>0</v>
      </c>
      <c r="CF178" s="251"/>
      <c r="CG178" s="251"/>
      <c r="CH178" s="251"/>
    </row>
    <row r="179" spans="1:86" ht="15" customHeight="1">
      <c r="A179" s="219"/>
      <c r="B179" s="219"/>
      <c r="C179" s="219"/>
      <c r="D179" s="219"/>
      <c r="E179" s="219"/>
      <c r="F179" s="567"/>
      <c r="G179" s="191">
        <v>28</v>
      </c>
      <c r="H179" s="372" t="str">
        <f>IF(SUM(Calcs!$B$2:$B$37)=288,League!P29,"Pos. "&amp;G179)</f>
        <v>Pos. 28</v>
      </c>
      <c r="I179" s="219"/>
      <c r="J179" s="458" t="s">
        <v>46</v>
      </c>
      <c r="K179" s="322">
        <f t="shared" si="150"/>
        <v>0</v>
      </c>
      <c r="L179" s="251"/>
      <c r="M179" s="326" t="s">
        <v>24</v>
      </c>
      <c r="N179" s="322">
        <f t="shared" si="156"/>
        <v>0</v>
      </c>
      <c r="O179" s="251"/>
      <c r="P179" s="326" t="s">
        <v>24</v>
      </c>
      <c r="Q179" s="322">
        <f t="shared" si="156"/>
        <v>0</v>
      </c>
      <c r="R179" s="251"/>
      <c r="S179" s="326" t="s">
        <v>50</v>
      </c>
      <c r="T179" s="322">
        <f t="shared" si="156"/>
        <v>0</v>
      </c>
      <c r="U179" s="251"/>
      <c r="V179" s="326" t="s">
        <v>46</v>
      </c>
      <c r="W179" s="322">
        <f t="shared" si="156"/>
        <v>0</v>
      </c>
      <c r="X179" s="251"/>
      <c r="Y179" s="326" t="s">
        <v>49</v>
      </c>
      <c r="Z179" s="322">
        <f t="shared" si="156"/>
        <v>0</v>
      </c>
      <c r="AA179" s="251"/>
      <c r="AB179" s="326" t="s">
        <v>50</v>
      </c>
      <c r="AC179" s="322">
        <f t="shared" si="156"/>
        <v>0</v>
      </c>
      <c r="AD179" s="251"/>
      <c r="AE179" s="326" t="s">
        <v>55</v>
      </c>
      <c r="AF179" s="322">
        <f t="shared" si="156"/>
        <v>0</v>
      </c>
      <c r="AG179" s="251"/>
      <c r="AH179" s="326" t="s">
        <v>50</v>
      </c>
      <c r="AI179" s="322">
        <f t="shared" si="156"/>
        <v>0</v>
      </c>
      <c r="AJ179" s="251"/>
      <c r="AK179" s="326" t="s">
        <v>34</v>
      </c>
      <c r="AL179" s="322">
        <f t="shared" si="156"/>
        <v>0</v>
      </c>
      <c r="AM179" s="251"/>
      <c r="AN179" s="326" t="s">
        <v>52</v>
      </c>
      <c r="AO179" s="322">
        <f t="shared" si="156"/>
        <v>0</v>
      </c>
      <c r="AP179" s="251"/>
      <c r="AQ179" s="326" t="s">
        <v>30</v>
      </c>
      <c r="AR179" s="322">
        <f t="shared" si="156"/>
        <v>0</v>
      </c>
      <c r="AS179" s="251"/>
      <c r="AT179" s="326" t="s">
        <v>34</v>
      </c>
      <c r="AU179" s="322">
        <f t="shared" si="156"/>
        <v>0</v>
      </c>
      <c r="AV179" s="251"/>
      <c r="AW179" s="326" t="s">
        <v>29</v>
      </c>
      <c r="AX179" s="322">
        <f t="shared" si="156"/>
        <v>0</v>
      </c>
      <c r="AY179" s="251"/>
      <c r="AZ179" s="539" t="s">
        <v>38</v>
      </c>
      <c r="BA179" s="322">
        <f t="shared" si="156"/>
        <v>0</v>
      </c>
      <c r="BB179" s="251"/>
      <c r="BC179" s="326" t="s">
        <v>24</v>
      </c>
      <c r="BD179" s="322">
        <f t="shared" si="156"/>
        <v>0</v>
      </c>
      <c r="BE179" s="251"/>
      <c r="BF179" s="326"/>
      <c r="BG179" s="322">
        <f t="shared" si="156"/>
        <v>0</v>
      </c>
      <c r="BH179" s="251"/>
      <c r="BI179" s="326"/>
      <c r="BJ179" s="322">
        <f t="shared" si="156"/>
        <v>0</v>
      </c>
      <c r="BK179" s="251"/>
      <c r="BL179" s="326"/>
      <c r="BM179" s="322">
        <f t="shared" si="156"/>
        <v>0</v>
      </c>
      <c r="BN179" s="251"/>
      <c r="BO179" s="326"/>
      <c r="BP179" s="322">
        <f t="shared" si="156"/>
        <v>0</v>
      </c>
      <c r="BQ179" s="251"/>
      <c r="BR179" s="326"/>
      <c r="BS179" s="322">
        <f t="shared" si="156"/>
        <v>0</v>
      </c>
      <c r="BT179" s="251"/>
      <c r="BU179" s="326"/>
      <c r="BV179" s="322">
        <f t="shared" si="156"/>
        <v>0</v>
      </c>
      <c r="BW179" s="251"/>
      <c r="BX179" s="326"/>
      <c r="BY179" s="322">
        <f t="shared" si="156"/>
        <v>0</v>
      </c>
      <c r="BZ179" s="251"/>
      <c r="CA179" s="326"/>
      <c r="CB179" s="322">
        <f t="shared" si="155"/>
        <v>0</v>
      </c>
      <c r="CC179" s="251"/>
      <c r="CD179" s="326"/>
      <c r="CE179" s="322">
        <f t="shared" si="155"/>
        <v>0</v>
      </c>
      <c r="CF179" s="251"/>
      <c r="CG179" s="251"/>
      <c r="CH179" s="251"/>
    </row>
    <row r="180" spans="1:86" ht="15" customHeight="1">
      <c r="A180" s="219"/>
      <c r="B180" s="219"/>
      <c r="C180" s="219"/>
      <c r="D180" s="219"/>
      <c r="E180" s="219"/>
      <c r="F180" s="567"/>
      <c r="G180" s="191">
        <v>29</v>
      </c>
      <c r="H180" s="372" t="str">
        <f>IF(SUM(Calcs!$B$2:$B$37)=288,League!P30,"Pos. "&amp;G180)</f>
        <v>Pos. 29</v>
      </c>
      <c r="I180" s="219"/>
      <c r="J180" s="458" t="s">
        <v>47</v>
      </c>
      <c r="K180" s="322">
        <f t="shared" si="150"/>
        <v>0</v>
      </c>
      <c r="L180" s="251"/>
      <c r="M180" s="326" t="s">
        <v>35</v>
      </c>
      <c r="N180" s="322">
        <f t="shared" si="156"/>
        <v>0</v>
      </c>
      <c r="O180" s="251"/>
      <c r="P180" s="326" t="s">
        <v>47</v>
      </c>
      <c r="Q180" s="322">
        <f t="shared" si="156"/>
        <v>0</v>
      </c>
      <c r="R180" s="251"/>
      <c r="S180" s="326" t="s">
        <v>31</v>
      </c>
      <c r="T180" s="322">
        <f t="shared" si="156"/>
        <v>0</v>
      </c>
      <c r="U180" s="251"/>
      <c r="V180" s="326" t="s">
        <v>38</v>
      </c>
      <c r="W180" s="322">
        <f t="shared" si="156"/>
        <v>0</v>
      </c>
      <c r="X180" s="251"/>
      <c r="Y180" s="326" t="s">
        <v>36</v>
      </c>
      <c r="Z180" s="322">
        <f t="shared" si="156"/>
        <v>0</v>
      </c>
      <c r="AA180" s="251"/>
      <c r="AB180" s="326" t="s">
        <v>52</v>
      </c>
      <c r="AC180" s="322">
        <f t="shared" si="156"/>
        <v>0</v>
      </c>
      <c r="AD180" s="251"/>
      <c r="AE180" s="326" t="s">
        <v>54</v>
      </c>
      <c r="AF180" s="322">
        <f t="shared" si="156"/>
        <v>0</v>
      </c>
      <c r="AG180" s="251"/>
      <c r="AH180" s="326" t="s">
        <v>51</v>
      </c>
      <c r="AI180" s="322">
        <f t="shared" si="156"/>
        <v>0</v>
      </c>
      <c r="AJ180" s="251"/>
      <c r="AK180" s="326" t="s">
        <v>22</v>
      </c>
      <c r="AL180" s="322">
        <f t="shared" si="156"/>
        <v>0</v>
      </c>
      <c r="AM180" s="251"/>
      <c r="AN180" s="326" t="s">
        <v>47</v>
      </c>
      <c r="AO180" s="322">
        <f t="shared" si="156"/>
        <v>0</v>
      </c>
      <c r="AP180" s="251"/>
      <c r="AQ180" s="326" t="s">
        <v>36</v>
      </c>
      <c r="AR180" s="322">
        <f t="shared" si="156"/>
        <v>0</v>
      </c>
      <c r="AS180" s="251"/>
      <c r="AT180" s="326" t="s">
        <v>37</v>
      </c>
      <c r="AU180" s="322">
        <f t="shared" si="156"/>
        <v>0</v>
      </c>
      <c r="AV180" s="251"/>
      <c r="AW180" s="326" t="s">
        <v>38</v>
      </c>
      <c r="AX180" s="322">
        <f t="shared" si="156"/>
        <v>0</v>
      </c>
      <c r="AY180" s="251"/>
      <c r="AZ180" s="539" t="s">
        <v>49</v>
      </c>
      <c r="BA180" s="322">
        <f t="shared" si="156"/>
        <v>0</v>
      </c>
      <c r="BB180" s="251"/>
      <c r="BC180" s="326" t="s">
        <v>36</v>
      </c>
      <c r="BD180" s="322">
        <f t="shared" si="156"/>
        <v>0</v>
      </c>
      <c r="BE180" s="251"/>
      <c r="BF180" s="326"/>
      <c r="BG180" s="322">
        <f t="shared" si="156"/>
        <v>0</v>
      </c>
      <c r="BH180" s="251"/>
      <c r="BI180" s="326"/>
      <c r="BJ180" s="322">
        <f t="shared" si="156"/>
        <v>0</v>
      </c>
      <c r="BK180" s="251"/>
      <c r="BL180" s="326"/>
      <c r="BM180" s="322">
        <f t="shared" si="156"/>
        <v>0</v>
      </c>
      <c r="BN180" s="251"/>
      <c r="BO180" s="326"/>
      <c r="BP180" s="322">
        <f t="shared" si="156"/>
        <v>0</v>
      </c>
      <c r="BQ180" s="251"/>
      <c r="BR180" s="326"/>
      <c r="BS180" s="322">
        <f t="shared" si="156"/>
        <v>0</v>
      </c>
      <c r="BT180" s="251"/>
      <c r="BU180" s="326"/>
      <c r="BV180" s="322">
        <f t="shared" si="156"/>
        <v>0</v>
      </c>
      <c r="BW180" s="251"/>
      <c r="BX180" s="326"/>
      <c r="BY180" s="322">
        <f t="shared" si="156"/>
        <v>0</v>
      </c>
      <c r="BZ180" s="251"/>
      <c r="CA180" s="326"/>
      <c r="CB180" s="322">
        <f t="shared" si="155"/>
        <v>0</v>
      </c>
      <c r="CC180" s="251"/>
      <c r="CD180" s="326"/>
      <c r="CE180" s="322">
        <f t="shared" si="155"/>
        <v>0</v>
      </c>
      <c r="CF180" s="251"/>
      <c r="CG180" s="251"/>
      <c r="CH180" s="251"/>
    </row>
    <row r="181" spans="1:86" ht="15" customHeight="1">
      <c r="A181" s="219"/>
      <c r="B181" s="219"/>
      <c r="C181" s="219"/>
      <c r="D181" s="219"/>
      <c r="E181" s="219"/>
      <c r="F181" s="567"/>
      <c r="G181" s="191">
        <v>30</v>
      </c>
      <c r="H181" s="372" t="str">
        <f>IF(SUM(Calcs!$B$2:$B$37)=288,League!P31,"Pos. "&amp;G181)</f>
        <v>Pos. 30</v>
      </c>
      <c r="I181" s="219"/>
      <c r="J181" s="458" t="s">
        <v>36</v>
      </c>
      <c r="K181" s="322">
        <f t="shared" si="150"/>
        <v>0</v>
      </c>
      <c r="L181" s="251"/>
      <c r="M181" s="326" t="s">
        <v>47</v>
      </c>
      <c r="N181" s="322">
        <f t="shared" si="156"/>
        <v>0</v>
      </c>
      <c r="O181" s="251"/>
      <c r="P181" s="326" t="s">
        <v>49</v>
      </c>
      <c r="Q181" s="322">
        <f t="shared" si="156"/>
        <v>0</v>
      </c>
      <c r="R181" s="251"/>
      <c r="S181" s="326" t="s">
        <v>49</v>
      </c>
      <c r="T181" s="322">
        <f t="shared" si="156"/>
        <v>0</v>
      </c>
      <c r="U181" s="251"/>
      <c r="V181" s="326" t="s">
        <v>35</v>
      </c>
      <c r="W181" s="322">
        <f t="shared" si="156"/>
        <v>0</v>
      </c>
      <c r="X181" s="251"/>
      <c r="Y181" s="326" t="s">
        <v>24</v>
      </c>
      <c r="Z181" s="322">
        <f t="shared" si="156"/>
        <v>0</v>
      </c>
      <c r="AA181" s="251"/>
      <c r="AB181" s="326" t="s">
        <v>59</v>
      </c>
      <c r="AC181" s="322">
        <f t="shared" si="156"/>
        <v>0</v>
      </c>
      <c r="AD181" s="251"/>
      <c r="AE181" s="326" t="s">
        <v>34</v>
      </c>
      <c r="AF181" s="322">
        <f t="shared" si="156"/>
        <v>0</v>
      </c>
      <c r="AG181" s="251"/>
      <c r="AH181" s="326" t="s">
        <v>47</v>
      </c>
      <c r="AI181" s="322">
        <f t="shared" si="156"/>
        <v>0</v>
      </c>
      <c r="AJ181" s="251"/>
      <c r="AK181" s="326" t="s">
        <v>52</v>
      </c>
      <c r="AL181" s="322">
        <f t="shared" si="156"/>
        <v>0</v>
      </c>
      <c r="AM181" s="251"/>
      <c r="AN181" s="326" t="s">
        <v>58</v>
      </c>
      <c r="AO181" s="322">
        <f t="shared" si="156"/>
        <v>0</v>
      </c>
      <c r="AP181" s="251"/>
      <c r="AQ181" s="326" t="s">
        <v>22</v>
      </c>
      <c r="AR181" s="322">
        <f t="shared" si="156"/>
        <v>0</v>
      </c>
      <c r="AS181" s="251"/>
      <c r="AT181" s="326" t="s">
        <v>47</v>
      </c>
      <c r="AU181" s="322">
        <f t="shared" si="156"/>
        <v>0</v>
      </c>
      <c r="AV181" s="251"/>
      <c r="AW181" s="326" t="s">
        <v>49</v>
      </c>
      <c r="AX181" s="322">
        <f t="shared" si="156"/>
        <v>0</v>
      </c>
      <c r="AY181" s="251"/>
      <c r="AZ181" s="539" t="s">
        <v>24</v>
      </c>
      <c r="BA181" s="322">
        <f t="shared" si="156"/>
        <v>0</v>
      </c>
      <c r="BB181" s="251"/>
      <c r="BC181" s="326" t="s">
        <v>47</v>
      </c>
      <c r="BD181" s="322">
        <f t="shared" si="156"/>
        <v>0</v>
      </c>
      <c r="BE181" s="251"/>
      <c r="BF181" s="326"/>
      <c r="BG181" s="322">
        <f t="shared" si="156"/>
        <v>0</v>
      </c>
      <c r="BH181" s="251"/>
      <c r="BI181" s="326"/>
      <c r="BJ181" s="322">
        <f t="shared" si="156"/>
        <v>0</v>
      </c>
      <c r="BK181" s="251"/>
      <c r="BL181" s="326"/>
      <c r="BM181" s="322">
        <f t="shared" si="156"/>
        <v>0</v>
      </c>
      <c r="BN181" s="251"/>
      <c r="BO181" s="326"/>
      <c r="BP181" s="322">
        <f t="shared" si="156"/>
        <v>0</v>
      </c>
      <c r="BQ181" s="251"/>
      <c r="BR181" s="326"/>
      <c r="BS181" s="322">
        <f t="shared" si="156"/>
        <v>0</v>
      </c>
      <c r="BT181" s="251"/>
      <c r="BU181" s="326"/>
      <c r="BV181" s="322">
        <f t="shared" si="156"/>
        <v>0</v>
      </c>
      <c r="BW181" s="251"/>
      <c r="BX181" s="326"/>
      <c r="BY181" s="322">
        <f t="shared" si="156"/>
        <v>0</v>
      </c>
      <c r="BZ181" s="251"/>
      <c r="CA181" s="326"/>
      <c r="CB181" s="322">
        <f t="shared" si="155"/>
        <v>0</v>
      </c>
      <c r="CC181" s="251"/>
      <c r="CD181" s="326"/>
      <c r="CE181" s="322">
        <f t="shared" si="155"/>
        <v>0</v>
      </c>
      <c r="CF181" s="251"/>
      <c r="CG181" s="251"/>
      <c r="CH181" s="251"/>
    </row>
    <row r="182" spans="1:86" ht="15" customHeight="1">
      <c r="A182" s="219"/>
      <c r="B182" s="219"/>
      <c r="C182" s="219"/>
      <c r="D182" s="219"/>
      <c r="E182" s="219"/>
      <c r="F182" s="567"/>
      <c r="G182" s="191">
        <v>31</v>
      </c>
      <c r="H182" s="372" t="str">
        <f>IF(SUM(Calcs!$B$2:$B$37)=288,League!P32,"Pos. "&amp;G182)</f>
        <v>Pos. 31</v>
      </c>
      <c r="I182" s="219"/>
      <c r="J182" s="458" t="s">
        <v>31</v>
      </c>
      <c r="K182" s="322">
        <f t="shared" si="150"/>
        <v>0</v>
      </c>
      <c r="L182" s="251"/>
      <c r="M182" s="326" t="s">
        <v>31</v>
      </c>
      <c r="N182" s="322">
        <f t="shared" si="156"/>
        <v>0</v>
      </c>
      <c r="O182" s="251"/>
      <c r="P182" s="326" t="s">
        <v>51</v>
      </c>
      <c r="Q182" s="322">
        <f t="shared" si="156"/>
        <v>0</v>
      </c>
      <c r="R182" s="251"/>
      <c r="S182" s="326" t="s">
        <v>35</v>
      </c>
      <c r="T182" s="322">
        <f t="shared" si="156"/>
        <v>0</v>
      </c>
      <c r="U182" s="251"/>
      <c r="V182" s="326" t="s">
        <v>59</v>
      </c>
      <c r="W182" s="322">
        <f t="shared" si="156"/>
        <v>0</v>
      </c>
      <c r="X182" s="251"/>
      <c r="Y182" s="326" t="s">
        <v>47</v>
      </c>
      <c r="Z182" s="322">
        <f t="shared" si="156"/>
        <v>0</v>
      </c>
      <c r="AA182" s="251"/>
      <c r="AB182" s="326" t="s">
        <v>55</v>
      </c>
      <c r="AC182" s="322">
        <f t="shared" si="156"/>
        <v>0</v>
      </c>
      <c r="AD182" s="251"/>
      <c r="AE182" s="326" t="s">
        <v>29</v>
      </c>
      <c r="AF182" s="322">
        <f t="shared" si="156"/>
        <v>0</v>
      </c>
      <c r="AG182" s="251"/>
      <c r="AH182" s="326" t="s">
        <v>34</v>
      </c>
      <c r="AI182" s="322">
        <f t="shared" si="156"/>
        <v>0</v>
      </c>
      <c r="AJ182" s="251"/>
      <c r="AK182" s="326" t="s">
        <v>47</v>
      </c>
      <c r="AL182" s="322">
        <f t="shared" si="156"/>
        <v>0</v>
      </c>
      <c r="AM182" s="251"/>
      <c r="AN182" s="326" t="s">
        <v>34</v>
      </c>
      <c r="AO182" s="322">
        <f t="shared" si="156"/>
        <v>0</v>
      </c>
      <c r="AP182" s="251"/>
      <c r="AQ182" s="326" t="s">
        <v>47</v>
      </c>
      <c r="AR182" s="322">
        <f t="shared" si="156"/>
        <v>0</v>
      </c>
      <c r="AS182" s="251"/>
      <c r="AT182" s="326" t="s">
        <v>49</v>
      </c>
      <c r="AU182" s="322">
        <f t="shared" si="156"/>
        <v>0</v>
      </c>
      <c r="AV182" s="251"/>
      <c r="AW182" s="326" t="s">
        <v>59</v>
      </c>
      <c r="AX182" s="322">
        <f t="shared" si="156"/>
        <v>0</v>
      </c>
      <c r="AY182" s="251"/>
      <c r="AZ182" s="539" t="s">
        <v>51</v>
      </c>
      <c r="BA182" s="322">
        <f t="shared" si="156"/>
        <v>0</v>
      </c>
      <c r="BB182" s="251"/>
      <c r="BC182" s="326" t="s">
        <v>59</v>
      </c>
      <c r="BD182" s="322">
        <f t="shared" si="156"/>
        <v>0</v>
      </c>
      <c r="BE182" s="251"/>
      <c r="BF182" s="326"/>
      <c r="BG182" s="322">
        <f t="shared" si="156"/>
        <v>0</v>
      </c>
      <c r="BH182" s="251"/>
      <c r="BI182" s="326"/>
      <c r="BJ182" s="322">
        <f t="shared" si="156"/>
        <v>0</v>
      </c>
      <c r="BK182" s="251"/>
      <c r="BL182" s="326"/>
      <c r="BM182" s="322">
        <f t="shared" si="156"/>
        <v>0</v>
      </c>
      <c r="BN182" s="251"/>
      <c r="BO182" s="326"/>
      <c r="BP182" s="322">
        <f t="shared" si="156"/>
        <v>0</v>
      </c>
      <c r="BQ182" s="251"/>
      <c r="BR182" s="326"/>
      <c r="BS182" s="322">
        <f t="shared" si="156"/>
        <v>0</v>
      </c>
      <c r="BT182" s="251"/>
      <c r="BU182" s="326"/>
      <c r="BV182" s="322">
        <f t="shared" si="156"/>
        <v>0</v>
      </c>
      <c r="BW182" s="251"/>
      <c r="BX182" s="326"/>
      <c r="BY182" s="322">
        <f t="shared" si="156"/>
        <v>0</v>
      </c>
      <c r="BZ182" s="251"/>
      <c r="CA182" s="326"/>
      <c r="CB182" s="322">
        <f t="shared" si="155"/>
        <v>0</v>
      </c>
      <c r="CC182" s="251"/>
      <c r="CD182" s="326"/>
      <c r="CE182" s="322">
        <f t="shared" si="155"/>
        <v>0</v>
      </c>
      <c r="CF182" s="251"/>
      <c r="CG182" s="251"/>
      <c r="CH182" s="251"/>
    </row>
    <row r="183" spans="1:86" ht="15" customHeight="1">
      <c r="A183" s="219"/>
      <c r="B183" s="219"/>
      <c r="C183" s="219"/>
      <c r="D183" s="219"/>
      <c r="E183" s="219"/>
      <c r="F183" s="567"/>
      <c r="G183" s="191">
        <v>32</v>
      </c>
      <c r="H183" s="372" t="str">
        <f>IF(SUM(Calcs!$B$2:$B$37)=288,League!P33,"Pos. "&amp;G183)</f>
        <v>Pos. 32</v>
      </c>
      <c r="I183" s="219"/>
      <c r="J183" s="458" t="s">
        <v>49</v>
      </c>
      <c r="K183" s="322">
        <f t="shared" si="150"/>
        <v>0</v>
      </c>
      <c r="L183" s="251"/>
      <c r="M183" s="326" t="s">
        <v>49</v>
      </c>
      <c r="N183" s="322">
        <f t="shared" si="156"/>
        <v>0</v>
      </c>
      <c r="O183" s="251"/>
      <c r="P183" s="326" t="s">
        <v>35</v>
      </c>
      <c r="Q183" s="322">
        <f t="shared" si="156"/>
        <v>0</v>
      </c>
      <c r="R183" s="251"/>
      <c r="S183" s="326" t="s">
        <v>58</v>
      </c>
      <c r="T183" s="322">
        <f t="shared" si="156"/>
        <v>0</v>
      </c>
      <c r="U183" s="251"/>
      <c r="V183" s="326" t="s">
        <v>47</v>
      </c>
      <c r="W183" s="322">
        <f t="shared" si="156"/>
        <v>0</v>
      </c>
      <c r="X183" s="251"/>
      <c r="Y183" s="326" t="s">
        <v>25</v>
      </c>
      <c r="Z183" s="322">
        <f t="shared" si="156"/>
        <v>0</v>
      </c>
      <c r="AA183" s="251"/>
      <c r="AB183" s="326" t="s">
        <v>36</v>
      </c>
      <c r="AC183" s="322">
        <f t="shared" si="156"/>
        <v>0</v>
      </c>
      <c r="AD183" s="251"/>
      <c r="AE183" s="326" t="s">
        <v>37</v>
      </c>
      <c r="AF183" s="322">
        <f t="shared" si="156"/>
        <v>0</v>
      </c>
      <c r="AG183" s="251"/>
      <c r="AH183" s="326" t="s">
        <v>36</v>
      </c>
      <c r="AI183" s="322">
        <f t="shared" si="156"/>
        <v>0</v>
      </c>
      <c r="AJ183" s="251"/>
      <c r="AK183" s="326" t="s">
        <v>25</v>
      </c>
      <c r="AL183" s="322">
        <f t="shared" si="156"/>
        <v>0</v>
      </c>
      <c r="AM183" s="251"/>
      <c r="AN183" s="326" t="s">
        <v>36</v>
      </c>
      <c r="AO183" s="322">
        <f t="shared" si="156"/>
        <v>0</v>
      </c>
      <c r="AP183" s="251"/>
      <c r="AQ183" s="326" t="s">
        <v>35</v>
      </c>
      <c r="AR183" s="322">
        <f t="shared" si="156"/>
        <v>0</v>
      </c>
      <c r="AS183" s="251"/>
      <c r="AT183" s="326" t="s">
        <v>35</v>
      </c>
      <c r="AU183" s="322">
        <f t="shared" si="156"/>
        <v>0</v>
      </c>
      <c r="AV183" s="251"/>
      <c r="AW183" s="326" t="s">
        <v>25</v>
      </c>
      <c r="AX183" s="322">
        <f t="shared" si="156"/>
        <v>0</v>
      </c>
      <c r="AY183" s="251"/>
      <c r="AZ183" s="539" t="s">
        <v>25</v>
      </c>
      <c r="BA183" s="322">
        <f t="shared" si="156"/>
        <v>0</v>
      </c>
      <c r="BB183" s="251"/>
      <c r="BC183" s="326" t="s">
        <v>49</v>
      </c>
      <c r="BD183" s="322">
        <f t="shared" si="156"/>
        <v>0</v>
      </c>
      <c r="BE183" s="251"/>
      <c r="BF183" s="326"/>
      <c r="BG183" s="322">
        <f t="shared" si="156"/>
        <v>0</v>
      </c>
      <c r="BH183" s="251"/>
      <c r="BI183" s="326"/>
      <c r="BJ183" s="322">
        <f t="shared" si="156"/>
        <v>0</v>
      </c>
      <c r="BK183" s="251"/>
      <c r="BL183" s="326"/>
      <c r="BM183" s="322">
        <f t="shared" si="156"/>
        <v>0</v>
      </c>
      <c r="BN183" s="251"/>
      <c r="BO183" s="326"/>
      <c r="BP183" s="322">
        <f t="shared" si="156"/>
        <v>0</v>
      </c>
      <c r="BQ183" s="251"/>
      <c r="BR183" s="326"/>
      <c r="BS183" s="322">
        <f t="shared" si="156"/>
        <v>0</v>
      </c>
      <c r="BT183" s="251"/>
      <c r="BU183" s="326"/>
      <c r="BV183" s="322">
        <f t="shared" si="156"/>
        <v>0</v>
      </c>
      <c r="BW183" s="251"/>
      <c r="BX183" s="326"/>
      <c r="BY183" s="322">
        <f t="shared" si="156"/>
        <v>0</v>
      </c>
      <c r="BZ183" s="251"/>
      <c r="CA183" s="326"/>
      <c r="CB183" s="322">
        <f t="shared" si="155"/>
        <v>0</v>
      </c>
      <c r="CC183" s="251"/>
      <c r="CD183" s="326"/>
      <c r="CE183" s="322">
        <f t="shared" si="155"/>
        <v>0</v>
      </c>
      <c r="CF183" s="251"/>
      <c r="CG183" s="251"/>
      <c r="CH183" s="251"/>
    </row>
    <row r="184" spans="1:86" ht="15" customHeight="1">
      <c r="A184" s="219"/>
      <c r="B184" s="219"/>
      <c r="C184" s="219"/>
      <c r="D184" s="219"/>
      <c r="E184" s="219"/>
      <c r="F184" s="567"/>
      <c r="G184" s="191">
        <v>33</v>
      </c>
      <c r="H184" s="372" t="str">
        <f>IF(SUM(Calcs!$B$2:$B$37)=288,League!P34,"Pos. "&amp;G184)</f>
        <v>Pos. 33</v>
      </c>
      <c r="I184" s="219"/>
      <c r="J184" s="458" t="s">
        <v>195</v>
      </c>
      <c r="K184" s="322">
        <f t="shared" si="150"/>
        <v>0</v>
      </c>
      <c r="L184" s="251"/>
      <c r="M184" s="326" t="s">
        <v>37</v>
      </c>
      <c r="N184" s="322">
        <f t="shared" si="156"/>
        <v>0</v>
      </c>
      <c r="O184" s="251"/>
      <c r="P184" s="326" t="s">
        <v>31</v>
      </c>
      <c r="Q184" s="322">
        <f t="shared" si="156"/>
        <v>0</v>
      </c>
      <c r="R184" s="251"/>
      <c r="S184" s="326" t="s">
        <v>37</v>
      </c>
      <c r="T184" s="322">
        <f t="shared" si="156"/>
        <v>0</v>
      </c>
      <c r="U184" s="251"/>
      <c r="V184" s="326" t="s">
        <v>31</v>
      </c>
      <c r="W184" s="322">
        <f t="shared" si="156"/>
        <v>0</v>
      </c>
      <c r="X184" s="251"/>
      <c r="Y184" s="326" t="s">
        <v>59</v>
      </c>
      <c r="Z184" s="322">
        <f t="shared" si="156"/>
        <v>0</v>
      </c>
      <c r="AA184" s="251"/>
      <c r="AB184" s="326" t="s">
        <v>31</v>
      </c>
      <c r="AC184" s="322">
        <f t="shared" si="156"/>
        <v>0</v>
      </c>
      <c r="AD184" s="251"/>
      <c r="AE184" s="326" t="s">
        <v>31</v>
      </c>
      <c r="AF184" s="322">
        <f t="shared" si="156"/>
        <v>0</v>
      </c>
      <c r="AG184" s="251"/>
      <c r="AH184" s="326" t="s">
        <v>59</v>
      </c>
      <c r="AI184" s="322">
        <f t="shared" si="156"/>
        <v>0</v>
      </c>
      <c r="AJ184" s="251"/>
      <c r="AK184" s="326" t="s">
        <v>35</v>
      </c>
      <c r="AL184" s="322">
        <f t="shared" si="156"/>
        <v>0</v>
      </c>
      <c r="AM184" s="251"/>
      <c r="AN184" s="326" t="s">
        <v>59</v>
      </c>
      <c r="AO184" s="322">
        <f t="shared" si="156"/>
        <v>0</v>
      </c>
      <c r="AP184" s="251"/>
      <c r="AQ184" s="326" t="s">
        <v>37</v>
      </c>
      <c r="AR184" s="322">
        <f t="shared" si="156"/>
        <v>0</v>
      </c>
      <c r="AS184" s="251"/>
      <c r="AT184" s="326" t="s">
        <v>59</v>
      </c>
      <c r="AU184" s="322">
        <f t="shared" si="156"/>
        <v>0</v>
      </c>
      <c r="AV184" s="251"/>
      <c r="AW184" s="326" t="s">
        <v>47</v>
      </c>
      <c r="AX184" s="322">
        <f t="shared" si="156"/>
        <v>0</v>
      </c>
      <c r="AY184" s="251"/>
      <c r="AZ184" s="539" t="s">
        <v>59</v>
      </c>
      <c r="BA184" s="322">
        <f t="shared" si="156"/>
        <v>0</v>
      </c>
      <c r="BB184" s="251"/>
      <c r="BC184" s="326" t="s">
        <v>35</v>
      </c>
      <c r="BD184" s="322">
        <f t="shared" si="156"/>
        <v>0</v>
      </c>
      <c r="BE184" s="251"/>
      <c r="BF184" s="326"/>
      <c r="BG184" s="322">
        <f t="shared" si="156"/>
        <v>0</v>
      </c>
      <c r="BH184" s="251"/>
      <c r="BI184" s="326"/>
      <c r="BJ184" s="322">
        <f t="shared" si="156"/>
        <v>0</v>
      </c>
      <c r="BK184" s="251"/>
      <c r="BL184" s="326"/>
      <c r="BM184" s="322">
        <f t="shared" si="156"/>
        <v>0</v>
      </c>
      <c r="BN184" s="251"/>
      <c r="BO184" s="326"/>
      <c r="BP184" s="322">
        <f t="shared" si="156"/>
        <v>0</v>
      </c>
      <c r="BQ184" s="251"/>
      <c r="BR184" s="326"/>
      <c r="BS184" s="322">
        <f t="shared" si="156"/>
        <v>0</v>
      </c>
      <c r="BT184" s="251"/>
      <c r="BU184" s="326"/>
      <c r="BV184" s="322">
        <f t="shared" si="156"/>
        <v>0</v>
      </c>
      <c r="BW184" s="251"/>
      <c r="BX184" s="326"/>
      <c r="BY184" s="322">
        <f t="shared" si="156"/>
        <v>0</v>
      </c>
      <c r="BZ184" s="251"/>
      <c r="CA184" s="326"/>
      <c r="CB184" s="322">
        <f t="shared" si="155"/>
        <v>0</v>
      </c>
      <c r="CC184" s="251"/>
      <c r="CD184" s="326"/>
      <c r="CE184" s="322">
        <f t="shared" si="155"/>
        <v>0</v>
      </c>
      <c r="CF184" s="251"/>
      <c r="CG184" s="251"/>
      <c r="CH184" s="251"/>
    </row>
    <row r="185" spans="1:86" ht="15" customHeight="1">
      <c r="A185" s="219"/>
      <c r="B185" s="219"/>
      <c r="C185" s="219"/>
      <c r="D185" s="219"/>
      <c r="E185" s="219"/>
      <c r="F185" s="567"/>
      <c r="G185" s="191">
        <v>34</v>
      </c>
      <c r="H185" s="372" t="str">
        <f>IF(SUM(Calcs!$B$2:$B$37)=288,League!P35,"Pos. "&amp;G185)</f>
        <v>Pos. 34</v>
      </c>
      <c r="I185" s="219"/>
      <c r="J185" s="458" t="s">
        <v>37</v>
      </c>
      <c r="K185" s="322">
        <f t="shared" si="150"/>
        <v>0</v>
      </c>
      <c r="L185" s="251"/>
      <c r="M185" s="326" t="s">
        <v>36</v>
      </c>
      <c r="N185" s="322">
        <f t="shared" si="156"/>
        <v>0</v>
      </c>
      <c r="O185" s="251"/>
      <c r="P185" s="326" t="s">
        <v>37</v>
      </c>
      <c r="Q185" s="322">
        <f t="shared" si="156"/>
        <v>0</v>
      </c>
      <c r="R185" s="251"/>
      <c r="S185" s="326" t="s">
        <v>36</v>
      </c>
      <c r="T185" s="322">
        <f t="shared" si="156"/>
        <v>0</v>
      </c>
      <c r="U185" s="251"/>
      <c r="V185" s="326" t="s">
        <v>49</v>
      </c>
      <c r="W185" s="322">
        <f t="shared" si="156"/>
        <v>0</v>
      </c>
      <c r="X185" s="251"/>
      <c r="Y185" s="326" t="s">
        <v>37</v>
      </c>
      <c r="Z185" s="322">
        <f t="shared" si="156"/>
        <v>0</v>
      </c>
      <c r="AA185" s="251"/>
      <c r="AB185" s="326" t="s">
        <v>35</v>
      </c>
      <c r="AC185" s="322">
        <f t="shared" si="156"/>
        <v>0</v>
      </c>
      <c r="AD185" s="251"/>
      <c r="AE185" s="326" t="s">
        <v>46</v>
      </c>
      <c r="AF185" s="322">
        <f t="shared" si="156"/>
        <v>0</v>
      </c>
      <c r="AG185" s="251"/>
      <c r="AH185" s="326" t="s">
        <v>37</v>
      </c>
      <c r="AI185" s="322">
        <f t="shared" si="156"/>
        <v>0</v>
      </c>
      <c r="AJ185" s="251"/>
      <c r="AK185" s="326" t="s">
        <v>59</v>
      </c>
      <c r="AL185" s="322">
        <f t="shared" si="156"/>
        <v>0</v>
      </c>
      <c r="AM185" s="251"/>
      <c r="AN185" s="326" t="s">
        <v>35</v>
      </c>
      <c r="AO185" s="322">
        <f t="shared" si="156"/>
        <v>0</v>
      </c>
      <c r="AP185" s="251"/>
      <c r="AQ185" s="326" t="s">
        <v>25</v>
      </c>
      <c r="AR185" s="322">
        <f t="shared" si="156"/>
        <v>0</v>
      </c>
      <c r="AS185" s="251"/>
      <c r="AT185" s="326" t="s">
        <v>36</v>
      </c>
      <c r="AU185" s="322">
        <f t="shared" si="156"/>
        <v>0</v>
      </c>
      <c r="AV185" s="251"/>
      <c r="AW185" s="326" t="s">
        <v>37</v>
      </c>
      <c r="AX185" s="322">
        <f t="shared" si="156"/>
        <v>0</v>
      </c>
      <c r="AY185" s="251"/>
      <c r="AZ185" s="539" t="s">
        <v>31</v>
      </c>
      <c r="BA185" s="322">
        <f t="shared" si="156"/>
        <v>0</v>
      </c>
      <c r="BB185" s="251"/>
      <c r="BC185" s="326" t="s">
        <v>25</v>
      </c>
      <c r="BD185" s="322">
        <f t="shared" si="156"/>
        <v>0</v>
      </c>
      <c r="BE185" s="251"/>
      <c r="BF185" s="326"/>
      <c r="BG185" s="322">
        <f t="shared" si="156"/>
        <v>0</v>
      </c>
      <c r="BH185" s="251"/>
      <c r="BI185" s="326"/>
      <c r="BJ185" s="322">
        <f t="shared" si="156"/>
        <v>0</v>
      </c>
      <c r="BK185" s="251"/>
      <c r="BL185" s="326"/>
      <c r="BM185" s="322">
        <f t="shared" si="156"/>
        <v>0</v>
      </c>
      <c r="BN185" s="251"/>
      <c r="BO185" s="326"/>
      <c r="BP185" s="322">
        <f t="shared" si="156"/>
        <v>0</v>
      </c>
      <c r="BQ185" s="251"/>
      <c r="BR185" s="326"/>
      <c r="BS185" s="322">
        <f t="shared" si="156"/>
        <v>0</v>
      </c>
      <c r="BT185" s="251"/>
      <c r="BU185" s="326"/>
      <c r="BV185" s="322">
        <f t="shared" si="156"/>
        <v>0</v>
      </c>
      <c r="BW185" s="251"/>
      <c r="BX185" s="326"/>
      <c r="BY185" s="322">
        <f t="shared" si="156"/>
        <v>0</v>
      </c>
      <c r="BZ185" s="251"/>
      <c r="CA185" s="326"/>
      <c r="CB185" s="322">
        <f t="shared" si="155"/>
        <v>0</v>
      </c>
      <c r="CC185" s="251"/>
      <c r="CD185" s="326"/>
      <c r="CE185" s="322">
        <f t="shared" si="155"/>
        <v>0</v>
      </c>
      <c r="CF185" s="251"/>
      <c r="CG185" s="251"/>
      <c r="CH185" s="251"/>
    </row>
    <row r="186" spans="1:86" ht="15" customHeight="1">
      <c r="A186" s="219"/>
      <c r="B186" s="219"/>
      <c r="C186" s="219"/>
      <c r="D186" s="219"/>
      <c r="E186" s="219"/>
      <c r="F186" s="567"/>
      <c r="G186" s="191">
        <v>35</v>
      </c>
      <c r="H186" s="372" t="str">
        <f>IF(SUM(Calcs!$B$2:$B$37)=288,League!P36,"Pos. "&amp;G186)</f>
        <v>Pos. 35</v>
      </c>
      <c r="I186" s="219"/>
      <c r="J186" s="458" t="s">
        <v>35</v>
      </c>
      <c r="K186" s="322">
        <f t="shared" si="150"/>
        <v>0</v>
      </c>
      <c r="L186" s="251"/>
      <c r="M186" s="326" t="s">
        <v>59</v>
      </c>
      <c r="N186" s="322">
        <f t="shared" si="156"/>
        <v>0</v>
      </c>
      <c r="O186" s="251"/>
      <c r="P186" s="326" t="s">
        <v>59</v>
      </c>
      <c r="Q186" s="322">
        <f t="shared" si="156"/>
        <v>0</v>
      </c>
      <c r="R186" s="251"/>
      <c r="S186" s="326" t="s">
        <v>59</v>
      </c>
      <c r="T186" s="322">
        <f t="shared" si="156"/>
        <v>0</v>
      </c>
      <c r="U186" s="251"/>
      <c r="V186" s="326" t="s">
        <v>37</v>
      </c>
      <c r="W186" s="322">
        <f t="shared" si="156"/>
        <v>0</v>
      </c>
      <c r="X186" s="251"/>
      <c r="Y186" s="326" t="s">
        <v>35</v>
      </c>
      <c r="Z186" s="322">
        <f t="shared" si="156"/>
        <v>0</v>
      </c>
      <c r="AA186" s="251"/>
      <c r="AB186" s="326" t="s">
        <v>25</v>
      </c>
      <c r="AC186" s="322">
        <f t="shared" si="156"/>
        <v>0</v>
      </c>
      <c r="AD186" s="251"/>
      <c r="AE186" s="326" t="s">
        <v>47</v>
      </c>
      <c r="AF186" s="322">
        <f t="shared" si="156"/>
        <v>0</v>
      </c>
      <c r="AG186" s="251"/>
      <c r="AH186" s="326" t="s">
        <v>35</v>
      </c>
      <c r="AI186" s="322">
        <f t="shared" si="156"/>
        <v>0</v>
      </c>
      <c r="AJ186" s="251"/>
      <c r="AK186" s="326" t="s">
        <v>37</v>
      </c>
      <c r="AL186" s="322">
        <f t="shared" si="156"/>
        <v>0</v>
      </c>
      <c r="AM186" s="251"/>
      <c r="AN186" s="326" t="s">
        <v>31</v>
      </c>
      <c r="AO186" s="322">
        <f t="shared" si="156"/>
        <v>0</v>
      </c>
      <c r="AP186" s="251"/>
      <c r="AQ186" s="326" t="s">
        <v>59</v>
      </c>
      <c r="AR186" s="322">
        <f t="shared" si="156"/>
        <v>0</v>
      </c>
      <c r="AS186" s="251"/>
      <c r="AT186" s="326" t="s">
        <v>25</v>
      </c>
      <c r="AU186" s="322">
        <f t="shared" si="156"/>
        <v>0</v>
      </c>
      <c r="AV186" s="251"/>
      <c r="AW186" s="326" t="s">
        <v>35</v>
      </c>
      <c r="AX186" s="322">
        <f t="shared" si="156"/>
        <v>0</v>
      </c>
      <c r="AY186" s="251"/>
      <c r="AZ186" s="539" t="s">
        <v>35</v>
      </c>
      <c r="BA186" s="322">
        <f t="shared" si="156"/>
        <v>0</v>
      </c>
      <c r="BB186" s="251"/>
      <c r="BC186" s="326" t="s">
        <v>31</v>
      </c>
      <c r="BD186" s="322">
        <f t="shared" si="156"/>
        <v>0</v>
      </c>
      <c r="BE186" s="251"/>
      <c r="BF186" s="326"/>
      <c r="BG186" s="322">
        <f t="shared" si="156"/>
        <v>0</v>
      </c>
      <c r="BH186" s="251"/>
      <c r="BI186" s="326"/>
      <c r="BJ186" s="322">
        <f t="shared" si="156"/>
        <v>0</v>
      </c>
      <c r="BK186" s="251"/>
      <c r="BL186" s="326"/>
      <c r="BM186" s="322">
        <f t="shared" si="156"/>
        <v>0</v>
      </c>
      <c r="BN186" s="251"/>
      <c r="BO186" s="326"/>
      <c r="BP186" s="322">
        <f t="shared" si="156"/>
        <v>0</v>
      </c>
      <c r="BQ186" s="251"/>
      <c r="BR186" s="326"/>
      <c r="BS186" s="322">
        <f t="shared" si="156"/>
        <v>0</v>
      </c>
      <c r="BT186" s="251"/>
      <c r="BU186" s="326"/>
      <c r="BV186" s="322">
        <f t="shared" si="156"/>
        <v>0</v>
      </c>
      <c r="BW186" s="251"/>
      <c r="BX186" s="326"/>
      <c r="BY186" s="322">
        <f t="shared" si="156"/>
        <v>0</v>
      </c>
      <c r="BZ186" s="251"/>
      <c r="CA186" s="326"/>
      <c r="CB186" s="322">
        <f t="shared" si="155"/>
        <v>0</v>
      </c>
      <c r="CC186" s="251"/>
      <c r="CD186" s="326"/>
      <c r="CE186" s="322">
        <f t="shared" si="155"/>
        <v>0</v>
      </c>
      <c r="CF186" s="251"/>
      <c r="CG186" s="251"/>
      <c r="CH186" s="251"/>
    </row>
    <row r="187" spans="1:86" ht="15" customHeight="1">
      <c r="A187" s="219"/>
      <c r="B187" s="219"/>
      <c r="C187" s="219"/>
      <c r="D187" s="219"/>
      <c r="E187" s="219"/>
      <c r="F187" s="567"/>
      <c r="G187" s="373">
        <v>36</v>
      </c>
      <c r="H187" s="372" t="str">
        <f>IF(SUM(Calcs!$B$2:$B$37)=288,League!P37,"Pos. "&amp;G187)</f>
        <v>Pos. 36</v>
      </c>
      <c r="I187" s="219"/>
      <c r="J187" s="458" t="s">
        <v>25</v>
      </c>
      <c r="K187" s="322">
        <f t="shared" si="150"/>
        <v>0</v>
      </c>
      <c r="L187" s="251"/>
      <c r="M187" s="326" t="s">
        <v>25</v>
      </c>
      <c r="N187" s="322">
        <f t="shared" si="156"/>
        <v>0</v>
      </c>
      <c r="O187" s="251"/>
      <c r="P187" s="326" t="s">
        <v>25</v>
      </c>
      <c r="Q187" s="322">
        <f t="shared" si="156"/>
        <v>0</v>
      </c>
      <c r="R187" s="251"/>
      <c r="S187" s="326" t="s">
        <v>25</v>
      </c>
      <c r="T187" s="322">
        <f t="shared" si="156"/>
        <v>0</v>
      </c>
      <c r="U187" s="251"/>
      <c r="V187" s="326" t="s">
        <v>25</v>
      </c>
      <c r="W187" s="322">
        <f t="shared" si="156"/>
        <v>0</v>
      </c>
      <c r="X187" s="251"/>
      <c r="Y187" s="326" t="s">
        <v>31</v>
      </c>
      <c r="Z187" s="322">
        <f t="shared" si="156"/>
        <v>0</v>
      </c>
      <c r="AA187" s="251"/>
      <c r="AB187" s="326" t="s">
        <v>37</v>
      </c>
      <c r="AC187" s="322">
        <f t="shared" si="156"/>
        <v>0</v>
      </c>
      <c r="AD187" s="251"/>
      <c r="AE187" s="326" t="s">
        <v>51</v>
      </c>
      <c r="AF187" s="322">
        <f t="shared" si="156"/>
        <v>0</v>
      </c>
      <c r="AG187" s="251"/>
      <c r="AH187" s="326" t="s">
        <v>25</v>
      </c>
      <c r="AI187" s="322">
        <f t="shared" si="156"/>
        <v>0</v>
      </c>
      <c r="AJ187" s="251"/>
      <c r="AK187" s="326" t="s">
        <v>31</v>
      </c>
      <c r="AL187" s="322">
        <f t="shared" si="156"/>
        <v>0</v>
      </c>
      <c r="AM187" s="251"/>
      <c r="AN187" s="326" t="s">
        <v>25</v>
      </c>
      <c r="AO187" s="322">
        <f t="shared" si="156"/>
        <v>0</v>
      </c>
      <c r="AP187" s="251"/>
      <c r="AQ187" s="326" t="s">
        <v>31</v>
      </c>
      <c r="AR187" s="322">
        <f t="shared" si="156"/>
        <v>0</v>
      </c>
      <c r="AS187" s="251"/>
      <c r="AT187" s="326" t="s">
        <v>31</v>
      </c>
      <c r="AU187" s="322">
        <f t="shared" si="156"/>
        <v>0</v>
      </c>
      <c r="AV187" s="251"/>
      <c r="AW187" s="326" t="s">
        <v>31</v>
      </c>
      <c r="AX187" s="322">
        <f t="shared" si="156"/>
        <v>0</v>
      </c>
      <c r="AY187" s="251"/>
      <c r="AZ187" s="539" t="s">
        <v>37</v>
      </c>
      <c r="BA187" s="322">
        <f t="shared" ref="BA187:CE187" si="157">IF($H187=AZ187,$D$11,0)</f>
        <v>0</v>
      </c>
      <c r="BB187" s="251"/>
      <c r="BC187" s="326" t="s">
        <v>37</v>
      </c>
      <c r="BD187" s="322">
        <f t="shared" si="157"/>
        <v>0</v>
      </c>
      <c r="BE187" s="251"/>
      <c r="BF187" s="326"/>
      <c r="BG187" s="322">
        <f t="shared" si="157"/>
        <v>0</v>
      </c>
      <c r="BH187" s="251"/>
      <c r="BI187" s="326"/>
      <c r="BJ187" s="322">
        <f t="shared" si="157"/>
        <v>0</v>
      </c>
      <c r="BK187" s="251"/>
      <c r="BL187" s="326"/>
      <c r="BM187" s="322">
        <f t="shared" si="157"/>
        <v>0</v>
      </c>
      <c r="BN187" s="251"/>
      <c r="BO187" s="326"/>
      <c r="BP187" s="322">
        <f t="shared" si="157"/>
        <v>0</v>
      </c>
      <c r="BQ187" s="251"/>
      <c r="BR187" s="326"/>
      <c r="BS187" s="322">
        <f t="shared" si="157"/>
        <v>0</v>
      </c>
      <c r="BT187" s="251"/>
      <c r="BU187" s="326"/>
      <c r="BV187" s="322">
        <f t="shared" si="157"/>
        <v>0</v>
      </c>
      <c r="BW187" s="251"/>
      <c r="BX187" s="326"/>
      <c r="BY187" s="322">
        <f t="shared" si="157"/>
        <v>0</v>
      </c>
      <c r="BZ187" s="251"/>
      <c r="CA187" s="326"/>
      <c r="CB187" s="322">
        <f t="shared" si="157"/>
        <v>0</v>
      </c>
      <c r="CC187" s="251"/>
      <c r="CD187" s="326"/>
      <c r="CE187" s="322">
        <f t="shared" si="157"/>
        <v>0</v>
      </c>
      <c r="CF187" s="251"/>
      <c r="CG187" s="251"/>
      <c r="CH187" s="251"/>
    </row>
    <row r="188" spans="1:86" s="369" customFormat="1">
      <c r="A188" s="265"/>
      <c r="B188" s="265"/>
      <c r="C188" s="265"/>
      <c r="D188" s="265"/>
      <c r="E188" s="265"/>
      <c r="F188" s="265"/>
      <c r="G188" s="265"/>
      <c r="H188" s="265"/>
      <c r="I188" s="265"/>
      <c r="J188" s="460"/>
      <c r="K188" s="265" t="str">
        <f>CONCATENATE(SUM(K152:K187),"/",$D$11*36)</f>
        <v>0/180</v>
      </c>
      <c r="L188" s="265"/>
      <c r="M188" s="368"/>
      <c r="N188" s="265" t="str">
        <f t="shared" ref="N188" si="158">CONCATENATE(SUM(N152:N187),"/",$D$11*36)</f>
        <v>0/180</v>
      </c>
      <c r="O188" s="265"/>
      <c r="P188" s="368"/>
      <c r="Q188" s="265" t="str">
        <f t="shared" ref="Q188" si="159">CONCATENATE(SUM(Q152:Q187),"/",$D$11*36)</f>
        <v>0/180</v>
      </c>
      <c r="R188" s="265"/>
      <c r="S188" s="368"/>
      <c r="T188" s="265" t="str">
        <f t="shared" ref="T188" si="160">CONCATENATE(SUM(T152:T187),"/",$D$11*36)</f>
        <v>0/180</v>
      </c>
      <c r="U188" s="265"/>
      <c r="V188" s="368"/>
      <c r="W188" s="265" t="str">
        <f t="shared" ref="W188" si="161">CONCATENATE(SUM(W152:W187),"/",$D$11*36)</f>
        <v>0/180</v>
      </c>
      <c r="X188" s="265"/>
      <c r="Y188" s="368"/>
      <c r="Z188" s="265" t="str">
        <f t="shared" ref="Z188" si="162">CONCATENATE(SUM(Z152:Z187),"/",$D$11*36)</f>
        <v>0/180</v>
      </c>
      <c r="AA188" s="265"/>
      <c r="AB188" s="368"/>
      <c r="AC188" s="265" t="str">
        <f t="shared" ref="AC188" si="163">CONCATENATE(SUM(AC152:AC187),"/",$D$11*36)</f>
        <v>0/180</v>
      </c>
      <c r="AD188" s="265"/>
      <c r="AE188" s="368"/>
      <c r="AF188" s="265" t="str">
        <f t="shared" ref="AF188" si="164">CONCATENATE(SUM(AF152:AF187),"/",$D$11*36)</f>
        <v>0/180</v>
      </c>
      <c r="AG188" s="265"/>
      <c r="AH188" s="368"/>
      <c r="AI188" s="265" t="str">
        <f t="shared" ref="AI188" si="165">CONCATENATE(SUM(AI152:AI187),"/",$D$11*36)</f>
        <v>0/180</v>
      </c>
      <c r="AJ188" s="265"/>
      <c r="AK188" s="368"/>
      <c r="AL188" s="265" t="str">
        <f t="shared" ref="AL188" si="166">CONCATENATE(SUM(AL152:AL187),"/",$D$11*36)</f>
        <v>0/180</v>
      </c>
      <c r="AM188" s="265"/>
      <c r="AN188" s="368"/>
      <c r="AO188" s="265" t="str">
        <f t="shared" ref="AO188" si="167">CONCATENATE(SUM(AO152:AO187),"/",$D$11*36)</f>
        <v>0/180</v>
      </c>
      <c r="AP188" s="265"/>
      <c r="AQ188" s="368"/>
      <c r="AR188" s="265" t="str">
        <f t="shared" ref="AR188" si="168">CONCATENATE(SUM(AR152:AR187),"/",$D$11*36)</f>
        <v>0/180</v>
      </c>
      <c r="AS188" s="265"/>
      <c r="AT188" s="368"/>
      <c r="AU188" s="265" t="str">
        <f t="shared" ref="AU188" si="169">CONCATENATE(SUM(AU152:AU187),"/",$D$11*36)</f>
        <v>0/180</v>
      </c>
      <c r="AV188" s="265"/>
      <c r="AW188" s="368"/>
      <c r="AX188" s="265" t="str">
        <f t="shared" ref="AX188" si="170">CONCATENATE(SUM(AX152:AX187),"/",$D$11*36)</f>
        <v>0/180</v>
      </c>
      <c r="AY188" s="265"/>
      <c r="AZ188" s="541"/>
      <c r="BA188" s="265" t="str">
        <f t="shared" ref="BA188" si="171">CONCATENATE(SUM(BA152:BA187),"/",$D$11*36)</f>
        <v>0/180</v>
      </c>
      <c r="BB188" s="265"/>
      <c r="BC188" s="368"/>
      <c r="BD188" s="265" t="str">
        <f t="shared" ref="BD188" si="172">CONCATENATE(SUM(BD152:BD187),"/",$D$11*36)</f>
        <v>0/180</v>
      </c>
      <c r="BE188" s="265"/>
      <c r="BF188" s="368"/>
      <c r="BG188" s="265" t="str">
        <f t="shared" ref="BG188" si="173">CONCATENATE(SUM(BG152:BG187),"/",$D$11*36)</f>
        <v>0/180</v>
      </c>
      <c r="BH188" s="265"/>
      <c r="BI188" s="368"/>
      <c r="BJ188" s="265" t="str">
        <f t="shared" ref="BJ188" si="174">CONCATENATE(SUM(BJ152:BJ187),"/",$D$11*36)</f>
        <v>0/180</v>
      </c>
      <c r="BK188" s="265"/>
      <c r="BL188" s="368"/>
      <c r="BM188" s="265" t="str">
        <f t="shared" ref="BM188" si="175">CONCATENATE(SUM(BM152:BM187),"/",$D$11*36)</f>
        <v>0/180</v>
      </c>
      <c r="BN188" s="265"/>
      <c r="BO188" s="368"/>
      <c r="BP188" s="265" t="str">
        <f t="shared" ref="BP188" si="176">CONCATENATE(SUM(BP152:BP187),"/",$D$11*36)</f>
        <v>0/180</v>
      </c>
      <c r="BQ188" s="265"/>
      <c r="BR188" s="368"/>
      <c r="BS188" s="265" t="str">
        <f t="shared" ref="BS188" si="177">CONCATENATE(SUM(BS152:BS187),"/",$D$11*36)</f>
        <v>0/180</v>
      </c>
      <c r="BT188" s="265"/>
      <c r="BU188" s="368"/>
      <c r="BV188" s="265" t="str">
        <f t="shared" ref="BV188" si="178">CONCATENATE(SUM(BV152:BV187),"/",$D$11*36)</f>
        <v>0/180</v>
      </c>
      <c r="BW188" s="265"/>
      <c r="BX188" s="368"/>
      <c r="BY188" s="265" t="str">
        <f t="shared" ref="BY188" si="179">CONCATENATE(SUM(BY152:BY187),"/",$D$11*36)</f>
        <v>0/180</v>
      </c>
      <c r="BZ188" s="265"/>
      <c r="CA188" s="368"/>
      <c r="CB188" s="265" t="str">
        <f t="shared" ref="CB188" si="180">CONCATENATE(SUM(CB152:CB187),"/",$D$11*36)</f>
        <v>0/180</v>
      </c>
      <c r="CC188" s="265"/>
      <c r="CD188" s="368"/>
      <c r="CE188" s="265" t="str">
        <f t="shared" ref="CE188" si="181">CONCATENATE(SUM(CE152:CE187),"/",$D$11*36)</f>
        <v>0/180</v>
      </c>
      <c r="CF188" s="265"/>
      <c r="CG188" s="265"/>
      <c r="CH188" s="265"/>
    </row>
    <row r="189" spans="1:86" ht="15.75">
      <c r="A189" s="219"/>
      <c r="B189" s="219"/>
      <c r="C189" s="219"/>
      <c r="D189" s="219"/>
      <c r="E189" s="219"/>
      <c r="F189" s="265"/>
      <c r="G189" s="316" t="str">
        <f>UPPER(Idiomas!D223)&amp;" (From League)"</f>
        <v>CLASIFICADOS PARA OCTAVOS DE FINAL (From League)</v>
      </c>
      <c r="H189" s="370"/>
      <c r="I189" s="219"/>
      <c r="J189" s="461"/>
      <c r="K189" s="219"/>
      <c r="L189" s="251"/>
      <c r="M189" s="371"/>
      <c r="N189" s="219"/>
      <c r="O189" s="251"/>
      <c r="P189" s="371"/>
      <c r="Q189" s="219"/>
      <c r="R189" s="251"/>
      <c r="S189" s="371"/>
      <c r="T189" s="219"/>
      <c r="U189" s="251"/>
      <c r="V189" s="371"/>
      <c r="W189" s="219"/>
      <c r="X189" s="251"/>
      <c r="Y189" s="371"/>
      <c r="Z189" s="219"/>
      <c r="AA189" s="251"/>
      <c r="AB189" s="371"/>
      <c r="AC189" s="219"/>
      <c r="AD189" s="251"/>
      <c r="AE189" s="371"/>
      <c r="AF189" s="219"/>
      <c r="AG189" s="251"/>
      <c r="AH189" s="371"/>
      <c r="AI189" s="219"/>
      <c r="AJ189" s="251"/>
      <c r="AK189" s="371"/>
      <c r="AL189" s="219"/>
      <c r="AM189" s="251"/>
      <c r="AN189" s="371"/>
      <c r="AO189" s="219"/>
      <c r="AP189" s="251"/>
      <c r="AQ189" s="371"/>
      <c r="AR189" s="219"/>
      <c r="AS189" s="251"/>
      <c r="AT189" s="371"/>
      <c r="AU189" s="219"/>
      <c r="AV189" s="251"/>
      <c r="AW189" s="371"/>
      <c r="AX189" s="219"/>
      <c r="AY189" s="251"/>
      <c r="AZ189" s="542" t="s">
        <v>193</v>
      </c>
      <c r="BA189" s="219"/>
      <c r="BB189" s="251"/>
      <c r="BC189" s="371"/>
      <c r="BD189" s="219"/>
      <c r="BE189" s="251"/>
      <c r="BF189" s="371"/>
      <c r="BG189" s="219"/>
      <c r="BH189" s="251"/>
      <c r="BI189" s="371"/>
      <c r="BJ189" s="219"/>
      <c r="BK189" s="251"/>
      <c r="BL189" s="371"/>
      <c r="BM189" s="219"/>
      <c r="BN189" s="251"/>
      <c r="BO189" s="371"/>
      <c r="BP189" s="219"/>
      <c r="BQ189" s="251"/>
      <c r="BR189" s="371"/>
      <c r="BS189" s="219"/>
      <c r="BT189" s="251"/>
      <c r="BU189" s="371"/>
      <c r="BV189" s="219"/>
      <c r="BW189" s="251"/>
      <c r="BX189" s="371"/>
      <c r="BY189" s="219"/>
      <c r="BZ189" s="251"/>
      <c r="CA189" s="371"/>
      <c r="CB189" s="219"/>
      <c r="CC189" s="251"/>
      <c r="CD189" s="371"/>
      <c r="CE189" s="219"/>
      <c r="CF189" s="251"/>
      <c r="CG189" s="251"/>
      <c r="CH189" s="251"/>
    </row>
    <row r="190" spans="1:86" ht="15" customHeight="1">
      <c r="A190" s="265"/>
      <c r="B190" s="265"/>
      <c r="C190" s="265"/>
      <c r="D190" s="265"/>
      <c r="E190" s="265"/>
      <c r="F190" s="565" t="s">
        <v>196</v>
      </c>
      <c r="G190" s="374" t="str">
        <f>+Idiomas!$D$276</f>
        <v>Octavofinalista</v>
      </c>
      <c r="H190" s="320" t="str">
        <f>IF(SUM(Calcs!$B$2:$B$37)=288,League!P2,Idiomas!$D$276&amp;1)</f>
        <v>Octavofinalista1</v>
      </c>
      <c r="I190" s="219"/>
      <c r="J190" s="458" t="s">
        <v>53</v>
      </c>
      <c r="K190" s="322">
        <f t="shared" ref="K190:K197" si="182">+COUNTIF($H$190:$H$197,J190)*$D$12</f>
        <v>0</v>
      </c>
      <c r="L190" s="251"/>
      <c r="M190" s="326" t="s">
        <v>56</v>
      </c>
      <c r="N190" s="322">
        <f t="shared" ref="N190:BY197" si="183">+COUNTIF($H$190:$H$197,M190)*$D$12</f>
        <v>0</v>
      </c>
      <c r="O190" s="251"/>
      <c r="P190" s="326" t="s">
        <v>53</v>
      </c>
      <c r="Q190" s="322">
        <f t="shared" si="183"/>
        <v>0</v>
      </c>
      <c r="R190" s="251"/>
      <c r="S190" s="326" t="s">
        <v>53</v>
      </c>
      <c r="T190" s="322">
        <f t="shared" si="183"/>
        <v>0</v>
      </c>
      <c r="U190" s="251"/>
      <c r="V190" s="326" t="s">
        <v>56</v>
      </c>
      <c r="W190" s="322">
        <f t="shared" si="183"/>
        <v>0</v>
      </c>
      <c r="X190" s="251"/>
      <c r="Y190" s="326" t="s">
        <v>23</v>
      </c>
      <c r="Z190" s="322">
        <f t="shared" si="183"/>
        <v>0</v>
      </c>
      <c r="AA190" s="251"/>
      <c r="AB190" s="326" t="s">
        <v>43</v>
      </c>
      <c r="AC190" s="322">
        <f t="shared" si="183"/>
        <v>0</v>
      </c>
      <c r="AD190" s="251"/>
      <c r="AE190" s="326" t="s">
        <v>28</v>
      </c>
      <c r="AF190" s="322">
        <f t="shared" si="183"/>
        <v>0</v>
      </c>
      <c r="AG190" s="251"/>
      <c r="AH190" s="326" t="s">
        <v>53</v>
      </c>
      <c r="AI190" s="322">
        <f t="shared" si="183"/>
        <v>0</v>
      </c>
      <c r="AJ190" s="251"/>
      <c r="AK190" s="326" t="s">
        <v>56</v>
      </c>
      <c r="AL190" s="322">
        <f t="shared" si="183"/>
        <v>0</v>
      </c>
      <c r="AM190" s="251"/>
      <c r="AN190" s="326" t="s">
        <v>45</v>
      </c>
      <c r="AO190" s="322">
        <f t="shared" si="183"/>
        <v>0</v>
      </c>
      <c r="AP190" s="251"/>
      <c r="AQ190" s="326" t="s">
        <v>44</v>
      </c>
      <c r="AR190" s="322">
        <f t="shared" si="183"/>
        <v>0</v>
      </c>
      <c r="AS190" s="251"/>
      <c r="AT190" s="326" t="s">
        <v>56</v>
      </c>
      <c r="AU190" s="322">
        <f t="shared" si="183"/>
        <v>0</v>
      </c>
      <c r="AV190" s="251"/>
      <c r="AW190" s="326" t="s">
        <v>43</v>
      </c>
      <c r="AX190" s="322">
        <f t="shared" si="183"/>
        <v>0</v>
      </c>
      <c r="AY190" s="251"/>
      <c r="AZ190" s="539" t="s">
        <v>44</v>
      </c>
      <c r="BA190" s="322">
        <f t="shared" si="183"/>
        <v>0</v>
      </c>
      <c r="BB190" s="251"/>
      <c r="BC190" s="326" t="s">
        <v>28</v>
      </c>
      <c r="BD190" s="322">
        <f t="shared" si="183"/>
        <v>0</v>
      </c>
      <c r="BE190" s="251"/>
      <c r="BF190" s="326"/>
      <c r="BG190" s="322">
        <f t="shared" si="183"/>
        <v>0</v>
      </c>
      <c r="BH190" s="251"/>
      <c r="BI190" s="326"/>
      <c r="BJ190" s="322">
        <f t="shared" si="183"/>
        <v>0</v>
      </c>
      <c r="BK190" s="251"/>
      <c r="BL190" s="326"/>
      <c r="BM190" s="322">
        <f t="shared" si="183"/>
        <v>0</v>
      </c>
      <c r="BN190" s="251"/>
      <c r="BO190" s="326"/>
      <c r="BP190" s="322">
        <f t="shared" si="183"/>
        <v>0</v>
      </c>
      <c r="BQ190" s="251"/>
      <c r="BR190" s="326"/>
      <c r="BS190" s="322">
        <f t="shared" si="183"/>
        <v>0</v>
      </c>
      <c r="BT190" s="251"/>
      <c r="BU190" s="326"/>
      <c r="BV190" s="322">
        <f t="shared" si="183"/>
        <v>0</v>
      </c>
      <c r="BW190" s="251"/>
      <c r="BX190" s="326"/>
      <c r="BY190" s="322">
        <f t="shared" si="183"/>
        <v>0</v>
      </c>
      <c r="BZ190" s="251"/>
      <c r="CA190" s="326"/>
      <c r="CB190" s="322">
        <f t="shared" ref="CB190:CE197" si="184">+COUNTIF($H$190:$H$197,CA190)*$D$12</f>
        <v>0</v>
      </c>
      <c r="CC190" s="251"/>
      <c r="CD190" s="326"/>
      <c r="CE190" s="322">
        <f t="shared" si="184"/>
        <v>0</v>
      </c>
      <c r="CF190" s="251"/>
      <c r="CG190" s="251"/>
      <c r="CH190" s="251"/>
    </row>
    <row r="191" spans="1:86" ht="15" customHeight="1">
      <c r="A191" s="265"/>
      <c r="B191" s="265"/>
      <c r="C191" s="265"/>
      <c r="D191" s="265"/>
      <c r="E191" s="265"/>
      <c r="F191" s="565"/>
      <c r="G191" s="374" t="str">
        <f>+Idiomas!$D$276</f>
        <v>Octavofinalista</v>
      </c>
      <c r="H191" s="320" t="str">
        <f>IF(SUM(Calcs!$B$2:$B$37)=288,League!P3,Idiomas!$D$276&amp;2)</f>
        <v>Octavofinalista2</v>
      </c>
      <c r="I191" s="219"/>
      <c r="J191" s="458" t="s">
        <v>56</v>
      </c>
      <c r="K191" s="322">
        <f t="shared" si="182"/>
        <v>0</v>
      </c>
      <c r="L191" s="251"/>
      <c r="M191" s="326" t="s">
        <v>53</v>
      </c>
      <c r="N191" s="322">
        <f t="shared" si="183"/>
        <v>0</v>
      </c>
      <c r="O191" s="251"/>
      <c r="P191" s="326" t="s">
        <v>23</v>
      </c>
      <c r="Q191" s="322">
        <f t="shared" si="183"/>
        <v>0</v>
      </c>
      <c r="R191" s="251"/>
      <c r="S191" s="326" t="s">
        <v>43</v>
      </c>
      <c r="T191" s="322">
        <f t="shared" si="183"/>
        <v>0</v>
      </c>
      <c r="U191" s="251"/>
      <c r="V191" s="326" t="s">
        <v>43</v>
      </c>
      <c r="W191" s="322">
        <f t="shared" si="183"/>
        <v>0</v>
      </c>
      <c r="X191" s="251"/>
      <c r="Y191" s="326" t="s">
        <v>43</v>
      </c>
      <c r="Z191" s="322">
        <f t="shared" si="183"/>
        <v>0</v>
      </c>
      <c r="AA191" s="251"/>
      <c r="AB191" s="326" t="s">
        <v>56</v>
      </c>
      <c r="AC191" s="322">
        <f t="shared" si="183"/>
        <v>0</v>
      </c>
      <c r="AD191" s="251"/>
      <c r="AE191" s="326" t="s">
        <v>42</v>
      </c>
      <c r="AF191" s="322">
        <f t="shared" si="183"/>
        <v>0</v>
      </c>
      <c r="AG191" s="251"/>
      <c r="AH191" s="326" t="s">
        <v>42</v>
      </c>
      <c r="AI191" s="322">
        <f t="shared" si="183"/>
        <v>0</v>
      </c>
      <c r="AJ191" s="251"/>
      <c r="AK191" s="326" t="s">
        <v>39</v>
      </c>
      <c r="AL191" s="322">
        <f t="shared" si="183"/>
        <v>0</v>
      </c>
      <c r="AM191" s="251"/>
      <c r="AN191" s="326" t="s">
        <v>41</v>
      </c>
      <c r="AO191" s="322">
        <f t="shared" si="183"/>
        <v>0</v>
      </c>
      <c r="AP191" s="251"/>
      <c r="AQ191" s="326" t="s">
        <v>56</v>
      </c>
      <c r="AR191" s="322">
        <f t="shared" si="183"/>
        <v>0</v>
      </c>
      <c r="AS191" s="251"/>
      <c r="AT191" s="326" t="s">
        <v>53</v>
      </c>
      <c r="AU191" s="322">
        <f t="shared" si="183"/>
        <v>0</v>
      </c>
      <c r="AV191" s="251"/>
      <c r="AW191" s="326" t="s">
        <v>53</v>
      </c>
      <c r="AX191" s="322">
        <f t="shared" si="183"/>
        <v>0</v>
      </c>
      <c r="AY191" s="251"/>
      <c r="AZ191" s="539" t="s">
        <v>54</v>
      </c>
      <c r="BA191" s="322">
        <f t="shared" si="183"/>
        <v>0</v>
      </c>
      <c r="BB191" s="251"/>
      <c r="BC191" s="326" t="s">
        <v>53</v>
      </c>
      <c r="BD191" s="322">
        <f t="shared" si="183"/>
        <v>0</v>
      </c>
      <c r="BE191" s="251"/>
      <c r="BF191" s="326"/>
      <c r="BG191" s="322">
        <f t="shared" si="183"/>
        <v>0</v>
      </c>
      <c r="BH191" s="251"/>
      <c r="BI191" s="326"/>
      <c r="BJ191" s="322">
        <f t="shared" si="183"/>
        <v>0</v>
      </c>
      <c r="BK191" s="251"/>
      <c r="BL191" s="326"/>
      <c r="BM191" s="322">
        <f t="shared" si="183"/>
        <v>0</v>
      </c>
      <c r="BN191" s="251"/>
      <c r="BO191" s="326"/>
      <c r="BP191" s="322">
        <f t="shared" si="183"/>
        <v>0</v>
      </c>
      <c r="BQ191" s="251"/>
      <c r="BR191" s="326"/>
      <c r="BS191" s="322">
        <f t="shared" si="183"/>
        <v>0</v>
      </c>
      <c r="BT191" s="251"/>
      <c r="BU191" s="326"/>
      <c r="BV191" s="322">
        <f t="shared" si="183"/>
        <v>0</v>
      </c>
      <c r="BW191" s="251"/>
      <c r="BX191" s="326"/>
      <c r="BY191" s="322">
        <f t="shared" si="183"/>
        <v>0</v>
      </c>
      <c r="BZ191" s="251"/>
      <c r="CA191" s="326"/>
      <c r="CB191" s="322">
        <f t="shared" si="184"/>
        <v>0</v>
      </c>
      <c r="CC191" s="251"/>
      <c r="CD191" s="326"/>
      <c r="CE191" s="322">
        <f t="shared" si="184"/>
        <v>0</v>
      </c>
      <c r="CF191" s="251"/>
      <c r="CG191" s="251"/>
      <c r="CH191" s="251"/>
    </row>
    <row r="192" spans="1:86" ht="15" customHeight="1">
      <c r="A192" s="265"/>
      <c r="B192" s="265"/>
      <c r="C192" s="265"/>
      <c r="D192" s="265"/>
      <c r="E192" s="265"/>
      <c r="F192" s="565"/>
      <c r="G192" s="374" t="str">
        <f>+Idiomas!$D$276</f>
        <v>Octavofinalista</v>
      </c>
      <c r="H192" s="320" t="str">
        <f>IF(SUM(Calcs!$B$2:$B$37)=288,League!P4,Idiomas!$D$276&amp;3)</f>
        <v>Octavofinalista3</v>
      </c>
      <c r="I192" s="219"/>
      <c r="J192" s="458" t="s">
        <v>41</v>
      </c>
      <c r="K192" s="322">
        <f t="shared" si="182"/>
        <v>0</v>
      </c>
      <c r="L192" s="251"/>
      <c r="M192" s="326" t="s">
        <v>43</v>
      </c>
      <c r="N192" s="322">
        <f t="shared" si="183"/>
        <v>0</v>
      </c>
      <c r="O192" s="251"/>
      <c r="P192" s="326" t="s">
        <v>56</v>
      </c>
      <c r="Q192" s="322">
        <f t="shared" si="183"/>
        <v>0</v>
      </c>
      <c r="R192" s="251"/>
      <c r="S192" s="326" t="s">
        <v>23</v>
      </c>
      <c r="T192" s="322">
        <f t="shared" si="183"/>
        <v>0</v>
      </c>
      <c r="U192" s="251"/>
      <c r="V192" s="326" t="s">
        <v>42</v>
      </c>
      <c r="W192" s="322">
        <f t="shared" si="183"/>
        <v>0</v>
      </c>
      <c r="X192" s="251"/>
      <c r="Y192" s="326" t="s">
        <v>56</v>
      </c>
      <c r="Z192" s="322">
        <f t="shared" si="183"/>
        <v>0</v>
      </c>
      <c r="AA192" s="251"/>
      <c r="AB192" s="326" t="s">
        <v>45</v>
      </c>
      <c r="AC192" s="322">
        <f t="shared" si="183"/>
        <v>0</v>
      </c>
      <c r="AD192" s="251"/>
      <c r="AE192" s="326" t="s">
        <v>23</v>
      </c>
      <c r="AF192" s="322">
        <f t="shared" si="183"/>
        <v>0</v>
      </c>
      <c r="AG192" s="251"/>
      <c r="AH192" s="326" t="s">
        <v>44</v>
      </c>
      <c r="AI192" s="322">
        <f t="shared" si="183"/>
        <v>0</v>
      </c>
      <c r="AJ192" s="251"/>
      <c r="AK192" s="326" t="s">
        <v>43</v>
      </c>
      <c r="AL192" s="322">
        <f t="shared" si="183"/>
        <v>0</v>
      </c>
      <c r="AM192" s="251"/>
      <c r="AN192" s="326" t="s">
        <v>28</v>
      </c>
      <c r="AO192" s="322">
        <f t="shared" si="183"/>
        <v>0</v>
      </c>
      <c r="AP192" s="251"/>
      <c r="AQ192" s="326" t="s">
        <v>28</v>
      </c>
      <c r="AR192" s="322">
        <f t="shared" si="183"/>
        <v>0</v>
      </c>
      <c r="AS192" s="251"/>
      <c r="AT192" s="326" t="s">
        <v>41</v>
      </c>
      <c r="AU192" s="322">
        <f t="shared" si="183"/>
        <v>0</v>
      </c>
      <c r="AV192" s="251"/>
      <c r="AW192" s="326" t="s">
        <v>41</v>
      </c>
      <c r="AX192" s="322">
        <f t="shared" si="183"/>
        <v>0</v>
      </c>
      <c r="AY192" s="251"/>
      <c r="AZ192" s="539" t="s">
        <v>53</v>
      </c>
      <c r="BA192" s="322">
        <f t="shared" si="183"/>
        <v>0</v>
      </c>
      <c r="BB192" s="251"/>
      <c r="BC192" s="326" t="s">
        <v>41</v>
      </c>
      <c r="BD192" s="322">
        <f t="shared" si="183"/>
        <v>0</v>
      </c>
      <c r="BE192" s="251"/>
      <c r="BF192" s="326"/>
      <c r="BG192" s="322">
        <f t="shared" si="183"/>
        <v>0</v>
      </c>
      <c r="BH192" s="251"/>
      <c r="BI192" s="326"/>
      <c r="BJ192" s="322">
        <f t="shared" si="183"/>
        <v>0</v>
      </c>
      <c r="BK192" s="251"/>
      <c r="BL192" s="326"/>
      <c r="BM192" s="322">
        <f t="shared" si="183"/>
        <v>0</v>
      </c>
      <c r="BN192" s="251"/>
      <c r="BO192" s="326"/>
      <c r="BP192" s="322">
        <f t="shared" si="183"/>
        <v>0</v>
      </c>
      <c r="BQ192" s="251"/>
      <c r="BR192" s="326"/>
      <c r="BS192" s="322">
        <f t="shared" si="183"/>
        <v>0</v>
      </c>
      <c r="BT192" s="251"/>
      <c r="BU192" s="326"/>
      <c r="BV192" s="322">
        <f t="shared" si="183"/>
        <v>0</v>
      </c>
      <c r="BW192" s="251"/>
      <c r="BX192" s="326"/>
      <c r="BY192" s="322">
        <f t="shared" si="183"/>
        <v>0</v>
      </c>
      <c r="BZ192" s="251"/>
      <c r="CA192" s="326"/>
      <c r="CB192" s="322">
        <f t="shared" si="184"/>
        <v>0</v>
      </c>
      <c r="CC192" s="251"/>
      <c r="CD192" s="326"/>
      <c r="CE192" s="322">
        <f t="shared" si="184"/>
        <v>0</v>
      </c>
      <c r="CF192" s="251"/>
      <c r="CG192" s="251"/>
      <c r="CH192" s="251"/>
    </row>
    <row r="193" spans="1:86" ht="15" customHeight="1">
      <c r="A193" s="265"/>
      <c r="B193" s="265"/>
      <c r="C193" s="265"/>
      <c r="D193" s="265"/>
      <c r="E193" s="265"/>
      <c r="F193" s="565"/>
      <c r="G193" s="374" t="str">
        <f>+Idiomas!$D$276</f>
        <v>Octavofinalista</v>
      </c>
      <c r="H193" s="320" t="str">
        <f>IF(SUM(Calcs!$B$2:$B$37)=288,League!P5,Idiomas!$D$276&amp;4)</f>
        <v>Octavofinalista4</v>
      </c>
      <c r="I193" s="219"/>
      <c r="J193" s="458" t="s">
        <v>42</v>
      </c>
      <c r="K193" s="322">
        <f t="shared" si="182"/>
        <v>0</v>
      </c>
      <c r="L193" s="251"/>
      <c r="M193" s="326" t="s">
        <v>41</v>
      </c>
      <c r="N193" s="322">
        <f t="shared" si="183"/>
        <v>0</v>
      </c>
      <c r="O193" s="251"/>
      <c r="P193" s="326" t="s">
        <v>26</v>
      </c>
      <c r="Q193" s="322">
        <f t="shared" si="183"/>
        <v>0</v>
      </c>
      <c r="R193" s="251"/>
      <c r="S193" s="326" t="s">
        <v>56</v>
      </c>
      <c r="T193" s="322">
        <f t="shared" si="183"/>
        <v>0</v>
      </c>
      <c r="U193" s="251"/>
      <c r="V193" s="326" t="s">
        <v>53</v>
      </c>
      <c r="W193" s="322">
        <f t="shared" si="183"/>
        <v>0</v>
      </c>
      <c r="X193" s="251"/>
      <c r="Y193" s="326" t="s">
        <v>53</v>
      </c>
      <c r="Z193" s="322">
        <f t="shared" si="183"/>
        <v>0</v>
      </c>
      <c r="AA193" s="251"/>
      <c r="AB193" s="326" t="s">
        <v>53</v>
      </c>
      <c r="AC193" s="322">
        <f t="shared" si="183"/>
        <v>0</v>
      </c>
      <c r="AD193" s="251"/>
      <c r="AE193" s="326" t="s">
        <v>26</v>
      </c>
      <c r="AF193" s="322">
        <f t="shared" si="183"/>
        <v>0</v>
      </c>
      <c r="AG193" s="251"/>
      <c r="AH193" s="326" t="s">
        <v>23</v>
      </c>
      <c r="AI193" s="322">
        <f t="shared" si="183"/>
        <v>0</v>
      </c>
      <c r="AJ193" s="251"/>
      <c r="AK193" s="326" t="s">
        <v>41</v>
      </c>
      <c r="AL193" s="322">
        <f t="shared" si="183"/>
        <v>0</v>
      </c>
      <c r="AM193" s="251"/>
      <c r="AN193" s="326" t="s">
        <v>43</v>
      </c>
      <c r="AO193" s="322">
        <f t="shared" si="183"/>
        <v>0</v>
      </c>
      <c r="AP193" s="251"/>
      <c r="AQ193" s="326" t="s">
        <v>41</v>
      </c>
      <c r="AR193" s="322">
        <f t="shared" si="183"/>
        <v>0</v>
      </c>
      <c r="AS193" s="251"/>
      <c r="AT193" s="326" t="s">
        <v>28</v>
      </c>
      <c r="AU193" s="322">
        <f t="shared" si="183"/>
        <v>0</v>
      </c>
      <c r="AV193" s="251"/>
      <c r="AW193" s="326" t="s">
        <v>56</v>
      </c>
      <c r="AX193" s="322">
        <f t="shared" si="183"/>
        <v>0</v>
      </c>
      <c r="AY193" s="251"/>
      <c r="AZ193" s="539" t="s">
        <v>45</v>
      </c>
      <c r="BA193" s="322">
        <f t="shared" si="183"/>
        <v>0</v>
      </c>
      <c r="BB193" s="251"/>
      <c r="BC193" s="326" t="s">
        <v>43</v>
      </c>
      <c r="BD193" s="322">
        <f t="shared" si="183"/>
        <v>0</v>
      </c>
      <c r="BE193" s="251"/>
      <c r="BF193" s="326"/>
      <c r="BG193" s="322">
        <f t="shared" si="183"/>
        <v>0</v>
      </c>
      <c r="BH193" s="251"/>
      <c r="BI193" s="326"/>
      <c r="BJ193" s="322">
        <f t="shared" si="183"/>
        <v>0</v>
      </c>
      <c r="BK193" s="251"/>
      <c r="BL193" s="326"/>
      <c r="BM193" s="322">
        <f t="shared" si="183"/>
        <v>0</v>
      </c>
      <c r="BN193" s="251"/>
      <c r="BO193" s="326"/>
      <c r="BP193" s="322">
        <f t="shared" si="183"/>
        <v>0</v>
      </c>
      <c r="BQ193" s="251"/>
      <c r="BR193" s="326"/>
      <c r="BS193" s="322">
        <f t="shared" si="183"/>
        <v>0</v>
      </c>
      <c r="BT193" s="251"/>
      <c r="BU193" s="326"/>
      <c r="BV193" s="322">
        <f t="shared" si="183"/>
        <v>0</v>
      </c>
      <c r="BW193" s="251"/>
      <c r="BX193" s="326"/>
      <c r="BY193" s="322">
        <f t="shared" si="183"/>
        <v>0</v>
      </c>
      <c r="BZ193" s="251"/>
      <c r="CA193" s="326"/>
      <c r="CB193" s="322">
        <f t="shared" si="184"/>
        <v>0</v>
      </c>
      <c r="CC193" s="251"/>
      <c r="CD193" s="326"/>
      <c r="CE193" s="322">
        <f t="shared" si="184"/>
        <v>0</v>
      </c>
      <c r="CF193" s="251"/>
      <c r="CG193" s="251"/>
      <c r="CH193" s="251"/>
    </row>
    <row r="194" spans="1:86" ht="15" customHeight="1">
      <c r="A194" s="265"/>
      <c r="B194" s="265"/>
      <c r="C194" s="265"/>
      <c r="D194" s="265"/>
      <c r="E194" s="265"/>
      <c r="F194" s="565"/>
      <c r="G194" s="374" t="str">
        <f>+Idiomas!$D$276</f>
        <v>Octavofinalista</v>
      </c>
      <c r="H194" s="320" t="str">
        <f>IF(SUM(Calcs!$B$2:$B$37)=288,League!P6,Idiomas!$D$276&amp;5)</f>
        <v>Octavofinalista5</v>
      </c>
      <c r="I194" s="219"/>
      <c r="J194" s="458" t="s">
        <v>43</v>
      </c>
      <c r="K194" s="322">
        <f t="shared" si="182"/>
        <v>0</v>
      </c>
      <c r="L194" s="251"/>
      <c r="M194" s="326" t="s">
        <v>44</v>
      </c>
      <c r="N194" s="322">
        <f t="shared" si="183"/>
        <v>0</v>
      </c>
      <c r="O194" s="251"/>
      <c r="P194" s="326" t="s">
        <v>45</v>
      </c>
      <c r="Q194" s="322">
        <f t="shared" si="183"/>
        <v>0</v>
      </c>
      <c r="R194" s="251"/>
      <c r="S194" s="326" t="s">
        <v>45</v>
      </c>
      <c r="T194" s="322">
        <f t="shared" si="183"/>
        <v>0</v>
      </c>
      <c r="U194" s="251"/>
      <c r="V194" s="326" t="s">
        <v>45</v>
      </c>
      <c r="W194" s="322">
        <f t="shared" si="183"/>
        <v>0</v>
      </c>
      <c r="X194" s="251"/>
      <c r="Y194" s="326" t="s">
        <v>45</v>
      </c>
      <c r="Z194" s="322">
        <f t="shared" si="183"/>
        <v>0</v>
      </c>
      <c r="AA194" s="251"/>
      <c r="AB194" s="326" t="s">
        <v>28</v>
      </c>
      <c r="AC194" s="322">
        <f t="shared" si="183"/>
        <v>0</v>
      </c>
      <c r="AD194" s="251"/>
      <c r="AE194" s="326" t="s">
        <v>56</v>
      </c>
      <c r="AF194" s="322">
        <f t="shared" si="183"/>
        <v>0</v>
      </c>
      <c r="AG194" s="251"/>
      <c r="AH194" s="326" t="s">
        <v>56</v>
      </c>
      <c r="AI194" s="322">
        <f t="shared" si="183"/>
        <v>0</v>
      </c>
      <c r="AJ194" s="251"/>
      <c r="AK194" s="326" t="s">
        <v>53</v>
      </c>
      <c r="AL194" s="322">
        <f t="shared" si="183"/>
        <v>0</v>
      </c>
      <c r="AM194" s="251"/>
      <c r="AN194" s="326" t="s">
        <v>53</v>
      </c>
      <c r="AO194" s="322">
        <f t="shared" si="183"/>
        <v>0</v>
      </c>
      <c r="AP194" s="251"/>
      <c r="AQ194" s="326" t="s">
        <v>46</v>
      </c>
      <c r="AR194" s="322">
        <f t="shared" si="183"/>
        <v>0</v>
      </c>
      <c r="AS194" s="251"/>
      <c r="AT194" s="326" t="s">
        <v>43</v>
      </c>
      <c r="AU194" s="322">
        <f t="shared" si="183"/>
        <v>0</v>
      </c>
      <c r="AV194" s="251"/>
      <c r="AW194" s="326" t="s">
        <v>26</v>
      </c>
      <c r="AX194" s="322">
        <f t="shared" si="183"/>
        <v>0</v>
      </c>
      <c r="AY194" s="251"/>
      <c r="AZ194" s="539" t="s">
        <v>32</v>
      </c>
      <c r="BA194" s="322">
        <f t="shared" si="183"/>
        <v>0</v>
      </c>
      <c r="BB194" s="251"/>
      <c r="BC194" s="326" t="s">
        <v>44</v>
      </c>
      <c r="BD194" s="322">
        <f t="shared" si="183"/>
        <v>0</v>
      </c>
      <c r="BE194" s="251"/>
      <c r="BF194" s="326"/>
      <c r="BG194" s="322">
        <f t="shared" si="183"/>
        <v>0</v>
      </c>
      <c r="BH194" s="251"/>
      <c r="BI194" s="326"/>
      <c r="BJ194" s="322">
        <f t="shared" si="183"/>
        <v>0</v>
      </c>
      <c r="BK194" s="251"/>
      <c r="BL194" s="326"/>
      <c r="BM194" s="322">
        <f t="shared" si="183"/>
        <v>0</v>
      </c>
      <c r="BN194" s="251"/>
      <c r="BO194" s="326"/>
      <c r="BP194" s="322">
        <f t="shared" si="183"/>
        <v>0</v>
      </c>
      <c r="BQ194" s="251"/>
      <c r="BR194" s="326"/>
      <c r="BS194" s="322">
        <f t="shared" si="183"/>
        <v>0</v>
      </c>
      <c r="BT194" s="251"/>
      <c r="BU194" s="326"/>
      <c r="BV194" s="322">
        <f t="shared" si="183"/>
        <v>0</v>
      </c>
      <c r="BW194" s="251"/>
      <c r="BX194" s="326"/>
      <c r="BY194" s="322">
        <f t="shared" si="183"/>
        <v>0</v>
      </c>
      <c r="BZ194" s="251"/>
      <c r="CA194" s="326"/>
      <c r="CB194" s="322">
        <f t="shared" si="184"/>
        <v>0</v>
      </c>
      <c r="CC194" s="251"/>
      <c r="CD194" s="326"/>
      <c r="CE194" s="322">
        <f t="shared" si="184"/>
        <v>0</v>
      </c>
      <c r="CF194" s="251"/>
      <c r="CG194" s="251"/>
      <c r="CH194" s="251"/>
    </row>
    <row r="195" spans="1:86" ht="15" customHeight="1">
      <c r="A195" s="265"/>
      <c r="B195" s="265"/>
      <c r="C195" s="265"/>
      <c r="D195" s="265"/>
      <c r="E195" s="265"/>
      <c r="F195" s="565"/>
      <c r="G195" s="374" t="str">
        <f>+Idiomas!$D$276</f>
        <v>Octavofinalista</v>
      </c>
      <c r="H195" s="320" t="str">
        <f>IF(SUM(Calcs!$B$2:$B$37)=288,League!P7,Idiomas!$D$276&amp;6)</f>
        <v>Octavofinalista6</v>
      </c>
      <c r="I195" s="219"/>
      <c r="J195" s="458" t="s">
        <v>23</v>
      </c>
      <c r="K195" s="322">
        <f t="shared" si="182"/>
        <v>0</v>
      </c>
      <c r="L195" s="251"/>
      <c r="M195" s="326" t="s">
        <v>45</v>
      </c>
      <c r="N195" s="322">
        <f t="shared" si="183"/>
        <v>0</v>
      </c>
      <c r="O195" s="251"/>
      <c r="P195" s="326" t="s">
        <v>44</v>
      </c>
      <c r="Q195" s="322">
        <f t="shared" si="183"/>
        <v>0</v>
      </c>
      <c r="R195" s="251"/>
      <c r="S195" s="326" t="s">
        <v>41</v>
      </c>
      <c r="T195" s="322">
        <f t="shared" si="183"/>
        <v>0</v>
      </c>
      <c r="U195" s="251"/>
      <c r="V195" s="326" t="s">
        <v>44</v>
      </c>
      <c r="W195" s="322">
        <f t="shared" si="183"/>
        <v>0</v>
      </c>
      <c r="X195" s="251"/>
      <c r="Y195" s="326" t="s">
        <v>54</v>
      </c>
      <c r="Z195" s="322">
        <f t="shared" si="183"/>
        <v>0</v>
      </c>
      <c r="AA195" s="251"/>
      <c r="AB195" s="326" t="s">
        <v>41</v>
      </c>
      <c r="AC195" s="322">
        <f t="shared" si="183"/>
        <v>0</v>
      </c>
      <c r="AD195" s="251"/>
      <c r="AE195" s="326" t="s">
        <v>53</v>
      </c>
      <c r="AF195" s="322">
        <f t="shared" si="183"/>
        <v>0</v>
      </c>
      <c r="AG195" s="251"/>
      <c r="AH195" s="326" t="s">
        <v>28</v>
      </c>
      <c r="AI195" s="322">
        <f t="shared" si="183"/>
        <v>0</v>
      </c>
      <c r="AJ195" s="251"/>
      <c r="AK195" s="326" t="s">
        <v>28</v>
      </c>
      <c r="AL195" s="322">
        <f t="shared" si="183"/>
        <v>0</v>
      </c>
      <c r="AM195" s="251"/>
      <c r="AN195" s="326" t="s">
        <v>23</v>
      </c>
      <c r="AO195" s="322">
        <f t="shared" si="183"/>
        <v>0</v>
      </c>
      <c r="AP195" s="251"/>
      <c r="AQ195" s="326" t="s">
        <v>39</v>
      </c>
      <c r="AR195" s="322">
        <f t="shared" si="183"/>
        <v>0</v>
      </c>
      <c r="AS195" s="251"/>
      <c r="AT195" s="326" t="s">
        <v>32</v>
      </c>
      <c r="AU195" s="322">
        <f t="shared" si="183"/>
        <v>0</v>
      </c>
      <c r="AV195" s="251"/>
      <c r="AW195" s="326" t="s">
        <v>50</v>
      </c>
      <c r="AX195" s="322">
        <f t="shared" si="183"/>
        <v>0</v>
      </c>
      <c r="AY195" s="251"/>
      <c r="AZ195" s="539" t="s">
        <v>39</v>
      </c>
      <c r="BA195" s="322">
        <f t="shared" si="183"/>
        <v>0</v>
      </c>
      <c r="BB195" s="251"/>
      <c r="BC195" s="326" t="s">
        <v>22</v>
      </c>
      <c r="BD195" s="322">
        <f t="shared" si="183"/>
        <v>0</v>
      </c>
      <c r="BE195" s="251"/>
      <c r="BF195" s="326"/>
      <c r="BG195" s="322">
        <f t="shared" si="183"/>
        <v>0</v>
      </c>
      <c r="BH195" s="251"/>
      <c r="BI195" s="326"/>
      <c r="BJ195" s="322">
        <f t="shared" si="183"/>
        <v>0</v>
      </c>
      <c r="BK195" s="251"/>
      <c r="BL195" s="326"/>
      <c r="BM195" s="322">
        <f t="shared" si="183"/>
        <v>0</v>
      </c>
      <c r="BN195" s="251"/>
      <c r="BO195" s="326"/>
      <c r="BP195" s="322">
        <f t="shared" si="183"/>
        <v>0</v>
      </c>
      <c r="BQ195" s="251"/>
      <c r="BR195" s="326"/>
      <c r="BS195" s="322">
        <f t="shared" si="183"/>
        <v>0</v>
      </c>
      <c r="BT195" s="251"/>
      <c r="BU195" s="326"/>
      <c r="BV195" s="322">
        <f t="shared" si="183"/>
        <v>0</v>
      </c>
      <c r="BW195" s="251"/>
      <c r="BX195" s="326"/>
      <c r="BY195" s="322">
        <f t="shared" si="183"/>
        <v>0</v>
      </c>
      <c r="BZ195" s="251"/>
      <c r="CA195" s="326"/>
      <c r="CB195" s="322">
        <f t="shared" si="184"/>
        <v>0</v>
      </c>
      <c r="CC195" s="251"/>
      <c r="CD195" s="326"/>
      <c r="CE195" s="322">
        <f t="shared" si="184"/>
        <v>0</v>
      </c>
      <c r="CF195" s="251"/>
      <c r="CG195" s="251"/>
      <c r="CH195" s="251"/>
    </row>
    <row r="196" spans="1:86" ht="15" customHeight="1">
      <c r="A196" s="265"/>
      <c r="B196" s="265"/>
      <c r="C196" s="265"/>
      <c r="D196" s="265"/>
      <c r="E196" s="265"/>
      <c r="F196" s="565"/>
      <c r="G196" s="374" t="str">
        <f>+Idiomas!$D$276</f>
        <v>Octavofinalista</v>
      </c>
      <c r="H196" s="320" t="str">
        <f>IF(SUM(Calcs!$B$2:$B$37)=288,League!P8,Idiomas!$D$276&amp;7)</f>
        <v>Octavofinalista7</v>
      </c>
      <c r="I196" s="219"/>
      <c r="J196" s="458" t="s">
        <v>45</v>
      </c>
      <c r="K196" s="322">
        <f t="shared" si="182"/>
        <v>0</v>
      </c>
      <c r="L196" s="251"/>
      <c r="M196" s="326" t="s">
        <v>28</v>
      </c>
      <c r="N196" s="322">
        <f t="shared" si="183"/>
        <v>0</v>
      </c>
      <c r="O196" s="251"/>
      <c r="P196" s="326" t="s">
        <v>32</v>
      </c>
      <c r="Q196" s="322">
        <f t="shared" si="183"/>
        <v>0</v>
      </c>
      <c r="R196" s="251"/>
      <c r="S196" s="326" t="s">
        <v>42</v>
      </c>
      <c r="T196" s="322">
        <f t="shared" si="183"/>
        <v>0</v>
      </c>
      <c r="U196" s="251"/>
      <c r="V196" s="326" t="s">
        <v>41</v>
      </c>
      <c r="W196" s="322">
        <f t="shared" si="183"/>
        <v>0</v>
      </c>
      <c r="X196" s="251"/>
      <c r="Y196" s="326" t="s">
        <v>41</v>
      </c>
      <c r="Z196" s="322">
        <f t="shared" si="183"/>
        <v>0</v>
      </c>
      <c r="AA196" s="251"/>
      <c r="AB196" s="326" t="s">
        <v>23</v>
      </c>
      <c r="AC196" s="322">
        <f t="shared" si="183"/>
        <v>0</v>
      </c>
      <c r="AD196" s="251"/>
      <c r="AE196" s="326" t="s">
        <v>43</v>
      </c>
      <c r="AF196" s="322">
        <f t="shared" si="183"/>
        <v>0</v>
      </c>
      <c r="AG196" s="251"/>
      <c r="AH196" s="326" t="s">
        <v>32</v>
      </c>
      <c r="AI196" s="322">
        <f t="shared" si="183"/>
        <v>0</v>
      </c>
      <c r="AJ196" s="251"/>
      <c r="AK196" s="326" t="s">
        <v>50</v>
      </c>
      <c r="AL196" s="322">
        <f t="shared" si="183"/>
        <v>0</v>
      </c>
      <c r="AM196" s="251"/>
      <c r="AN196" s="326" t="s">
        <v>39</v>
      </c>
      <c r="AO196" s="322">
        <f t="shared" si="183"/>
        <v>0</v>
      </c>
      <c r="AP196" s="251"/>
      <c r="AQ196" s="326" t="s">
        <v>54</v>
      </c>
      <c r="AR196" s="322">
        <f t="shared" si="183"/>
        <v>0</v>
      </c>
      <c r="AS196" s="251"/>
      <c r="AT196" s="326" t="s">
        <v>23</v>
      </c>
      <c r="AU196" s="322">
        <f t="shared" si="183"/>
        <v>0</v>
      </c>
      <c r="AV196" s="251"/>
      <c r="AW196" s="326" t="s">
        <v>28</v>
      </c>
      <c r="AX196" s="322">
        <f t="shared" si="183"/>
        <v>0</v>
      </c>
      <c r="AY196" s="251"/>
      <c r="AZ196" s="539" t="s">
        <v>43</v>
      </c>
      <c r="BA196" s="322">
        <f t="shared" si="183"/>
        <v>0</v>
      </c>
      <c r="BB196" s="251"/>
      <c r="BC196" s="326" t="s">
        <v>56</v>
      </c>
      <c r="BD196" s="322">
        <f t="shared" si="183"/>
        <v>0</v>
      </c>
      <c r="BE196" s="251"/>
      <c r="BF196" s="326"/>
      <c r="BG196" s="322">
        <f t="shared" si="183"/>
        <v>0</v>
      </c>
      <c r="BH196" s="251"/>
      <c r="BI196" s="326"/>
      <c r="BJ196" s="322">
        <f t="shared" si="183"/>
        <v>0</v>
      </c>
      <c r="BK196" s="251"/>
      <c r="BL196" s="326"/>
      <c r="BM196" s="322">
        <f t="shared" si="183"/>
        <v>0</v>
      </c>
      <c r="BN196" s="251"/>
      <c r="BO196" s="326"/>
      <c r="BP196" s="322">
        <f t="shared" si="183"/>
        <v>0</v>
      </c>
      <c r="BQ196" s="251"/>
      <c r="BR196" s="326"/>
      <c r="BS196" s="322">
        <f t="shared" si="183"/>
        <v>0</v>
      </c>
      <c r="BT196" s="251"/>
      <c r="BU196" s="326"/>
      <c r="BV196" s="322">
        <f t="shared" si="183"/>
        <v>0</v>
      </c>
      <c r="BW196" s="251"/>
      <c r="BX196" s="326"/>
      <c r="BY196" s="322">
        <f t="shared" si="183"/>
        <v>0</v>
      </c>
      <c r="BZ196" s="251"/>
      <c r="CA196" s="326"/>
      <c r="CB196" s="322">
        <f t="shared" si="184"/>
        <v>0</v>
      </c>
      <c r="CC196" s="251"/>
      <c r="CD196" s="326"/>
      <c r="CE196" s="322">
        <f t="shared" si="184"/>
        <v>0</v>
      </c>
      <c r="CF196" s="251"/>
      <c r="CG196" s="251"/>
      <c r="CH196" s="251"/>
    </row>
    <row r="197" spans="1:86" ht="15" customHeight="1">
      <c r="A197" s="265"/>
      <c r="B197" s="265"/>
      <c r="C197" s="265"/>
      <c r="D197" s="265"/>
      <c r="E197" s="265"/>
      <c r="F197" s="565"/>
      <c r="G197" s="374" t="str">
        <f>+Idiomas!$D$276</f>
        <v>Octavofinalista</v>
      </c>
      <c r="H197" s="320" t="str">
        <f>IF(SUM(Calcs!$B$2:$B$37)=288,League!P9,Idiomas!$D$276&amp;8)</f>
        <v>Octavofinalista8</v>
      </c>
      <c r="I197" s="219"/>
      <c r="J197" s="458" t="s">
        <v>32</v>
      </c>
      <c r="K197" s="322">
        <f t="shared" si="182"/>
        <v>0</v>
      </c>
      <c r="L197" s="251"/>
      <c r="M197" s="375" t="s">
        <v>27</v>
      </c>
      <c r="N197" s="322">
        <f t="shared" si="183"/>
        <v>0</v>
      </c>
      <c r="O197" s="251"/>
      <c r="P197" s="375" t="s">
        <v>41</v>
      </c>
      <c r="Q197" s="322">
        <f t="shared" si="183"/>
        <v>0</v>
      </c>
      <c r="R197" s="251"/>
      <c r="S197" s="375" t="s">
        <v>28</v>
      </c>
      <c r="T197" s="322">
        <f t="shared" si="183"/>
        <v>0</v>
      </c>
      <c r="U197" s="251"/>
      <c r="V197" s="375" t="s">
        <v>23</v>
      </c>
      <c r="W197" s="322">
        <f t="shared" si="183"/>
        <v>0</v>
      </c>
      <c r="X197" s="251"/>
      <c r="Y197" s="375" t="s">
        <v>32</v>
      </c>
      <c r="Z197" s="322">
        <f t="shared" si="183"/>
        <v>0</v>
      </c>
      <c r="AA197" s="251"/>
      <c r="AB197" s="375" t="s">
        <v>44</v>
      </c>
      <c r="AC197" s="322">
        <f t="shared" si="183"/>
        <v>0</v>
      </c>
      <c r="AD197" s="251"/>
      <c r="AE197" s="375" t="s">
        <v>39</v>
      </c>
      <c r="AF197" s="322">
        <f t="shared" si="183"/>
        <v>0</v>
      </c>
      <c r="AG197" s="251"/>
      <c r="AH197" s="375" t="s">
        <v>54</v>
      </c>
      <c r="AI197" s="322">
        <f t="shared" si="183"/>
        <v>0</v>
      </c>
      <c r="AJ197" s="251"/>
      <c r="AK197" s="375" t="s">
        <v>46</v>
      </c>
      <c r="AL197" s="322">
        <f t="shared" si="183"/>
        <v>0</v>
      </c>
      <c r="AM197" s="251"/>
      <c r="AN197" s="375" t="s">
        <v>32</v>
      </c>
      <c r="AO197" s="322">
        <f t="shared" si="183"/>
        <v>0</v>
      </c>
      <c r="AP197" s="251"/>
      <c r="AQ197" s="375" t="s">
        <v>45</v>
      </c>
      <c r="AR197" s="322">
        <f t="shared" si="183"/>
        <v>0</v>
      </c>
      <c r="AS197" s="251"/>
      <c r="AT197" s="375" t="s">
        <v>46</v>
      </c>
      <c r="AU197" s="322">
        <f t="shared" si="183"/>
        <v>0</v>
      </c>
      <c r="AV197" s="251"/>
      <c r="AW197" s="375" t="s">
        <v>42</v>
      </c>
      <c r="AX197" s="322">
        <f t="shared" si="183"/>
        <v>0</v>
      </c>
      <c r="AY197" s="251"/>
      <c r="AZ197" s="539" t="s">
        <v>28</v>
      </c>
      <c r="BA197" s="322">
        <f t="shared" si="183"/>
        <v>0</v>
      </c>
      <c r="BB197" s="251"/>
      <c r="BC197" s="375" t="s">
        <v>42</v>
      </c>
      <c r="BD197" s="322">
        <f t="shared" si="183"/>
        <v>0</v>
      </c>
      <c r="BE197" s="251"/>
      <c r="BF197" s="375"/>
      <c r="BG197" s="322">
        <f t="shared" si="183"/>
        <v>0</v>
      </c>
      <c r="BH197" s="251"/>
      <c r="BI197" s="375"/>
      <c r="BJ197" s="322">
        <f t="shared" si="183"/>
        <v>0</v>
      </c>
      <c r="BK197" s="251"/>
      <c r="BL197" s="375"/>
      <c r="BM197" s="322">
        <f t="shared" si="183"/>
        <v>0</v>
      </c>
      <c r="BN197" s="251"/>
      <c r="BO197" s="375"/>
      <c r="BP197" s="322">
        <f t="shared" si="183"/>
        <v>0</v>
      </c>
      <c r="BQ197" s="251"/>
      <c r="BR197" s="375"/>
      <c r="BS197" s="322">
        <f t="shared" si="183"/>
        <v>0</v>
      </c>
      <c r="BT197" s="251"/>
      <c r="BU197" s="375"/>
      <c r="BV197" s="322">
        <f t="shared" si="183"/>
        <v>0</v>
      </c>
      <c r="BW197" s="251"/>
      <c r="BX197" s="375"/>
      <c r="BY197" s="322">
        <f t="shared" si="183"/>
        <v>0</v>
      </c>
      <c r="BZ197" s="251"/>
      <c r="CA197" s="375"/>
      <c r="CB197" s="322">
        <f t="shared" si="184"/>
        <v>0</v>
      </c>
      <c r="CC197" s="251"/>
      <c r="CD197" s="375"/>
      <c r="CE197" s="322">
        <f t="shared" si="184"/>
        <v>0</v>
      </c>
      <c r="CF197" s="251"/>
      <c r="CG197" s="251"/>
      <c r="CH197" s="251"/>
    </row>
    <row r="198" spans="1:86" s="369" customFormat="1">
      <c r="A198" s="265"/>
      <c r="B198" s="265"/>
      <c r="C198" s="265"/>
      <c r="D198" s="265"/>
      <c r="E198" s="265"/>
      <c r="F198" s="265"/>
      <c r="G198" s="265"/>
      <c r="H198" s="265"/>
      <c r="I198" s="265"/>
      <c r="J198" s="460"/>
      <c r="K198" s="265" t="str">
        <f>CONCATENATE(SUM(K190:K197),"/",$D$12*8)</f>
        <v>0/32</v>
      </c>
      <c r="L198" s="265"/>
      <c r="M198" s="368"/>
      <c r="N198" s="265" t="str">
        <f t="shared" ref="N198" si="185">CONCATENATE(SUM(N190:N197),"/",$D$12*8)</f>
        <v>0/32</v>
      </c>
      <c r="O198" s="265"/>
      <c r="P198" s="368"/>
      <c r="Q198" s="265" t="str">
        <f t="shared" ref="Q198" si="186">CONCATENATE(SUM(Q190:Q197),"/",$D$12*8)</f>
        <v>0/32</v>
      </c>
      <c r="R198" s="265"/>
      <c r="S198" s="368"/>
      <c r="T198" s="265" t="str">
        <f t="shared" ref="T198" si="187">CONCATENATE(SUM(T190:T197),"/",$D$12*8)</f>
        <v>0/32</v>
      </c>
      <c r="U198" s="265"/>
      <c r="V198" s="368"/>
      <c r="W198" s="265" t="str">
        <f t="shared" ref="W198" si="188">CONCATENATE(SUM(W190:W197),"/",$D$12*8)</f>
        <v>0/32</v>
      </c>
      <c r="X198" s="265"/>
      <c r="Y198" s="368"/>
      <c r="Z198" s="265" t="str">
        <f t="shared" ref="Z198" si="189">CONCATENATE(SUM(Z190:Z197),"/",$D$12*8)</f>
        <v>0/32</v>
      </c>
      <c r="AA198" s="265"/>
      <c r="AB198" s="368"/>
      <c r="AC198" s="265" t="str">
        <f t="shared" ref="AC198" si="190">CONCATENATE(SUM(AC190:AC197),"/",$D$12*8)</f>
        <v>0/32</v>
      </c>
      <c r="AD198" s="265"/>
      <c r="AE198" s="368"/>
      <c r="AF198" s="265" t="str">
        <f t="shared" ref="AF198" si="191">CONCATENATE(SUM(AF190:AF197),"/",$D$12*8)</f>
        <v>0/32</v>
      </c>
      <c r="AG198" s="265"/>
      <c r="AH198" s="368"/>
      <c r="AI198" s="265" t="str">
        <f t="shared" ref="AI198" si="192">CONCATENATE(SUM(AI190:AI197),"/",$D$12*8)</f>
        <v>0/32</v>
      </c>
      <c r="AJ198" s="265"/>
      <c r="AK198" s="368"/>
      <c r="AL198" s="265" t="str">
        <f t="shared" ref="AL198" si="193">CONCATENATE(SUM(AL190:AL197),"/",$D$12*8)</f>
        <v>0/32</v>
      </c>
      <c r="AM198" s="265"/>
      <c r="AN198" s="368"/>
      <c r="AO198" s="265" t="str">
        <f t="shared" ref="AO198" si="194">CONCATENATE(SUM(AO190:AO197),"/",$D$12*8)</f>
        <v>0/32</v>
      </c>
      <c r="AP198" s="265"/>
      <c r="AQ198" s="368"/>
      <c r="AR198" s="265" t="str">
        <f t="shared" ref="AR198" si="195">CONCATENATE(SUM(AR190:AR197),"/",$D$12*8)</f>
        <v>0/32</v>
      </c>
      <c r="AS198" s="265"/>
      <c r="AT198" s="368"/>
      <c r="AU198" s="265" t="str">
        <f t="shared" ref="AU198" si="196">CONCATENATE(SUM(AU190:AU197),"/",$D$12*8)</f>
        <v>0/32</v>
      </c>
      <c r="AV198" s="265"/>
      <c r="AW198" s="368"/>
      <c r="AX198" s="265" t="str">
        <f t="shared" ref="AX198" si="197">CONCATENATE(SUM(AX190:AX197),"/",$D$12*8)</f>
        <v>0/32</v>
      </c>
      <c r="AY198" s="265"/>
      <c r="AZ198" s="541"/>
      <c r="BA198" s="265" t="str">
        <f t="shared" ref="BA198" si="198">CONCATENATE(SUM(BA190:BA197),"/",$D$12*8)</f>
        <v>0/32</v>
      </c>
      <c r="BB198" s="265"/>
      <c r="BC198" s="368"/>
      <c r="BD198" s="265" t="str">
        <f t="shared" ref="BD198" si="199">CONCATENATE(SUM(BD190:BD197),"/",$D$12*8)</f>
        <v>0/32</v>
      </c>
      <c r="BE198" s="265"/>
      <c r="BF198" s="368"/>
      <c r="BG198" s="265" t="str">
        <f t="shared" ref="BG198" si="200">CONCATENATE(SUM(BG190:BG197),"/",$D$12*8)</f>
        <v>0/32</v>
      </c>
      <c r="BH198" s="265"/>
      <c r="BI198" s="368"/>
      <c r="BJ198" s="265" t="str">
        <f t="shared" ref="BJ198" si="201">CONCATENATE(SUM(BJ190:BJ197),"/",$D$12*8)</f>
        <v>0/32</v>
      </c>
      <c r="BK198" s="265"/>
      <c r="BL198" s="368"/>
      <c r="BM198" s="265" t="str">
        <f t="shared" ref="BM198" si="202">CONCATENATE(SUM(BM190:BM197),"/",$D$12*8)</f>
        <v>0/32</v>
      </c>
      <c r="BN198" s="265"/>
      <c r="BO198" s="368"/>
      <c r="BP198" s="265" t="str">
        <f t="shared" ref="BP198" si="203">CONCATENATE(SUM(BP190:BP197),"/",$D$12*8)</f>
        <v>0/32</v>
      </c>
      <c r="BQ198" s="265"/>
      <c r="BR198" s="368"/>
      <c r="BS198" s="265" t="str">
        <f t="shared" ref="BS198" si="204">CONCATENATE(SUM(BS190:BS197),"/",$D$12*8)</f>
        <v>0/32</v>
      </c>
      <c r="BT198" s="265"/>
      <c r="BU198" s="368"/>
      <c r="BV198" s="265" t="str">
        <f t="shared" ref="BV198" si="205">CONCATENATE(SUM(BV190:BV197),"/",$D$12*8)</f>
        <v>0/32</v>
      </c>
      <c r="BW198" s="265"/>
      <c r="BX198" s="368"/>
      <c r="BY198" s="265" t="str">
        <f t="shared" ref="BY198" si="206">CONCATENATE(SUM(BY190:BY197),"/",$D$12*8)</f>
        <v>0/32</v>
      </c>
      <c r="BZ198" s="265"/>
      <c r="CA198" s="368"/>
      <c r="CB198" s="265" t="str">
        <f t="shared" ref="CB198" si="207">CONCATENATE(SUM(CB190:CB197),"/",$D$12*8)</f>
        <v>0/32</v>
      </c>
      <c r="CC198" s="265"/>
      <c r="CD198" s="368"/>
      <c r="CE198" s="265" t="str">
        <f t="shared" ref="CE198" si="208">CONCATENATE(SUM(CE190:CE197),"/",$D$12*8)</f>
        <v>0/32</v>
      </c>
      <c r="CF198" s="265"/>
      <c r="CG198" s="265"/>
      <c r="CH198" s="265"/>
    </row>
    <row r="199" spans="1:86" ht="15.75">
      <c r="A199" s="219"/>
      <c r="B199" s="219"/>
      <c r="C199" s="219"/>
      <c r="D199" s="219"/>
      <c r="E199" s="219"/>
      <c r="F199" s="265"/>
      <c r="G199" s="316" t="str">
        <f>UPPER(Idiomas!D220)</f>
        <v>CLASIFICADOS PARA PLAYOFFS</v>
      </c>
      <c r="H199" s="370"/>
      <c r="I199" s="219"/>
      <c r="J199" s="461"/>
      <c r="K199" s="219"/>
      <c r="L199" s="251"/>
      <c r="M199" s="371"/>
      <c r="N199" s="219"/>
      <c r="O199" s="251"/>
      <c r="P199" s="371"/>
      <c r="Q199" s="219"/>
      <c r="R199" s="251"/>
      <c r="S199" s="371"/>
      <c r="T199" s="219"/>
      <c r="U199" s="251"/>
      <c r="V199" s="371"/>
      <c r="W199" s="219"/>
      <c r="X199" s="251"/>
      <c r="Y199" s="371"/>
      <c r="Z199" s="219"/>
      <c r="AA199" s="251"/>
      <c r="AB199" s="371"/>
      <c r="AC199" s="219"/>
      <c r="AD199" s="251"/>
      <c r="AE199" s="371"/>
      <c r="AF199" s="219"/>
      <c r="AG199" s="251"/>
      <c r="AH199" s="371"/>
      <c r="AI199" s="219"/>
      <c r="AJ199" s="251"/>
      <c r="AK199" s="371"/>
      <c r="AL199" s="219"/>
      <c r="AM199" s="251"/>
      <c r="AN199" s="371"/>
      <c r="AO199" s="219"/>
      <c r="AP199" s="251"/>
      <c r="AQ199" s="371"/>
      <c r="AR199" s="219"/>
      <c r="AS199" s="251"/>
      <c r="AT199" s="371"/>
      <c r="AU199" s="219"/>
      <c r="AV199" s="251"/>
      <c r="AW199" s="371"/>
      <c r="AX199" s="219"/>
      <c r="AY199" s="251"/>
      <c r="AZ199" s="542" t="s">
        <v>193</v>
      </c>
      <c r="BA199" s="219"/>
      <c r="BB199" s="251"/>
      <c r="BC199" s="371"/>
      <c r="BD199" s="219"/>
      <c r="BE199" s="251"/>
      <c r="BF199" s="371"/>
      <c r="BG199" s="219"/>
      <c r="BH199" s="251"/>
      <c r="BI199" s="371"/>
      <c r="BJ199" s="219"/>
      <c r="BK199" s="251"/>
      <c r="BL199" s="371"/>
      <c r="BM199" s="219"/>
      <c r="BN199" s="251"/>
      <c r="BO199" s="371"/>
      <c r="BP199" s="219"/>
      <c r="BQ199" s="251"/>
      <c r="BR199" s="371"/>
      <c r="BS199" s="219"/>
      <c r="BT199" s="251"/>
      <c r="BU199" s="371"/>
      <c r="BV199" s="219"/>
      <c r="BW199" s="251"/>
      <c r="BX199" s="371"/>
      <c r="BY199" s="219"/>
      <c r="BZ199" s="251"/>
      <c r="CA199" s="371"/>
      <c r="CB199" s="219"/>
      <c r="CC199" s="251"/>
      <c r="CD199" s="371"/>
      <c r="CE199" s="219"/>
      <c r="CF199" s="251"/>
      <c r="CG199" s="251"/>
      <c r="CH199" s="251"/>
    </row>
    <row r="200" spans="1:86" ht="15" customHeight="1">
      <c r="A200" s="265"/>
      <c r="B200" s="265"/>
      <c r="C200" s="265"/>
      <c r="D200" s="265"/>
      <c r="E200" s="265"/>
      <c r="F200" s="565" t="s">
        <v>197</v>
      </c>
      <c r="G200" s="374" t="s">
        <v>198</v>
      </c>
      <c r="H200" s="320" t="str">
        <f>IF(SUM(Calcs!$B$2:$B$37)=288,League!P10,"Playoff"&amp;1)</f>
        <v>Playoff1</v>
      </c>
      <c r="I200" s="219"/>
      <c r="J200" s="458" t="s">
        <v>28</v>
      </c>
      <c r="K200" s="322">
        <f t="shared" ref="K200:K215" si="209">+COUNTIF($H$200:$H$215,J200)*$D$13</f>
        <v>0</v>
      </c>
      <c r="L200" s="251"/>
      <c r="M200" s="326" t="s">
        <v>42</v>
      </c>
      <c r="N200" s="322">
        <f t="shared" ref="N200:BY211" si="210">+COUNTIF($H$200:$H$215,M200)*$D$13</f>
        <v>0</v>
      </c>
      <c r="O200" s="251"/>
      <c r="P200" s="326" t="s">
        <v>43</v>
      </c>
      <c r="Q200" s="322">
        <f t="shared" si="210"/>
        <v>0</v>
      </c>
      <c r="R200" s="251"/>
      <c r="S200" s="326" t="s">
        <v>44</v>
      </c>
      <c r="T200" s="322">
        <f t="shared" si="210"/>
        <v>0</v>
      </c>
      <c r="U200" s="251"/>
      <c r="V200" s="326" t="s">
        <v>27</v>
      </c>
      <c r="W200" s="322">
        <f t="shared" si="210"/>
        <v>0</v>
      </c>
      <c r="X200" s="251"/>
      <c r="Y200" s="326" t="s">
        <v>44</v>
      </c>
      <c r="Z200" s="322">
        <f t="shared" si="210"/>
        <v>0</v>
      </c>
      <c r="AA200" s="251"/>
      <c r="AB200" s="326" t="s">
        <v>33</v>
      </c>
      <c r="AC200" s="322">
        <f t="shared" si="210"/>
        <v>0</v>
      </c>
      <c r="AD200" s="251"/>
      <c r="AE200" s="326" t="s">
        <v>41</v>
      </c>
      <c r="AF200" s="322">
        <f t="shared" si="210"/>
        <v>0</v>
      </c>
      <c r="AG200" s="251"/>
      <c r="AH200" s="326" t="s">
        <v>55</v>
      </c>
      <c r="AI200" s="322">
        <f t="shared" si="210"/>
        <v>0</v>
      </c>
      <c r="AJ200" s="251"/>
      <c r="AK200" s="326" t="s">
        <v>32</v>
      </c>
      <c r="AL200" s="322">
        <f t="shared" si="210"/>
        <v>0</v>
      </c>
      <c r="AM200" s="251"/>
      <c r="AN200" s="326" t="s">
        <v>56</v>
      </c>
      <c r="AO200" s="322">
        <f t="shared" si="210"/>
        <v>0</v>
      </c>
      <c r="AP200" s="251"/>
      <c r="AQ200" s="326" t="s">
        <v>32</v>
      </c>
      <c r="AR200" s="322">
        <f t="shared" si="210"/>
        <v>0</v>
      </c>
      <c r="AS200" s="251"/>
      <c r="AT200" s="326" t="s">
        <v>39</v>
      </c>
      <c r="AU200" s="322">
        <f t="shared" si="210"/>
        <v>0</v>
      </c>
      <c r="AV200" s="251"/>
      <c r="AW200" s="326" t="s">
        <v>39</v>
      </c>
      <c r="AX200" s="322">
        <f t="shared" si="210"/>
        <v>0</v>
      </c>
      <c r="AY200" s="251"/>
      <c r="AZ200" s="539" t="s">
        <v>56</v>
      </c>
      <c r="BA200" s="322">
        <f t="shared" si="210"/>
        <v>0</v>
      </c>
      <c r="BB200" s="251"/>
      <c r="BC200" s="326" t="s">
        <v>23</v>
      </c>
      <c r="BD200" s="322">
        <f t="shared" si="210"/>
        <v>0</v>
      </c>
      <c r="BE200" s="251"/>
      <c r="BF200" s="326"/>
      <c r="BG200" s="322">
        <f t="shared" si="210"/>
        <v>0</v>
      </c>
      <c r="BH200" s="251"/>
      <c r="BI200" s="326"/>
      <c r="BJ200" s="322">
        <f t="shared" si="210"/>
        <v>0</v>
      </c>
      <c r="BK200" s="251"/>
      <c r="BL200" s="326"/>
      <c r="BM200" s="322">
        <f t="shared" si="210"/>
        <v>0</v>
      </c>
      <c r="BN200" s="251"/>
      <c r="BO200" s="326"/>
      <c r="BP200" s="322">
        <f t="shared" si="210"/>
        <v>0</v>
      </c>
      <c r="BQ200" s="251"/>
      <c r="BR200" s="326"/>
      <c r="BS200" s="322">
        <f t="shared" si="210"/>
        <v>0</v>
      </c>
      <c r="BT200" s="251"/>
      <c r="BU200" s="326"/>
      <c r="BV200" s="322">
        <f t="shared" si="210"/>
        <v>0</v>
      </c>
      <c r="BW200" s="251"/>
      <c r="BX200" s="326"/>
      <c r="BY200" s="322">
        <f t="shared" si="210"/>
        <v>0</v>
      </c>
      <c r="BZ200" s="251"/>
      <c r="CA200" s="326"/>
      <c r="CB200" s="322">
        <f t="shared" ref="CB200:CE210" si="211">+COUNTIF($H$200:$H$215,CA200)*$D$13</f>
        <v>0</v>
      </c>
      <c r="CC200" s="251"/>
      <c r="CD200" s="326"/>
      <c r="CE200" s="322">
        <f t="shared" si="211"/>
        <v>0</v>
      </c>
      <c r="CF200" s="251"/>
      <c r="CG200" s="251"/>
      <c r="CH200" s="251"/>
    </row>
    <row r="201" spans="1:86" ht="15" customHeight="1">
      <c r="A201" s="265"/>
      <c r="B201" s="265"/>
      <c r="C201" s="265"/>
      <c r="D201" s="265"/>
      <c r="E201" s="265"/>
      <c r="F201" s="565"/>
      <c r="G201" s="374" t="s">
        <v>198</v>
      </c>
      <c r="H201" s="320" t="str">
        <f>IF(SUM(Calcs!$B$2:$B$37)=288,League!P11,"Playoff"&amp;2)</f>
        <v>Playoff2</v>
      </c>
      <c r="I201" s="219"/>
      <c r="J201" s="458" t="s">
        <v>26</v>
      </c>
      <c r="K201" s="322">
        <f t="shared" si="209"/>
        <v>0</v>
      </c>
      <c r="L201" s="251"/>
      <c r="M201" s="326" t="s">
        <v>32</v>
      </c>
      <c r="N201" s="322">
        <f t="shared" si="210"/>
        <v>0</v>
      </c>
      <c r="O201" s="251"/>
      <c r="P201" s="326" t="s">
        <v>42</v>
      </c>
      <c r="Q201" s="322">
        <f t="shared" si="210"/>
        <v>0</v>
      </c>
      <c r="R201" s="251"/>
      <c r="S201" s="326" t="s">
        <v>33</v>
      </c>
      <c r="T201" s="322">
        <f t="shared" si="210"/>
        <v>0</v>
      </c>
      <c r="U201" s="251"/>
      <c r="V201" s="326" t="s">
        <v>26</v>
      </c>
      <c r="W201" s="322">
        <f t="shared" si="210"/>
        <v>0</v>
      </c>
      <c r="X201" s="251"/>
      <c r="Y201" s="326" t="s">
        <v>28</v>
      </c>
      <c r="Z201" s="322">
        <f t="shared" si="210"/>
        <v>0</v>
      </c>
      <c r="AA201" s="251"/>
      <c r="AB201" s="326" t="s">
        <v>42</v>
      </c>
      <c r="AC201" s="322">
        <f t="shared" si="210"/>
        <v>0</v>
      </c>
      <c r="AD201" s="251"/>
      <c r="AE201" s="326" t="s">
        <v>45</v>
      </c>
      <c r="AF201" s="322">
        <f t="shared" si="210"/>
        <v>0</v>
      </c>
      <c r="AG201" s="251"/>
      <c r="AH201" s="326" t="s">
        <v>39</v>
      </c>
      <c r="AI201" s="322">
        <f t="shared" si="210"/>
        <v>0</v>
      </c>
      <c r="AJ201" s="251"/>
      <c r="AK201" s="326" t="s">
        <v>26</v>
      </c>
      <c r="AL201" s="322">
        <f t="shared" si="210"/>
        <v>0</v>
      </c>
      <c r="AM201" s="251"/>
      <c r="AN201" s="326" t="s">
        <v>48</v>
      </c>
      <c r="AO201" s="322">
        <f t="shared" si="210"/>
        <v>0</v>
      </c>
      <c r="AP201" s="251"/>
      <c r="AQ201" s="326" t="s">
        <v>27</v>
      </c>
      <c r="AR201" s="322">
        <f t="shared" si="210"/>
        <v>0</v>
      </c>
      <c r="AS201" s="251"/>
      <c r="AT201" s="326" t="s">
        <v>45</v>
      </c>
      <c r="AU201" s="322">
        <f t="shared" si="210"/>
        <v>0</v>
      </c>
      <c r="AV201" s="251"/>
      <c r="AW201" s="326" t="s">
        <v>32</v>
      </c>
      <c r="AX201" s="322">
        <f t="shared" si="210"/>
        <v>0</v>
      </c>
      <c r="AY201" s="251"/>
      <c r="AZ201" s="539" t="s">
        <v>41</v>
      </c>
      <c r="BA201" s="322">
        <f t="shared" si="210"/>
        <v>0</v>
      </c>
      <c r="BB201" s="251"/>
      <c r="BC201" s="326" t="s">
        <v>54</v>
      </c>
      <c r="BD201" s="322">
        <f t="shared" si="210"/>
        <v>0</v>
      </c>
      <c r="BE201" s="251"/>
      <c r="BF201" s="326"/>
      <c r="BG201" s="322">
        <f t="shared" si="210"/>
        <v>0</v>
      </c>
      <c r="BH201" s="251"/>
      <c r="BI201" s="326"/>
      <c r="BJ201" s="322">
        <f t="shared" si="210"/>
        <v>0</v>
      </c>
      <c r="BK201" s="251"/>
      <c r="BL201" s="326"/>
      <c r="BM201" s="322">
        <f t="shared" si="210"/>
        <v>0</v>
      </c>
      <c r="BN201" s="251"/>
      <c r="BO201" s="326"/>
      <c r="BP201" s="322">
        <f t="shared" si="210"/>
        <v>0</v>
      </c>
      <c r="BQ201" s="251"/>
      <c r="BR201" s="326"/>
      <c r="BS201" s="322">
        <f t="shared" si="210"/>
        <v>0</v>
      </c>
      <c r="BT201" s="251"/>
      <c r="BU201" s="326"/>
      <c r="BV201" s="322">
        <f t="shared" si="210"/>
        <v>0</v>
      </c>
      <c r="BW201" s="251"/>
      <c r="BX201" s="326"/>
      <c r="BY201" s="322">
        <f t="shared" si="210"/>
        <v>0</v>
      </c>
      <c r="BZ201" s="251"/>
      <c r="CA201" s="326"/>
      <c r="CB201" s="322">
        <f t="shared" si="211"/>
        <v>0</v>
      </c>
      <c r="CC201" s="251"/>
      <c r="CD201" s="326"/>
      <c r="CE201" s="322">
        <f t="shared" si="211"/>
        <v>0</v>
      </c>
      <c r="CF201" s="251"/>
      <c r="CG201" s="251"/>
      <c r="CH201" s="251"/>
    </row>
    <row r="202" spans="1:86" ht="15" customHeight="1">
      <c r="A202" s="265"/>
      <c r="B202" s="265"/>
      <c r="C202" s="265"/>
      <c r="D202" s="265"/>
      <c r="E202" s="265"/>
      <c r="F202" s="565"/>
      <c r="G202" s="374" t="s">
        <v>198</v>
      </c>
      <c r="H202" s="320" t="str">
        <f>IF(SUM(Calcs!$B$2:$B$37)=288,League!P12,"Playoff"&amp;3)</f>
        <v>Playoff3</v>
      </c>
      <c r="I202" s="219"/>
      <c r="J202" s="458" t="s">
        <v>54</v>
      </c>
      <c r="K202" s="322">
        <f t="shared" si="209"/>
        <v>0</v>
      </c>
      <c r="L202" s="251"/>
      <c r="M202" s="326" t="s">
        <v>39</v>
      </c>
      <c r="N202" s="322">
        <f t="shared" si="210"/>
        <v>0</v>
      </c>
      <c r="O202" s="251"/>
      <c r="P202" s="326" t="s">
        <v>28</v>
      </c>
      <c r="Q202" s="322">
        <f t="shared" si="210"/>
        <v>0</v>
      </c>
      <c r="R202" s="251"/>
      <c r="S202" s="326" t="s">
        <v>39</v>
      </c>
      <c r="T202" s="322">
        <f t="shared" si="210"/>
        <v>0</v>
      </c>
      <c r="U202" s="251"/>
      <c r="V202" s="326" t="s">
        <v>28</v>
      </c>
      <c r="W202" s="322">
        <f t="shared" si="210"/>
        <v>0</v>
      </c>
      <c r="X202" s="251"/>
      <c r="Y202" s="326" t="s">
        <v>29</v>
      </c>
      <c r="Z202" s="322">
        <f t="shared" si="210"/>
        <v>0</v>
      </c>
      <c r="AA202" s="251"/>
      <c r="AB202" s="326" t="s">
        <v>22</v>
      </c>
      <c r="AC202" s="322">
        <f t="shared" si="210"/>
        <v>0</v>
      </c>
      <c r="AD202" s="251"/>
      <c r="AE202" s="326" t="s">
        <v>24</v>
      </c>
      <c r="AF202" s="322">
        <f t="shared" si="210"/>
        <v>0</v>
      </c>
      <c r="AG202" s="251"/>
      <c r="AH202" s="326" t="s">
        <v>33</v>
      </c>
      <c r="AI202" s="322">
        <f t="shared" si="210"/>
        <v>0</v>
      </c>
      <c r="AJ202" s="251"/>
      <c r="AK202" s="326" t="s">
        <v>45</v>
      </c>
      <c r="AL202" s="322">
        <f t="shared" si="210"/>
        <v>0</v>
      </c>
      <c r="AM202" s="251"/>
      <c r="AN202" s="326" t="s">
        <v>33</v>
      </c>
      <c r="AO202" s="322">
        <f t="shared" si="210"/>
        <v>0</v>
      </c>
      <c r="AP202" s="251"/>
      <c r="AQ202" s="326" t="s">
        <v>23</v>
      </c>
      <c r="AR202" s="322">
        <f t="shared" si="210"/>
        <v>0</v>
      </c>
      <c r="AS202" s="251"/>
      <c r="AT202" s="326" t="s">
        <v>44</v>
      </c>
      <c r="AU202" s="322">
        <f t="shared" si="210"/>
        <v>0</v>
      </c>
      <c r="AV202" s="251"/>
      <c r="AW202" s="326" t="s">
        <v>46</v>
      </c>
      <c r="AX202" s="322">
        <f t="shared" si="210"/>
        <v>0</v>
      </c>
      <c r="AY202" s="251"/>
      <c r="AZ202" s="539" t="s">
        <v>23</v>
      </c>
      <c r="BA202" s="322">
        <f t="shared" si="210"/>
        <v>0</v>
      </c>
      <c r="BB202" s="251"/>
      <c r="BC202" s="326" t="s">
        <v>45</v>
      </c>
      <c r="BD202" s="322">
        <f t="shared" si="210"/>
        <v>0</v>
      </c>
      <c r="BE202" s="251"/>
      <c r="BF202" s="326"/>
      <c r="BG202" s="322">
        <f t="shared" si="210"/>
        <v>0</v>
      </c>
      <c r="BH202" s="251"/>
      <c r="BI202" s="326"/>
      <c r="BJ202" s="322">
        <f t="shared" si="210"/>
        <v>0</v>
      </c>
      <c r="BK202" s="251"/>
      <c r="BL202" s="326"/>
      <c r="BM202" s="322">
        <f t="shared" si="210"/>
        <v>0</v>
      </c>
      <c r="BN202" s="251"/>
      <c r="BO202" s="326"/>
      <c r="BP202" s="322">
        <f t="shared" si="210"/>
        <v>0</v>
      </c>
      <c r="BQ202" s="251"/>
      <c r="BR202" s="326"/>
      <c r="BS202" s="322">
        <f t="shared" si="210"/>
        <v>0</v>
      </c>
      <c r="BT202" s="251"/>
      <c r="BU202" s="326"/>
      <c r="BV202" s="322">
        <f t="shared" si="210"/>
        <v>0</v>
      </c>
      <c r="BW202" s="251"/>
      <c r="BX202" s="326"/>
      <c r="BY202" s="322">
        <f t="shared" si="210"/>
        <v>0</v>
      </c>
      <c r="BZ202" s="251"/>
      <c r="CA202" s="326"/>
      <c r="CB202" s="322">
        <f t="shared" si="211"/>
        <v>0</v>
      </c>
      <c r="CC202" s="251"/>
      <c r="CD202" s="326"/>
      <c r="CE202" s="322">
        <f t="shared" si="211"/>
        <v>0</v>
      </c>
      <c r="CF202" s="251"/>
      <c r="CG202" s="251"/>
      <c r="CH202" s="251"/>
    </row>
    <row r="203" spans="1:86" ht="15" customHeight="1">
      <c r="A203" s="265"/>
      <c r="B203" s="265"/>
      <c r="C203" s="265"/>
      <c r="D203" s="265"/>
      <c r="E203" s="265"/>
      <c r="F203" s="565"/>
      <c r="G203" s="374" t="s">
        <v>198</v>
      </c>
      <c r="H203" s="320" t="str">
        <f>IF(SUM(Calcs!$B$2:$B$37)=288,League!P13,"Playoff"&amp;4)</f>
        <v>Playoff4</v>
      </c>
      <c r="I203" s="219"/>
      <c r="J203" s="458" t="s">
        <v>55</v>
      </c>
      <c r="K203" s="322">
        <f t="shared" si="209"/>
        <v>0</v>
      </c>
      <c r="L203" s="251"/>
      <c r="M203" s="326" t="s">
        <v>23</v>
      </c>
      <c r="N203" s="322">
        <f t="shared" si="210"/>
        <v>0</v>
      </c>
      <c r="O203" s="251"/>
      <c r="P203" s="326" t="s">
        <v>39</v>
      </c>
      <c r="Q203" s="322">
        <f t="shared" si="210"/>
        <v>0</v>
      </c>
      <c r="R203" s="251"/>
      <c r="S203" s="326" t="s">
        <v>26</v>
      </c>
      <c r="T203" s="322">
        <f t="shared" si="210"/>
        <v>0</v>
      </c>
      <c r="U203" s="251"/>
      <c r="V203" s="326" t="s">
        <v>29</v>
      </c>
      <c r="W203" s="322">
        <f t="shared" si="210"/>
        <v>0</v>
      </c>
      <c r="X203" s="251"/>
      <c r="Y203" s="326" t="s">
        <v>42</v>
      </c>
      <c r="Z203" s="322">
        <f t="shared" si="210"/>
        <v>0</v>
      </c>
      <c r="AA203" s="251"/>
      <c r="AB203" s="326" t="s">
        <v>32</v>
      </c>
      <c r="AC203" s="322">
        <f t="shared" si="210"/>
        <v>0</v>
      </c>
      <c r="AD203" s="251"/>
      <c r="AE203" s="326" t="s">
        <v>50</v>
      </c>
      <c r="AF203" s="322">
        <f t="shared" si="210"/>
        <v>0</v>
      </c>
      <c r="AG203" s="251"/>
      <c r="AH203" s="326" t="s">
        <v>43</v>
      </c>
      <c r="AI203" s="322">
        <f t="shared" si="210"/>
        <v>0</v>
      </c>
      <c r="AJ203" s="251"/>
      <c r="AK203" s="326" t="s">
        <v>23</v>
      </c>
      <c r="AL203" s="322">
        <f t="shared" si="210"/>
        <v>0</v>
      </c>
      <c r="AM203" s="251"/>
      <c r="AN203" s="326" t="s">
        <v>30</v>
      </c>
      <c r="AO203" s="322">
        <f t="shared" si="210"/>
        <v>0</v>
      </c>
      <c r="AP203" s="251"/>
      <c r="AQ203" s="326" t="s">
        <v>26</v>
      </c>
      <c r="AR203" s="322">
        <f t="shared" si="210"/>
        <v>0</v>
      </c>
      <c r="AS203" s="251"/>
      <c r="AT203" s="326" t="s">
        <v>26</v>
      </c>
      <c r="AU203" s="322">
        <f t="shared" si="210"/>
        <v>0</v>
      </c>
      <c r="AV203" s="251"/>
      <c r="AW203" s="326" t="s">
        <v>44</v>
      </c>
      <c r="AX203" s="322">
        <f t="shared" si="210"/>
        <v>0</v>
      </c>
      <c r="AY203" s="251"/>
      <c r="AZ203" s="539" t="s">
        <v>42</v>
      </c>
      <c r="BA203" s="322">
        <f t="shared" si="210"/>
        <v>0</v>
      </c>
      <c r="BB203" s="251"/>
      <c r="BC203" s="326" t="s">
        <v>39</v>
      </c>
      <c r="BD203" s="322">
        <f t="shared" si="210"/>
        <v>0</v>
      </c>
      <c r="BE203" s="251"/>
      <c r="BF203" s="326"/>
      <c r="BG203" s="322">
        <f t="shared" si="210"/>
        <v>0</v>
      </c>
      <c r="BH203" s="251"/>
      <c r="BI203" s="326"/>
      <c r="BJ203" s="322">
        <f t="shared" si="210"/>
        <v>0</v>
      </c>
      <c r="BK203" s="251"/>
      <c r="BL203" s="326"/>
      <c r="BM203" s="322">
        <f t="shared" si="210"/>
        <v>0</v>
      </c>
      <c r="BN203" s="251"/>
      <c r="BO203" s="326"/>
      <c r="BP203" s="322">
        <f t="shared" si="210"/>
        <v>0</v>
      </c>
      <c r="BQ203" s="251"/>
      <c r="BR203" s="326"/>
      <c r="BS203" s="322">
        <f t="shared" si="210"/>
        <v>0</v>
      </c>
      <c r="BT203" s="251"/>
      <c r="BU203" s="326"/>
      <c r="BV203" s="322">
        <f t="shared" si="210"/>
        <v>0</v>
      </c>
      <c r="BW203" s="251"/>
      <c r="BX203" s="326"/>
      <c r="BY203" s="322">
        <f t="shared" si="210"/>
        <v>0</v>
      </c>
      <c r="BZ203" s="251"/>
      <c r="CA203" s="326"/>
      <c r="CB203" s="322">
        <f t="shared" si="211"/>
        <v>0</v>
      </c>
      <c r="CC203" s="251"/>
      <c r="CD203" s="326"/>
      <c r="CE203" s="322">
        <f t="shared" si="211"/>
        <v>0</v>
      </c>
      <c r="CF203" s="251"/>
      <c r="CG203" s="251"/>
      <c r="CH203" s="251"/>
    </row>
    <row r="204" spans="1:86" ht="15" customHeight="1">
      <c r="A204" s="265"/>
      <c r="B204" s="265"/>
      <c r="C204" s="265"/>
      <c r="D204" s="265"/>
      <c r="E204" s="265"/>
      <c r="F204" s="565"/>
      <c r="G204" s="374" t="s">
        <v>198</v>
      </c>
      <c r="H204" s="320" t="str">
        <f>IF(SUM(Calcs!$B$2:$B$37)=288,League!P14,"Playoff"&amp;5)</f>
        <v>Playoff5</v>
      </c>
      <c r="I204" s="219"/>
      <c r="J204" s="458" t="s">
        <v>39</v>
      </c>
      <c r="K204" s="322">
        <f t="shared" si="209"/>
        <v>0</v>
      </c>
      <c r="L204" s="251"/>
      <c r="M204" s="326" t="s">
        <v>26</v>
      </c>
      <c r="N204" s="322">
        <f t="shared" si="210"/>
        <v>0</v>
      </c>
      <c r="O204" s="251"/>
      <c r="P204" s="326" t="s">
        <v>54</v>
      </c>
      <c r="Q204" s="322">
        <f t="shared" si="210"/>
        <v>0</v>
      </c>
      <c r="R204" s="251"/>
      <c r="S204" s="326" t="s">
        <v>54</v>
      </c>
      <c r="T204" s="322">
        <f t="shared" si="210"/>
        <v>0</v>
      </c>
      <c r="U204" s="251"/>
      <c r="V204" s="326" t="s">
        <v>39</v>
      </c>
      <c r="W204" s="322">
        <f t="shared" si="210"/>
        <v>0</v>
      </c>
      <c r="X204" s="251"/>
      <c r="Y204" s="326" t="s">
        <v>39</v>
      </c>
      <c r="Z204" s="322">
        <f t="shared" si="210"/>
        <v>0</v>
      </c>
      <c r="AA204" s="251"/>
      <c r="AB204" s="326" t="s">
        <v>39</v>
      </c>
      <c r="AC204" s="322">
        <f t="shared" si="210"/>
        <v>0</v>
      </c>
      <c r="AD204" s="251"/>
      <c r="AE204" s="326" t="s">
        <v>44</v>
      </c>
      <c r="AF204" s="322">
        <f t="shared" si="210"/>
        <v>0</v>
      </c>
      <c r="AG204" s="251"/>
      <c r="AH204" s="326" t="s">
        <v>46</v>
      </c>
      <c r="AI204" s="322">
        <f t="shared" si="210"/>
        <v>0</v>
      </c>
      <c r="AJ204" s="251"/>
      <c r="AK204" s="326" t="s">
        <v>54</v>
      </c>
      <c r="AL204" s="322">
        <f t="shared" si="210"/>
        <v>0</v>
      </c>
      <c r="AM204" s="251"/>
      <c r="AN204" s="326" t="s">
        <v>42</v>
      </c>
      <c r="AO204" s="322">
        <f t="shared" si="210"/>
        <v>0</v>
      </c>
      <c r="AP204" s="251"/>
      <c r="AQ204" s="326" t="s">
        <v>53</v>
      </c>
      <c r="AR204" s="322">
        <f t="shared" si="210"/>
        <v>0</v>
      </c>
      <c r="AS204" s="251"/>
      <c r="AT204" s="326" t="s">
        <v>42</v>
      </c>
      <c r="AU204" s="322">
        <f t="shared" si="210"/>
        <v>0</v>
      </c>
      <c r="AV204" s="251"/>
      <c r="AW204" s="326" t="s">
        <v>58</v>
      </c>
      <c r="AX204" s="322">
        <f t="shared" si="210"/>
        <v>0</v>
      </c>
      <c r="AY204" s="251"/>
      <c r="AZ204" s="539" t="s">
        <v>26</v>
      </c>
      <c r="BA204" s="322">
        <f t="shared" si="210"/>
        <v>0</v>
      </c>
      <c r="BB204" s="251"/>
      <c r="BC204" s="326" t="s">
        <v>33</v>
      </c>
      <c r="BD204" s="322">
        <f t="shared" si="210"/>
        <v>0</v>
      </c>
      <c r="BE204" s="251"/>
      <c r="BF204" s="326"/>
      <c r="BG204" s="322">
        <f t="shared" si="210"/>
        <v>0</v>
      </c>
      <c r="BH204" s="251"/>
      <c r="BI204" s="326"/>
      <c r="BJ204" s="322">
        <f t="shared" si="210"/>
        <v>0</v>
      </c>
      <c r="BK204" s="251"/>
      <c r="BL204" s="326"/>
      <c r="BM204" s="322">
        <f t="shared" si="210"/>
        <v>0</v>
      </c>
      <c r="BN204" s="251"/>
      <c r="BO204" s="326"/>
      <c r="BP204" s="322">
        <f t="shared" si="210"/>
        <v>0</v>
      </c>
      <c r="BQ204" s="251"/>
      <c r="BR204" s="326"/>
      <c r="BS204" s="322">
        <f t="shared" si="210"/>
        <v>0</v>
      </c>
      <c r="BT204" s="251"/>
      <c r="BU204" s="326"/>
      <c r="BV204" s="322">
        <f t="shared" si="210"/>
        <v>0</v>
      </c>
      <c r="BW204" s="251"/>
      <c r="BX204" s="326"/>
      <c r="BY204" s="322">
        <f t="shared" si="210"/>
        <v>0</v>
      </c>
      <c r="BZ204" s="251"/>
      <c r="CA204" s="326"/>
      <c r="CB204" s="322">
        <f t="shared" si="211"/>
        <v>0</v>
      </c>
      <c r="CC204" s="251"/>
      <c r="CD204" s="326"/>
      <c r="CE204" s="322">
        <f t="shared" si="211"/>
        <v>0</v>
      </c>
      <c r="CF204" s="251"/>
      <c r="CG204" s="251"/>
      <c r="CH204" s="251"/>
    </row>
    <row r="205" spans="1:86" ht="15" customHeight="1">
      <c r="A205" s="265"/>
      <c r="B205" s="265"/>
      <c r="C205" s="265"/>
      <c r="D205" s="265"/>
      <c r="E205" s="265"/>
      <c r="F205" s="565"/>
      <c r="G205" s="374" t="s">
        <v>198</v>
      </c>
      <c r="H205" s="320" t="str">
        <f>IF(SUM(Calcs!$B$2:$B$37)=288,League!P15,"Playoff"&amp;6)</f>
        <v>Playoff6</v>
      </c>
      <c r="I205" s="219"/>
      <c r="J205" s="458" t="s">
        <v>27</v>
      </c>
      <c r="K205" s="322">
        <f t="shared" si="209"/>
        <v>0</v>
      </c>
      <c r="L205" s="251"/>
      <c r="M205" s="326" t="s">
        <v>48</v>
      </c>
      <c r="N205" s="322">
        <f t="shared" si="210"/>
        <v>0</v>
      </c>
      <c r="O205" s="251"/>
      <c r="P205" s="326" t="s">
        <v>22</v>
      </c>
      <c r="Q205" s="322">
        <f t="shared" si="210"/>
        <v>0</v>
      </c>
      <c r="R205" s="251"/>
      <c r="S205" s="326" t="s">
        <v>32</v>
      </c>
      <c r="T205" s="322">
        <f t="shared" si="210"/>
        <v>0</v>
      </c>
      <c r="U205" s="251"/>
      <c r="V205" s="326" t="s">
        <v>33</v>
      </c>
      <c r="W205" s="322">
        <f t="shared" si="210"/>
        <v>0</v>
      </c>
      <c r="X205" s="251"/>
      <c r="Y205" s="326" t="s">
        <v>26</v>
      </c>
      <c r="Z205" s="322">
        <f t="shared" si="210"/>
        <v>0</v>
      </c>
      <c r="AA205" s="251"/>
      <c r="AB205" s="326" t="s">
        <v>26</v>
      </c>
      <c r="AC205" s="322">
        <f t="shared" si="210"/>
        <v>0</v>
      </c>
      <c r="AD205" s="251"/>
      <c r="AE205" s="326" t="s">
        <v>33</v>
      </c>
      <c r="AF205" s="322">
        <f t="shared" si="210"/>
        <v>0</v>
      </c>
      <c r="AG205" s="251"/>
      <c r="AH205" s="326" t="s">
        <v>41</v>
      </c>
      <c r="AI205" s="322">
        <f t="shared" si="210"/>
        <v>0</v>
      </c>
      <c r="AJ205" s="251"/>
      <c r="AK205" s="326" t="s">
        <v>44</v>
      </c>
      <c r="AL205" s="322">
        <f t="shared" si="210"/>
        <v>0</v>
      </c>
      <c r="AM205" s="251"/>
      <c r="AN205" s="326" t="s">
        <v>44</v>
      </c>
      <c r="AO205" s="322">
        <f t="shared" si="210"/>
        <v>0</v>
      </c>
      <c r="AP205" s="251"/>
      <c r="AQ205" s="326" t="s">
        <v>43</v>
      </c>
      <c r="AR205" s="322">
        <f t="shared" si="210"/>
        <v>0</v>
      </c>
      <c r="AS205" s="251"/>
      <c r="AT205" s="326" t="s">
        <v>27</v>
      </c>
      <c r="AU205" s="322">
        <f t="shared" si="210"/>
        <v>0</v>
      </c>
      <c r="AV205" s="251"/>
      <c r="AW205" s="326" t="s">
        <v>45</v>
      </c>
      <c r="AX205" s="322">
        <f t="shared" si="210"/>
        <v>0</v>
      </c>
      <c r="AY205" s="251"/>
      <c r="AZ205" s="539" t="s">
        <v>22</v>
      </c>
      <c r="BA205" s="322">
        <f t="shared" si="210"/>
        <v>0</v>
      </c>
      <c r="BB205" s="251"/>
      <c r="BC205" s="326" t="s">
        <v>26</v>
      </c>
      <c r="BD205" s="322">
        <f t="shared" si="210"/>
        <v>0</v>
      </c>
      <c r="BE205" s="251"/>
      <c r="BF205" s="326"/>
      <c r="BG205" s="322">
        <f t="shared" si="210"/>
        <v>0</v>
      </c>
      <c r="BH205" s="251"/>
      <c r="BI205" s="326"/>
      <c r="BJ205" s="322">
        <f t="shared" si="210"/>
        <v>0</v>
      </c>
      <c r="BK205" s="251"/>
      <c r="BL205" s="326"/>
      <c r="BM205" s="322">
        <f t="shared" si="210"/>
        <v>0</v>
      </c>
      <c r="BN205" s="251"/>
      <c r="BO205" s="326"/>
      <c r="BP205" s="322">
        <f t="shared" si="210"/>
        <v>0</v>
      </c>
      <c r="BQ205" s="251"/>
      <c r="BR205" s="326"/>
      <c r="BS205" s="322">
        <f t="shared" si="210"/>
        <v>0</v>
      </c>
      <c r="BT205" s="251"/>
      <c r="BU205" s="326"/>
      <c r="BV205" s="322">
        <f t="shared" si="210"/>
        <v>0</v>
      </c>
      <c r="BW205" s="251"/>
      <c r="BX205" s="326"/>
      <c r="BY205" s="322">
        <f t="shared" si="210"/>
        <v>0</v>
      </c>
      <c r="BZ205" s="251"/>
      <c r="CA205" s="326"/>
      <c r="CB205" s="322">
        <f t="shared" si="211"/>
        <v>0</v>
      </c>
      <c r="CC205" s="251"/>
      <c r="CD205" s="326"/>
      <c r="CE205" s="322">
        <f t="shared" si="211"/>
        <v>0</v>
      </c>
      <c r="CF205" s="251"/>
      <c r="CG205" s="251"/>
      <c r="CH205" s="251"/>
    </row>
    <row r="206" spans="1:86" ht="15" customHeight="1">
      <c r="A206" s="265"/>
      <c r="B206" s="265"/>
      <c r="C206" s="265"/>
      <c r="D206" s="265"/>
      <c r="E206" s="265"/>
      <c r="F206" s="565"/>
      <c r="G206" s="374" t="s">
        <v>198</v>
      </c>
      <c r="H206" s="320" t="str">
        <f>IF(SUM(Calcs!$B$2:$B$37)=288,League!P16,"Playoff"&amp;7)</f>
        <v>Playoff7</v>
      </c>
      <c r="I206" s="219"/>
      <c r="J206" s="458" t="s">
        <v>50</v>
      </c>
      <c r="K206" s="322">
        <f t="shared" si="209"/>
        <v>0</v>
      </c>
      <c r="L206" s="251"/>
      <c r="M206" s="326" t="s">
        <v>50</v>
      </c>
      <c r="N206" s="322">
        <f t="shared" si="210"/>
        <v>0</v>
      </c>
      <c r="O206" s="251"/>
      <c r="P206" s="326" t="s">
        <v>46</v>
      </c>
      <c r="Q206" s="322">
        <f t="shared" si="210"/>
        <v>0</v>
      </c>
      <c r="R206" s="251"/>
      <c r="S206" s="326" t="s">
        <v>27</v>
      </c>
      <c r="T206" s="322">
        <f t="shared" si="210"/>
        <v>0</v>
      </c>
      <c r="U206" s="251"/>
      <c r="V206" s="326" t="s">
        <v>54</v>
      </c>
      <c r="W206" s="322">
        <f t="shared" si="210"/>
        <v>0</v>
      </c>
      <c r="X206" s="251"/>
      <c r="Y206" s="326" t="s">
        <v>27</v>
      </c>
      <c r="Z206" s="322">
        <f t="shared" si="210"/>
        <v>0</v>
      </c>
      <c r="AA206" s="251"/>
      <c r="AB206" s="326" t="s">
        <v>30</v>
      </c>
      <c r="AC206" s="322">
        <f t="shared" si="210"/>
        <v>0</v>
      </c>
      <c r="AD206" s="251"/>
      <c r="AE206" s="326" t="s">
        <v>30</v>
      </c>
      <c r="AF206" s="322">
        <f t="shared" si="210"/>
        <v>0</v>
      </c>
      <c r="AG206" s="251"/>
      <c r="AH206" s="326" t="s">
        <v>38</v>
      </c>
      <c r="AI206" s="322">
        <f t="shared" si="210"/>
        <v>0</v>
      </c>
      <c r="AJ206" s="251"/>
      <c r="AK206" s="326" t="s">
        <v>27</v>
      </c>
      <c r="AL206" s="322">
        <f t="shared" si="210"/>
        <v>0</v>
      </c>
      <c r="AM206" s="251"/>
      <c r="AN206" s="326" t="s">
        <v>27</v>
      </c>
      <c r="AO206" s="322">
        <f t="shared" si="210"/>
        <v>0</v>
      </c>
      <c r="AP206" s="251"/>
      <c r="AQ206" s="326" t="s">
        <v>42</v>
      </c>
      <c r="AR206" s="322">
        <f t="shared" si="210"/>
        <v>0</v>
      </c>
      <c r="AS206" s="251"/>
      <c r="AT206" s="326" t="s">
        <v>54</v>
      </c>
      <c r="AU206" s="322">
        <f t="shared" si="210"/>
        <v>0</v>
      </c>
      <c r="AV206" s="251"/>
      <c r="AW206" s="326" t="s">
        <v>23</v>
      </c>
      <c r="AX206" s="322">
        <f t="shared" si="210"/>
        <v>0</v>
      </c>
      <c r="AY206" s="251"/>
      <c r="AZ206" s="539" t="s">
        <v>33</v>
      </c>
      <c r="BA206" s="322">
        <f t="shared" si="210"/>
        <v>0</v>
      </c>
      <c r="BB206" s="251"/>
      <c r="BC206" s="326" t="s">
        <v>46</v>
      </c>
      <c r="BD206" s="322">
        <f t="shared" si="210"/>
        <v>0</v>
      </c>
      <c r="BE206" s="251"/>
      <c r="BF206" s="326"/>
      <c r="BG206" s="322">
        <f t="shared" si="210"/>
        <v>0</v>
      </c>
      <c r="BH206" s="251"/>
      <c r="BI206" s="326"/>
      <c r="BJ206" s="322">
        <f t="shared" si="210"/>
        <v>0</v>
      </c>
      <c r="BK206" s="251"/>
      <c r="BL206" s="326"/>
      <c r="BM206" s="322">
        <f t="shared" si="210"/>
        <v>0</v>
      </c>
      <c r="BN206" s="251"/>
      <c r="BO206" s="326"/>
      <c r="BP206" s="322">
        <f t="shared" si="210"/>
        <v>0</v>
      </c>
      <c r="BQ206" s="251"/>
      <c r="BR206" s="326"/>
      <c r="BS206" s="322">
        <f t="shared" si="210"/>
        <v>0</v>
      </c>
      <c r="BT206" s="251"/>
      <c r="BU206" s="326"/>
      <c r="BV206" s="322">
        <f t="shared" si="210"/>
        <v>0</v>
      </c>
      <c r="BW206" s="251"/>
      <c r="BX206" s="326"/>
      <c r="BY206" s="322">
        <f t="shared" si="210"/>
        <v>0</v>
      </c>
      <c r="BZ206" s="251"/>
      <c r="CA206" s="326"/>
      <c r="CB206" s="322">
        <f t="shared" si="211"/>
        <v>0</v>
      </c>
      <c r="CC206" s="251"/>
      <c r="CD206" s="326"/>
      <c r="CE206" s="322">
        <f t="shared" si="211"/>
        <v>0</v>
      </c>
      <c r="CF206" s="251"/>
      <c r="CG206" s="251"/>
      <c r="CH206" s="251"/>
    </row>
    <row r="207" spans="1:86" ht="15" customHeight="1">
      <c r="A207" s="265"/>
      <c r="B207" s="265"/>
      <c r="C207" s="265"/>
      <c r="D207" s="265"/>
      <c r="E207" s="265"/>
      <c r="F207" s="565"/>
      <c r="G207" s="374" t="s">
        <v>198</v>
      </c>
      <c r="H207" s="320" t="str">
        <f>IF(SUM(Calcs!$B$2:$B$37)=288,League!P17,"Playoff"&amp;8)</f>
        <v>Playoff8</v>
      </c>
      <c r="I207" s="219"/>
      <c r="J207" s="458" t="s">
        <v>38</v>
      </c>
      <c r="K207" s="322">
        <f t="shared" si="209"/>
        <v>0</v>
      </c>
      <c r="L207" s="251"/>
      <c r="M207" s="326" t="s">
        <v>22</v>
      </c>
      <c r="N207" s="322">
        <f t="shared" si="210"/>
        <v>0</v>
      </c>
      <c r="O207" s="251"/>
      <c r="P207" s="326" t="s">
        <v>27</v>
      </c>
      <c r="Q207" s="322">
        <f t="shared" si="210"/>
        <v>0</v>
      </c>
      <c r="R207" s="251"/>
      <c r="S207" s="326" t="s">
        <v>30</v>
      </c>
      <c r="T207" s="322">
        <f t="shared" si="210"/>
        <v>0</v>
      </c>
      <c r="U207" s="251"/>
      <c r="V207" s="326" t="s">
        <v>55</v>
      </c>
      <c r="W207" s="322">
        <f t="shared" si="210"/>
        <v>0</v>
      </c>
      <c r="X207" s="251"/>
      <c r="Y207" s="326" t="s">
        <v>48</v>
      </c>
      <c r="Z207" s="322">
        <f t="shared" si="210"/>
        <v>0</v>
      </c>
      <c r="AA207" s="251"/>
      <c r="AB207" s="326" t="s">
        <v>51</v>
      </c>
      <c r="AC207" s="322">
        <f t="shared" si="210"/>
        <v>0</v>
      </c>
      <c r="AD207" s="251"/>
      <c r="AE207" s="326" t="s">
        <v>32</v>
      </c>
      <c r="AF207" s="322">
        <f t="shared" si="210"/>
        <v>0</v>
      </c>
      <c r="AG207" s="251"/>
      <c r="AH207" s="326" t="s">
        <v>48</v>
      </c>
      <c r="AI207" s="322">
        <f t="shared" si="210"/>
        <v>0</v>
      </c>
      <c r="AJ207" s="251"/>
      <c r="AK207" s="326" t="s">
        <v>42</v>
      </c>
      <c r="AL207" s="322">
        <f t="shared" si="210"/>
        <v>0</v>
      </c>
      <c r="AM207" s="251"/>
      <c r="AN207" s="326" t="s">
        <v>46</v>
      </c>
      <c r="AO207" s="322">
        <f t="shared" si="210"/>
        <v>0</v>
      </c>
      <c r="AP207" s="251"/>
      <c r="AQ207" s="326" t="s">
        <v>50</v>
      </c>
      <c r="AR207" s="322">
        <f t="shared" si="210"/>
        <v>0</v>
      </c>
      <c r="AS207" s="251"/>
      <c r="AT207" s="326" t="s">
        <v>38</v>
      </c>
      <c r="AU207" s="322">
        <f t="shared" si="210"/>
        <v>0</v>
      </c>
      <c r="AV207" s="251"/>
      <c r="AW207" s="326" t="s">
        <v>24</v>
      </c>
      <c r="AX207" s="322">
        <f t="shared" si="210"/>
        <v>0</v>
      </c>
      <c r="AY207" s="251"/>
      <c r="AZ207" s="539" t="s">
        <v>46</v>
      </c>
      <c r="BA207" s="322">
        <f t="shared" si="210"/>
        <v>0</v>
      </c>
      <c r="BB207" s="251"/>
      <c r="BC207" s="326" t="s">
        <v>32</v>
      </c>
      <c r="BD207" s="322">
        <f t="shared" si="210"/>
        <v>0</v>
      </c>
      <c r="BE207" s="251"/>
      <c r="BF207" s="326"/>
      <c r="BG207" s="322">
        <f t="shared" si="210"/>
        <v>0</v>
      </c>
      <c r="BH207" s="251"/>
      <c r="BI207" s="326"/>
      <c r="BJ207" s="322">
        <f t="shared" si="210"/>
        <v>0</v>
      </c>
      <c r="BK207" s="251"/>
      <c r="BL207" s="326"/>
      <c r="BM207" s="322">
        <f t="shared" si="210"/>
        <v>0</v>
      </c>
      <c r="BN207" s="251"/>
      <c r="BO207" s="326"/>
      <c r="BP207" s="322">
        <f t="shared" si="210"/>
        <v>0</v>
      </c>
      <c r="BQ207" s="251"/>
      <c r="BR207" s="326"/>
      <c r="BS207" s="322">
        <f t="shared" si="210"/>
        <v>0</v>
      </c>
      <c r="BT207" s="251"/>
      <c r="BU207" s="326"/>
      <c r="BV207" s="322">
        <f t="shared" si="210"/>
        <v>0</v>
      </c>
      <c r="BW207" s="251"/>
      <c r="BX207" s="326"/>
      <c r="BY207" s="322">
        <f t="shared" si="210"/>
        <v>0</v>
      </c>
      <c r="BZ207" s="251"/>
      <c r="CA207" s="326"/>
      <c r="CB207" s="322">
        <f t="shared" si="211"/>
        <v>0</v>
      </c>
      <c r="CC207" s="251"/>
      <c r="CD207" s="326"/>
      <c r="CE207" s="322">
        <f t="shared" si="211"/>
        <v>0</v>
      </c>
      <c r="CF207" s="251"/>
      <c r="CG207" s="251"/>
      <c r="CH207" s="251"/>
    </row>
    <row r="208" spans="1:86" ht="15" customHeight="1">
      <c r="A208" s="265"/>
      <c r="B208" s="265"/>
      <c r="C208" s="265"/>
      <c r="D208" s="265"/>
      <c r="E208" s="265"/>
      <c r="F208" s="565"/>
      <c r="G208" s="374" t="s">
        <v>198</v>
      </c>
      <c r="H208" s="320" t="str">
        <f>IF(SUM(Calcs!$B$2:$B$37)=288,League!P18,"Playoff"&amp;9)</f>
        <v>Playoff9</v>
      </c>
      <c r="I208" s="219"/>
      <c r="J208" s="458" t="s">
        <v>52</v>
      </c>
      <c r="K208" s="322">
        <f t="shared" si="209"/>
        <v>0</v>
      </c>
      <c r="L208" s="251"/>
      <c r="M208" s="326" t="s">
        <v>54</v>
      </c>
      <c r="N208" s="322">
        <f t="shared" si="210"/>
        <v>0</v>
      </c>
      <c r="O208" s="251"/>
      <c r="P208" s="326" t="s">
        <v>34</v>
      </c>
      <c r="Q208" s="322">
        <f t="shared" si="210"/>
        <v>0</v>
      </c>
      <c r="R208" s="251"/>
      <c r="S208" s="326" t="s">
        <v>22</v>
      </c>
      <c r="T208" s="322">
        <f t="shared" si="210"/>
        <v>0</v>
      </c>
      <c r="U208" s="251"/>
      <c r="V208" s="326" t="s">
        <v>22</v>
      </c>
      <c r="W208" s="322">
        <f t="shared" si="210"/>
        <v>0</v>
      </c>
      <c r="X208" s="251"/>
      <c r="Y208" s="326" t="s">
        <v>55</v>
      </c>
      <c r="Z208" s="322">
        <f t="shared" si="210"/>
        <v>0</v>
      </c>
      <c r="AA208" s="251"/>
      <c r="AB208" s="326" t="s">
        <v>54</v>
      </c>
      <c r="AC208" s="322">
        <f t="shared" si="210"/>
        <v>0</v>
      </c>
      <c r="AD208" s="251"/>
      <c r="AE208" s="326" t="s">
        <v>27</v>
      </c>
      <c r="AF208" s="322">
        <f t="shared" si="210"/>
        <v>0</v>
      </c>
      <c r="AG208" s="251"/>
      <c r="AH208" s="326" t="s">
        <v>27</v>
      </c>
      <c r="AI208" s="322">
        <f t="shared" si="210"/>
        <v>0</v>
      </c>
      <c r="AJ208" s="251"/>
      <c r="AK208" s="326" t="s">
        <v>30</v>
      </c>
      <c r="AL208" s="322">
        <f t="shared" si="210"/>
        <v>0</v>
      </c>
      <c r="AM208" s="251"/>
      <c r="AN208" s="326" t="s">
        <v>55</v>
      </c>
      <c r="AO208" s="322">
        <f t="shared" si="210"/>
        <v>0</v>
      </c>
      <c r="AP208" s="251"/>
      <c r="AQ208" s="326" t="s">
        <v>38</v>
      </c>
      <c r="AR208" s="322">
        <f t="shared" si="210"/>
        <v>0</v>
      </c>
      <c r="AS208" s="251"/>
      <c r="AT208" s="326" t="s">
        <v>50</v>
      </c>
      <c r="AU208" s="322">
        <f t="shared" si="210"/>
        <v>0</v>
      </c>
      <c r="AV208" s="251"/>
      <c r="AW208" s="326" t="s">
        <v>55</v>
      </c>
      <c r="AX208" s="322">
        <f t="shared" si="210"/>
        <v>0</v>
      </c>
      <c r="AY208" s="251"/>
      <c r="AZ208" s="539" t="s">
        <v>48</v>
      </c>
      <c r="BA208" s="322">
        <f t="shared" si="210"/>
        <v>0</v>
      </c>
      <c r="BB208" s="251"/>
      <c r="BC208" s="326" t="s">
        <v>34</v>
      </c>
      <c r="BD208" s="322">
        <f t="shared" si="210"/>
        <v>0</v>
      </c>
      <c r="BE208" s="251"/>
      <c r="BF208" s="326"/>
      <c r="BG208" s="322">
        <f t="shared" si="210"/>
        <v>0</v>
      </c>
      <c r="BH208" s="251"/>
      <c r="BI208" s="326"/>
      <c r="BJ208" s="322">
        <f t="shared" si="210"/>
        <v>0</v>
      </c>
      <c r="BK208" s="251"/>
      <c r="BL208" s="326"/>
      <c r="BM208" s="322">
        <f t="shared" si="210"/>
        <v>0</v>
      </c>
      <c r="BN208" s="251"/>
      <c r="BO208" s="326"/>
      <c r="BP208" s="322">
        <f t="shared" si="210"/>
        <v>0</v>
      </c>
      <c r="BQ208" s="251"/>
      <c r="BR208" s="326"/>
      <c r="BS208" s="322">
        <f t="shared" si="210"/>
        <v>0</v>
      </c>
      <c r="BT208" s="251"/>
      <c r="BU208" s="326"/>
      <c r="BV208" s="322">
        <f t="shared" si="210"/>
        <v>0</v>
      </c>
      <c r="BW208" s="251"/>
      <c r="BX208" s="326"/>
      <c r="BY208" s="322">
        <f t="shared" si="210"/>
        <v>0</v>
      </c>
      <c r="BZ208" s="251"/>
      <c r="CA208" s="326"/>
      <c r="CB208" s="322">
        <f t="shared" si="211"/>
        <v>0</v>
      </c>
      <c r="CC208" s="251"/>
      <c r="CD208" s="326"/>
      <c r="CE208" s="322">
        <f t="shared" si="211"/>
        <v>0</v>
      </c>
      <c r="CF208" s="251"/>
      <c r="CG208" s="251"/>
      <c r="CH208" s="251"/>
    </row>
    <row r="209" spans="1:86" ht="15" customHeight="1">
      <c r="A209" s="265"/>
      <c r="B209" s="265"/>
      <c r="C209" s="265"/>
      <c r="D209" s="265"/>
      <c r="E209" s="265"/>
      <c r="F209" s="565"/>
      <c r="G209" s="374" t="s">
        <v>198</v>
      </c>
      <c r="H209" s="320" t="str">
        <f>IF(SUM(Calcs!$B$2:$B$37)=288,League!P19,"Playoff"&amp;10)</f>
        <v>Playoff10</v>
      </c>
      <c r="I209" s="219"/>
      <c r="J209" s="458" t="s">
        <v>22</v>
      </c>
      <c r="K209" s="322">
        <f t="shared" si="209"/>
        <v>0</v>
      </c>
      <c r="L209" s="251"/>
      <c r="M209" s="326" t="s">
        <v>30</v>
      </c>
      <c r="N209" s="322">
        <f t="shared" si="210"/>
        <v>0</v>
      </c>
      <c r="O209" s="251"/>
      <c r="P209" s="326" t="s">
        <v>33</v>
      </c>
      <c r="Q209" s="322">
        <f t="shared" si="210"/>
        <v>0</v>
      </c>
      <c r="R209" s="251"/>
      <c r="S209" s="326" t="s">
        <v>48</v>
      </c>
      <c r="T209" s="322">
        <f t="shared" si="210"/>
        <v>0</v>
      </c>
      <c r="U209" s="251"/>
      <c r="V209" s="326" t="s">
        <v>50</v>
      </c>
      <c r="W209" s="322">
        <f t="shared" si="210"/>
        <v>0</v>
      </c>
      <c r="X209" s="251"/>
      <c r="Y209" s="326" t="s">
        <v>33</v>
      </c>
      <c r="Z209" s="322">
        <f t="shared" si="210"/>
        <v>0</v>
      </c>
      <c r="AA209" s="251"/>
      <c r="AB209" s="326" t="s">
        <v>29</v>
      </c>
      <c r="AC209" s="322">
        <f t="shared" si="210"/>
        <v>0</v>
      </c>
      <c r="AD209" s="251"/>
      <c r="AE209" s="326" t="s">
        <v>58</v>
      </c>
      <c r="AF209" s="322">
        <f t="shared" si="210"/>
        <v>0</v>
      </c>
      <c r="AG209" s="251"/>
      <c r="AH209" s="326" t="s">
        <v>26</v>
      </c>
      <c r="AI209" s="322">
        <f t="shared" si="210"/>
        <v>0</v>
      </c>
      <c r="AJ209" s="251"/>
      <c r="AK209" s="326" t="s">
        <v>48</v>
      </c>
      <c r="AL209" s="322">
        <f t="shared" si="210"/>
        <v>0</v>
      </c>
      <c r="AM209" s="251"/>
      <c r="AN209" s="326" t="s">
        <v>38</v>
      </c>
      <c r="AO209" s="322">
        <f t="shared" si="210"/>
        <v>0</v>
      </c>
      <c r="AP209" s="251"/>
      <c r="AQ209" s="326" t="s">
        <v>48</v>
      </c>
      <c r="AR209" s="322">
        <f t="shared" si="210"/>
        <v>0</v>
      </c>
      <c r="AS209" s="251"/>
      <c r="AT209" s="326" t="s">
        <v>30</v>
      </c>
      <c r="AU209" s="322">
        <f t="shared" si="210"/>
        <v>0</v>
      </c>
      <c r="AV209" s="251"/>
      <c r="AW209" s="326" t="s">
        <v>54</v>
      </c>
      <c r="AX209" s="322">
        <f t="shared" si="210"/>
        <v>0</v>
      </c>
      <c r="AY209" s="251"/>
      <c r="AZ209" s="539" t="s">
        <v>50</v>
      </c>
      <c r="BA209" s="322">
        <f t="shared" si="210"/>
        <v>0</v>
      </c>
      <c r="BB209" s="251"/>
      <c r="BC209" s="326" t="s">
        <v>52</v>
      </c>
      <c r="BD209" s="322">
        <f t="shared" si="210"/>
        <v>0</v>
      </c>
      <c r="BE209" s="251"/>
      <c r="BF209" s="326"/>
      <c r="BG209" s="322">
        <f t="shared" si="210"/>
        <v>0</v>
      </c>
      <c r="BH209" s="251"/>
      <c r="BI209" s="326"/>
      <c r="BJ209" s="322">
        <f t="shared" si="210"/>
        <v>0</v>
      </c>
      <c r="BK209" s="251"/>
      <c r="BL209" s="326"/>
      <c r="BM209" s="322">
        <f t="shared" si="210"/>
        <v>0</v>
      </c>
      <c r="BN209" s="251"/>
      <c r="BO209" s="326"/>
      <c r="BP209" s="322">
        <f t="shared" si="210"/>
        <v>0</v>
      </c>
      <c r="BQ209" s="251"/>
      <c r="BR209" s="326"/>
      <c r="BS209" s="322">
        <f t="shared" si="210"/>
        <v>0</v>
      </c>
      <c r="BT209" s="251"/>
      <c r="BU209" s="326"/>
      <c r="BV209" s="322">
        <f t="shared" si="210"/>
        <v>0</v>
      </c>
      <c r="BW209" s="251"/>
      <c r="BX209" s="326"/>
      <c r="BY209" s="322">
        <f t="shared" si="210"/>
        <v>0</v>
      </c>
      <c r="BZ209" s="251"/>
      <c r="CA209" s="326"/>
      <c r="CB209" s="322">
        <f t="shared" si="211"/>
        <v>0</v>
      </c>
      <c r="CC209" s="251"/>
      <c r="CD209" s="326"/>
      <c r="CE209" s="322">
        <f t="shared" si="211"/>
        <v>0</v>
      </c>
      <c r="CF209" s="251"/>
      <c r="CG209" s="251"/>
      <c r="CH209" s="251"/>
    </row>
    <row r="210" spans="1:86" ht="15" customHeight="1">
      <c r="A210" s="265"/>
      <c r="B210" s="265"/>
      <c r="C210" s="265"/>
      <c r="D210" s="265"/>
      <c r="E210" s="265"/>
      <c r="F210" s="565"/>
      <c r="G210" s="374" t="s">
        <v>198</v>
      </c>
      <c r="H210" s="320" t="str">
        <f>IF(SUM(Calcs!$B$2:$B$37)=288,League!P20,"Playoff"&amp;11)</f>
        <v>Playoff11</v>
      </c>
      <c r="I210" s="219"/>
      <c r="J210" s="458" t="s">
        <v>29</v>
      </c>
      <c r="K210" s="322">
        <f t="shared" si="209"/>
        <v>0</v>
      </c>
      <c r="L210" s="251"/>
      <c r="M210" s="326" t="s">
        <v>58</v>
      </c>
      <c r="N210" s="322">
        <f t="shared" si="210"/>
        <v>0</v>
      </c>
      <c r="O210" s="251"/>
      <c r="P210" s="326" t="s">
        <v>55</v>
      </c>
      <c r="Q210" s="322">
        <f t="shared" si="210"/>
        <v>0</v>
      </c>
      <c r="R210" s="251"/>
      <c r="S210" s="326" t="s">
        <v>29</v>
      </c>
      <c r="T210" s="322">
        <f t="shared" si="210"/>
        <v>0</v>
      </c>
      <c r="U210" s="251"/>
      <c r="V210" s="326" t="s">
        <v>52</v>
      </c>
      <c r="W210" s="322">
        <f t="shared" si="210"/>
        <v>0</v>
      </c>
      <c r="X210" s="251"/>
      <c r="Y210" s="326" t="s">
        <v>30</v>
      </c>
      <c r="Z210" s="322">
        <f t="shared" si="210"/>
        <v>0</v>
      </c>
      <c r="AA210" s="251"/>
      <c r="AB210" s="326" t="s">
        <v>48</v>
      </c>
      <c r="AC210" s="322">
        <f t="shared" si="210"/>
        <v>0</v>
      </c>
      <c r="AD210" s="251"/>
      <c r="AE210" s="326" t="s">
        <v>59</v>
      </c>
      <c r="AF210" s="322">
        <f t="shared" si="210"/>
        <v>0</v>
      </c>
      <c r="AG210" s="251"/>
      <c r="AH210" s="326" t="s">
        <v>45</v>
      </c>
      <c r="AI210" s="322">
        <f t="shared" si="210"/>
        <v>0</v>
      </c>
      <c r="AJ210" s="251"/>
      <c r="AK210" s="326" t="s">
        <v>38</v>
      </c>
      <c r="AL210" s="322">
        <f t="shared" si="210"/>
        <v>0</v>
      </c>
      <c r="AM210" s="251"/>
      <c r="AN210" s="326" t="s">
        <v>50</v>
      </c>
      <c r="AO210" s="322">
        <f t="shared" si="210"/>
        <v>0</v>
      </c>
      <c r="AP210" s="251"/>
      <c r="AQ210" s="326" t="s">
        <v>58</v>
      </c>
      <c r="AR210" s="322">
        <f t="shared" si="210"/>
        <v>0</v>
      </c>
      <c r="AS210" s="251"/>
      <c r="AT210" s="326" t="s">
        <v>48</v>
      </c>
      <c r="AU210" s="322">
        <f t="shared" si="210"/>
        <v>0</v>
      </c>
      <c r="AV210" s="251"/>
      <c r="AW210" s="326" t="s">
        <v>51</v>
      </c>
      <c r="AX210" s="322">
        <f t="shared" si="210"/>
        <v>0</v>
      </c>
      <c r="AY210" s="251"/>
      <c r="AZ210" s="539" t="s">
        <v>27</v>
      </c>
      <c r="BA210" s="322">
        <f t="shared" si="210"/>
        <v>0</v>
      </c>
      <c r="BB210" s="251"/>
      <c r="BC210" s="326" t="s">
        <v>48</v>
      </c>
      <c r="BD210" s="322">
        <f t="shared" si="210"/>
        <v>0</v>
      </c>
      <c r="BE210" s="251"/>
      <c r="BF210" s="326"/>
      <c r="BG210" s="322">
        <f t="shared" si="210"/>
        <v>0</v>
      </c>
      <c r="BH210" s="251"/>
      <c r="BI210" s="326"/>
      <c r="BJ210" s="322">
        <f t="shared" si="210"/>
        <v>0</v>
      </c>
      <c r="BK210" s="251"/>
      <c r="BL210" s="326"/>
      <c r="BM210" s="322">
        <f t="shared" si="210"/>
        <v>0</v>
      </c>
      <c r="BN210" s="251"/>
      <c r="BO210" s="326"/>
      <c r="BP210" s="322">
        <f t="shared" si="210"/>
        <v>0</v>
      </c>
      <c r="BQ210" s="251"/>
      <c r="BR210" s="326"/>
      <c r="BS210" s="322">
        <f t="shared" si="210"/>
        <v>0</v>
      </c>
      <c r="BT210" s="251"/>
      <c r="BU210" s="326"/>
      <c r="BV210" s="322">
        <f t="shared" si="210"/>
        <v>0</v>
      </c>
      <c r="BW210" s="251"/>
      <c r="BX210" s="326"/>
      <c r="BY210" s="322">
        <f t="shared" si="210"/>
        <v>0</v>
      </c>
      <c r="BZ210" s="251"/>
      <c r="CA210" s="326"/>
      <c r="CB210" s="322">
        <f t="shared" si="211"/>
        <v>0</v>
      </c>
      <c r="CC210" s="251"/>
      <c r="CD210" s="326"/>
      <c r="CE210" s="322">
        <f t="shared" si="211"/>
        <v>0</v>
      </c>
      <c r="CF210" s="251"/>
      <c r="CG210" s="251"/>
      <c r="CH210" s="251"/>
    </row>
    <row r="211" spans="1:86" ht="15" customHeight="1">
      <c r="A211" s="265"/>
      <c r="B211" s="265"/>
      <c r="C211" s="265"/>
      <c r="D211" s="265"/>
      <c r="E211" s="265"/>
      <c r="F211" s="565"/>
      <c r="G211" s="374" t="s">
        <v>198</v>
      </c>
      <c r="H211" s="320" t="str">
        <f>IF(SUM(Calcs!$B$2:$B$37)=288,League!P21,"Playoff"&amp;12)</f>
        <v>Playoff12</v>
      </c>
      <c r="I211" s="219"/>
      <c r="J211" s="458" t="s">
        <v>34</v>
      </c>
      <c r="K211" s="322">
        <f t="shared" si="209"/>
        <v>0</v>
      </c>
      <c r="L211" s="251"/>
      <c r="M211" s="326" t="s">
        <v>38</v>
      </c>
      <c r="N211" s="322">
        <f t="shared" si="210"/>
        <v>0</v>
      </c>
      <c r="O211" s="251"/>
      <c r="P211" s="326" t="s">
        <v>52</v>
      </c>
      <c r="Q211" s="322">
        <f t="shared" si="210"/>
        <v>0</v>
      </c>
      <c r="R211" s="251"/>
      <c r="S211" s="326" t="s">
        <v>38</v>
      </c>
      <c r="T211" s="322">
        <f t="shared" si="210"/>
        <v>0</v>
      </c>
      <c r="U211" s="251"/>
      <c r="V211" s="326" t="s">
        <v>30</v>
      </c>
      <c r="W211" s="322">
        <f t="shared" si="210"/>
        <v>0</v>
      </c>
      <c r="X211" s="251"/>
      <c r="Y211" s="326" t="s">
        <v>50</v>
      </c>
      <c r="Z211" s="322">
        <f t="shared" si="210"/>
        <v>0</v>
      </c>
      <c r="AA211" s="251"/>
      <c r="AB211" s="326" t="s">
        <v>27</v>
      </c>
      <c r="AC211" s="322">
        <f t="shared" si="210"/>
        <v>0</v>
      </c>
      <c r="AD211" s="251"/>
      <c r="AE211" s="326" t="s">
        <v>25</v>
      </c>
      <c r="AF211" s="322">
        <f t="shared" si="210"/>
        <v>0</v>
      </c>
      <c r="AG211" s="251"/>
      <c r="AH211" s="326" t="s">
        <v>29</v>
      </c>
      <c r="AI211" s="322">
        <f t="shared" si="210"/>
        <v>0</v>
      </c>
      <c r="AJ211" s="251"/>
      <c r="AK211" s="326" t="s">
        <v>58</v>
      </c>
      <c r="AL211" s="322">
        <f t="shared" si="210"/>
        <v>0</v>
      </c>
      <c r="AM211" s="251"/>
      <c r="AN211" s="326" t="s">
        <v>29</v>
      </c>
      <c r="AO211" s="322">
        <f t="shared" si="210"/>
        <v>0</v>
      </c>
      <c r="AP211" s="251"/>
      <c r="AQ211" s="326" t="s">
        <v>55</v>
      </c>
      <c r="AR211" s="322">
        <f t="shared" si="210"/>
        <v>0</v>
      </c>
      <c r="AS211" s="251"/>
      <c r="AT211" s="326" t="s">
        <v>24</v>
      </c>
      <c r="AU211" s="322">
        <f t="shared" si="210"/>
        <v>0</v>
      </c>
      <c r="AV211" s="251"/>
      <c r="AW211" s="326" t="s">
        <v>48</v>
      </c>
      <c r="AX211" s="322">
        <f t="shared" si="210"/>
        <v>0</v>
      </c>
      <c r="AY211" s="251"/>
      <c r="AZ211" s="539" t="s">
        <v>58</v>
      </c>
      <c r="BA211" s="322">
        <f t="shared" ref="BA211:CE215" si="212">+COUNTIF($H$200:$H$215,AZ211)*$D$13</f>
        <v>0</v>
      </c>
      <c r="BB211" s="251"/>
      <c r="BC211" s="326" t="s">
        <v>29</v>
      </c>
      <c r="BD211" s="322">
        <f t="shared" si="212"/>
        <v>0</v>
      </c>
      <c r="BE211" s="251"/>
      <c r="BF211" s="326"/>
      <c r="BG211" s="322">
        <f t="shared" si="212"/>
        <v>0</v>
      </c>
      <c r="BH211" s="251"/>
      <c r="BI211" s="326"/>
      <c r="BJ211" s="322">
        <f t="shared" si="212"/>
        <v>0</v>
      </c>
      <c r="BK211" s="251"/>
      <c r="BL211" s="326"/>
      <c r="BM211" s="322">
        <f t="shared" si="212"/>
        <v>0</v>
      </c>
      <c r="BN211" s="251"/>
      <c r="BO211" s="326"/>
      <c r="BP211" s="322">
        <f t="shared" si="212"/>
        <v>0</v>
      </c>
      <c r="BQ211" s="251"/>
      <c r="BR211" s="326"/>
      <c r="BS211" s="322">
        <f t="shared" si="212"/>
        <v>0</v>
      </c>
      <c r="BT211" s="251"/>
      <c r="BU211" s="326"/>
      <c r="BV211" s="322">
        <f t="shared" si="212"/>
        <v>0</v>
      </c>
      <c r="BW211" s="251"/>
      <c r="BX211" s="326"/>
      <c r="BY211" s="322">
        <f t="shared" si="212"/>
        <v>0</v>
      </c>
      <c r="BZ211" s="251"/>
      <c r="CA211" s="326"/>
      <c r="CB211" s="322">
        <f t="shared" si="212"/>
        <v>0</v>
      </c>
      <c r="CC211" s="251"/>
      <c r="CD211" s="326"/>
      <c r="CE211" s="322">
        <f t="shared" si="212"/>
        <v>0</v>
      </c>
      <c r="CF211" s="251"/>
      <c r="CG211" s="251"/>
      <c r="CH211" s="251"/>
    </row>
    <row r="212" spans="1:86" ht="15" customHeight="1">
      <c r="A212" s="265"/>
      <c r="B212" s="265"/>
      <c r="C212" s="265"/>
      <c r="D212" s="265"/>
      <c r="E212" s="265"/>
      <c r="F212" s="565"/>
      <c r="G212" s="374" t="s">
        <v>198</v>
      </c>
      <c r="H212" s="320" t="str">
        <f>IF(SUM(Calcs!$B$2:$B$37)=288,League!P22,"Playoff"&amp;13)</f>
        <v>Playoff13</v>
      </c>
      <c r="I212" s="219"/>
      <c r="J212" s="458" t="s">
        <v>48</v>
      </c>
      <c r="K212" s="322">
        <f t="shared" si="209"/>
        <v>0</v>
      </c>
      <c r="L212" s="251"/>
      <c r="M212" s="326" t="s">
        <v>51</v>
      </c>
      <c r="N212" s="322">
        <f t="shared" ref="N212:BY215" si="213">+COUNTIF($H$200:$H$215,M212)*$D$13</f>
        <v>0</v>
      </c>
      <c r="O212" s="251"/>
      <c r="P212" s="326" t="s">
        <v>48</v>
      </c>
      <c r="Q212" s="322">
        <f t="shared" si="213"/>
        <v>0</v>
      </c>
      <c r="R212" s="251"/>
      <c r="S212" s="326" t="s">
        <v>55</v>
      </c>
      <c r="T212" s="322">
        <f t="shared" si="213"/>
        <v>0</v>
      </c>
      <c r="U212" s="251"/>
      <c r="V212" s="326" t="s">
        <v>48</v>
      </c>
      <c r="W212" s="322">
        <f t="shared" si="213"/>
        <v>0</v>
      </c>
      <c r="X212" s="251"/>
      <c r="Y212" s="326" t="s">
        <v>38</v>
      </c>
      <c r="Z212" s="322">
        <f t="shared" si="213"/>
        <v>0</v>
      </c>
      <c r="AA212" s="251"/>
      <c r="AB212" s="326" t="s">
        <v>38</v>
      </c>
      <c r="AC212" s="322">
        <f t="shared" si="213"/>
        <v>0</v>
      </c>
      <c r="AD212" s="251"/>
      <c r="AE212" s="326" t="s">
        <v>49</v>
      </c>
      <c r="AF212" s="322">
        <f t="shared" si="213"/>
        <v>0</v>
      </c>
      <c r="AG212" s="251"/>
      <c r="AH212" s="326" t="s">
        <v>22</v>
      </c>
      <c r="AI212" s="322">
        <f t="shared" si="213"/>
        <v>0</v>
      </c>
      <c r="AJ212" s="251"/>
      <c r="AK212" s="326" t="s">
        <v>29</v>
      </c>
      <c r="AL212" s="322">
        <f t="shared" si="213"/>
        <v>0</v>
      </c>
      <c r="AM212" s="251"/>
      <c r="AN212" s="326" t="s">
        <v>54</v>
      </c>
      <c r="AO212" s="322">
        <f t="shared" si="213"/>
        <v>0</v>
      </c>
      <c r="AP212" s="251"/>
      <c r="AQ212" s="326" t="s">
        <v>29</v>
      </c>
      <c r="AR212" s="322">
        <f t="shared" si="213"/>
        <v>0</v>
      </c>
      <c r="AS212" s="251"/>
      <c r="AT212" s="326" t="s">
        <v>33</v>
      </c>
      <c r="AU212" s="322">
        <f t="shared" si="213"/>
        <v>0</v>
      </c>
      <c r="AV212" s="251"/>
      <c r="AW212" s="326" t="s">
        <v>27</v>
      </c>
      <c r="AX212" s="322">
        <f t="shared" si="213"/>
        <v>0</v>
      </c>
      <c r="AY212" s="251"/>
      <c r="AZ212" s="539" t="s">
        <v>52</v>
      </c>
      <c r="BA212" s="322">
        <f t="shared" si="213"/>
        <v>0</v>
      </c>
      <c r="BB212" s="251"/>
      <c r="BC212" s="326" t="s">
        <v>27</v>
      </c>
      <c r="BD212" s="322">
        <f t="shared" si="213"/>
        <v>0</v>
      </c>
      <c r="BE212" s="251"/>
      <c r="BF212" s="326"/>
      <c r="BG212" s="322">
        <f t="shared" si="213"/>
        <v>0</v>
      </c>
      <c r="BH212" s="251"/>
      <c r="BI212" s="326"/>
      <c r="BJ212" s="322">
        <f t="shared" si="213"/>
        <v>0</v>
      </c>
      <c r="BK212" s="251"/>
      <c r="BL212" s="326"/>
      <c r="BM212" s="322">
        <f t="shared" si="213"/>
        <v>0</v>
      </c>
      <c r="BN212" s="251"/>
      <c r="BO212" s="326"/>
      <c r="BP212" s="322">
        <f t="shared" si="213"/>
        <v>0</v>
      </c>
      <c r="BQ212" s="251"/>
      <c r="BR212" s="326"/>
      <c r="BS212" s="322">
        <f t="shared" si="213"/>
        <v>0</v>
      </c>
      <c r="BT212" s="251"/>
      <c r="BU212" s="326"/>
      <c r="BV212" s="322">
        <f t="shared" si="213"/>
        <v>0</v>
      </c>
      <c r="BW212" s="251"/>
      <c r="BX212" s="326"/>
      <c r="BY212" s="322">
        <f t="shared" si="213"/>
        <v>0</v>
      </c>
      <c r="BZ212" s="251"/>
      <c r="CA212" s="326"/>
      <c r="CB212" s="322">
        <f t="shared" si="212"/>
        <v>0</v>
      </c>
      <c r="CC212" s="251"/>
      <c r="CD212" s="326"/>
      <c r="CE212" s="322">
        <f t="shared" si="212"/>
        <v>0</v>
      </c>
      <c r="CF212" s="251"/>
      <c r="CG212" s="251"/>
      <c r="CH212" s="251"/>
    </row>
    <row r="213" spans="1:86" ht="15" customHeight="1">
      <c r="A213" s="265"/>
      <c r="B213" s="265"/>
      <c r="C213" s="265"/>
      <c r="D213" s="265"/>
      <c r="E213" s="265"/>
      <c r="F213" s="565"/>
      <c r="G213" s="374" t="s">
        <v>198</v>
      </c>
      <c r="H213" s="320" t="str">
        <f>IF(SUM(Calcs!$B$2:$B$37)=288,League!P23,"Playoff"&amp;14)</f>
        <v>Playoff14</v>
      </c>
      <c r="I213" s="219"/>
      <c r="J213" s="458" t="s">
        <v>51</v>
      </c>
      <c r="K213" s="322">
        <f t="shared" si="209"/>
        <v>0</v>
      </c>
      <c r="L213" s="251"/>
      <c r="M213" s="326" t="s">
        <v>33</v>
      </c>
      <c r="N213" s="322">
        <f t="shared" si="213"/>
        <v>0</v>
      </c>
      <c r="O213" s="251"/>
      <c r="P213" s="326" t="s">
        <v>38</v>
      </c>
      <c r="Q213" s="322">
        <f t="shared" si="213"/>
        <v>0</v>
      </c>
      <c r="R213" s="251"/>
      <c r="S213" s="326" t="s">
        <v>46</v>
      </c>
      <c r="T213" s="322">
        <f t="shared" si="213"/>
        <v>0</v>
      </c>
      <c r="U213" s="251"/>
      <c r="V213" s="326" t="s">
        <v>58</v>
      </c>
      <c r="W213" s="322">
        <f t="shared" si="213"/>
        <v>0</v>
      </c>
      <c r="X213" s="251"/>
      <c r="Y213" s="326" t="s">
        <v>34</v>
      </c>
      <c r="Z213" s="322">
        <f t="shared" si="213"/>
        <v>0</v>
      </c>
      <c r="AA213" s="251"/>
      <c r="AB213" s="326" t="s">
        <v>46</v>
      </c>
      <c r="AC213" s="322">
        <f t="shared" si="213"/>
        <v>0</v>
      </c>
      <c r="AD213" s="251"/>
      <c r="AE213" s="326" t="s">
        <v>52</v>
      </c>
      <c r="AF213" s="322">
        <f t="shared" si="213"/>
        <v>0</v>
      </c>
      <c r="AG213" s="251"/>
      <c r="AH213" s="326" t="s">
        <v>58</v>
      </c>
      <c r="AI213" s="322">
        <f t="shared" si="213"/>
        <v>0</v>
      </c>
      <c r="AJ213" s="251"/>
      <c r="AK213" s="326" t="s">
        <v>55</v>
      </c>
      <c r="AL213" s="322">
        <f t="shared" si="213"/>
        <v>0</v>
      </c>
      <c r="AM213" s="251"/>
      <c r="AN213" s="326" t="s">
        <v>51</v>
      </c>
      <c r="AO213" s="322">
        <f t="shared" si="213"/>
        <v>0</v>
      </c>
      <c r="AP213" s="251"/>
      <c r="AQ213" s="326" t="s">
        <v>33</v>
      </c>
      <c r="AR213" s="322">
        <f t="shared" si="213"/>
        <v>0</v>
      </c>
      <c r="AS213" s="251"/>
      <c r="AT213" s="326" t="s">
        <v>58</v>
      </c>
      <c r="AU213" s="322">
        <f t="shared" si="213"/>
        <v>0</v>
      </c>
      <c r="AV213" s="251"/>
      <c r="AW213" s="326" t="s">
        <v>30</v>
      </c>
      <c r="AX213" s="322">
        <f t="shared" si="213"/>
        <v>0</v>
      </c>
      <c r="AY213" s="251"/>
      <c r="AZ213" s="539" t="s">
        <v>30</v>
      </c>
      <c r="BA213" s="322">
        <f t="shared" si="213"/>
        <v>0</v>
      </c>
      <c r="BB213" s="251"/>
      <c r="BC213" s="326" t="s">
        <v>50</v>
      </c>
      <c r="BD213" s="322">
        <f t="shared" si="213"/>
        <v>0</v>
      </c>
      <c r="BE213" s="251"/>
      <c r="BF213" s="326"/>
      <c r="BG213" s="322">
        <f t="shared" si="213"/>
        <v>0</v>
      </c>
      <c r="BH213" s="251"/>
      <c r="BI213" s="326"/>
      <c r="BJ213" s="322">
        <f t="shared" si="213"/>
        <v>0</v>
      </c>
      <c r="BK213" s="251"/>
      <c r="BL213" s="326"/>
      <c r="BM213" s="322">
        <f t="shared" si="213"/>
        <v>0</v>
      </c>
      <c r="BN213" s="251"/>
      <c r="BO213" s="326"/>
      <c r="BP213" s="322">
        <f t="shared" si="213"/>
        <v>0</v>
      </c>
      <c r="BQ213" s="251"/>
      <c r="BR213" s="326"/>
      <c r="BS213" s="322">
        <f t="shared" si="213"/>
        <v>0</v>
      </c>
      <c r="BT213" s="251"/>
      <c r="BU213" s="326"/>
      <c r="BV213" s="322">
        <f t="shared" si="213"/>
        <v>0</v>
      </c>
      <c r="BW213" s="251"/>
      <c r="BX213" s="326"/>
      <c r="BY213" s="322">
        <f t="shared" si="213"/>
        <v>0</v>
      </c>
      <c r="BZ213" s="251"/>
      <c r="CA213" s="326"/>
      <c r="CB213" s="322">
        <f t="shared" si="212"/>
        <v>0</v>
      </c>
      <c r="CC213" s="251"/>
      <c r="CD213" s="326"/>
      <c r="CE213" s="322">
        <f t="shared" si="212"/>
        <v>0</v>
      </c>
      <c r="CF213" s="251"/>
      <c r="CG213" s="251"/>
      <c r="CH213" s="251"/>
    </row>
    <row r="214" spans="1:86" ht="15" customHeight="1">
      <c r="A214" s="265"/>
      <c r="B214" s="265"/>
      <c r="C214" s="265"/>
      <c r="D214" s="265"/>
      <c r="E214" s="265"/>
      <c r="F214" s="565"/>
      <c r="G214" s="374" t="s">
        <v>198</v>
      </c>
      <c r="H214" s="320" t="str">
        <f>IF(SUM(Calcs!$B$2:$B$37)=288,League!P24,"Playoff"&amp;15)</f>
        <v>Playoff15</v>
      </c>
      <c r="I214" s="219"/>
      <c r="J214" s="458" t="s">
        <v>30</v>
      </c>
      <c r="K214" s="322">
        <f t="shared" si="209"/>
        <v>0</v>
      </c>
      <c r="L214" s="251"/>
      <c r="M214" s="326" t="s">
        <v>52</v>
      </c>
      <c r="N214" s="322">
        <f t="shared" si="213"/>
        <v>0</v>
      </c>
      <c r="O214" s="251"/>
      <c r="P214" s="326" t="s">
        <v>30</v>
      </c>
      <c r="Q214" s="322">
        <f t="shared" si="213"/>
        <v>0</v>
      </c>
      <c r="R214" s="251"/>
      <c r="S214" s="326" t="s">
        <v>51</v>
      </c>
      <c r="T214" s="322">
        <f t="shared" si="213"/>
        <v>0</v>
      </c>
      <c r="U214" s="251"/>
      <c r="V214" s="326" t="s">
        <v>36</v>
      </c>
      <c r="W214" s="322">
        <f t="shared" si="213"/>
        <v>0</v>
      </c>
      <c r="X214" s="251"/>
      <c r="Y214" s="326" t="s">
        <v>46</v>
      </c>
      <c r="Z214" s="322">
        <f t="shared" si="213"/>
        <v>0</v>
      </c>
      <c r="AA214" s="251"/>
      <c r="AB214" s="326" t="s">
        <v>24</v>
      </c>
      <c r="AC214" s="322">
        <f t="shared" si="213"/>
        <v>0</v>
      </c>
      <c r="AD214" s="251"/>
      <c r="AE214" s="326" t="s">
        <v>38</v>
      </c>
      <c r="AF214" s="322">
        <f t="shared" si="213"/>
        <v>0</v>
      </c>
      <c r="AG214" s="251"/>
      <c r="AH214" s="326" t="s">
        <v>30</v>
      </c>
      <c r="AI214" s="322">
        <f t="shared" si="213"/>
        <v>0</v>
      </c>
      <c r="AJ214" s="251"/>
      <c r="AK214" s="326" t="s">
        <v>33</v>
      </c>
      <c r="AL214" s="322">
        <f t="shared" si="213"/>
        <v>0</v>
      </c>
      <c r="AM214" s="251"/>
      <c r="AN214" s="326" t="s">
        <v>22</v>
      </c>
      <c r="AO214" s="322">
        <f t="shared" si="213"/>
        <v>0</v>
      </c>
      <c r="AP214" s="251"/>
      <c r="AQ214" s="326" t="s">
        <v>52</v>
      </c>
      <c r="AR214" s="322">
        <f t="shared" si="213"/>
        <v>0</v>
      </c>
      <c r="AS214" s="251"/>
      <c r="AT214" s="326" t="s">
        <v>55</v>
      </c>
      <c r="AU214" s="322">
        <f t="shared" si="213"/>
        <v>0</v>
      </c>
      <c r="AV214" s="251"/>
      <c r="AW214" s="326" t="s">
        <v>52</v>
      </c>
      <c r="AX214" s="322">
        <f t="shared" si="213"/>
        <v>0</v>
      </c>
      <c r="AY214" s="251"/>
      <c r="AZ214" s="539" t="s">
        <v>34</v>
      </c>
      <c r="BA214" s="322">
        <f t="shared" si="213"/>
        <v>0</v>
      </c>
      <c r="BB214" s="251"/>
      <c r="BC214" s="326" t="s">
        <v>55</v>
      </c>
      <c r="BD214" s="322">
        <f t="shared" si="213"/>
        <v>0</v>
      </c>
      <c r="BE214" s="251"/>
      <c r="BF214" s="326"/>
      <c r="BG214" s="322">
        <f t="shared" si="213"/>
        <v>0</v>
      </c>
      <c r="BH214" s="251"/>
      <c r="BI214" s="326"/>
      <c r="BJ214" s="322">
        <f t="shared" si="213"/>
        <v>0</v>
      </c>
      <c r="BK214" s="251"/>
      <c r="BL214" s="326"/>
      <c r="BM214" s="322">
        <f t="shared" si="213"/>
        <v>0</v>
      </c>
      <c r="BN214" s="251"/>
      <c r="BO214" s="326"/>
      <c r="BP214" s="322">
        <f t="shared" si="213"/>
        <v>0</v>
      </c>
      <c r="BQ214" s="251"/>
      <c r="BR214" s="326"/>
      <c r="BS214" s="322">
        <f t="shared" si="213"/>
        <v>0</v>
      </c>
      <c r="BT214" s="251"/>
      <c r="BU214" s="326"/>
      <c r="BV214" s="322">
        <f t="shared" si="213"/>
        <v>0</v>
      </c>
      <c r="BW214" s="251"/>
      <c r="BX214" s="326"/>
      <c r="BY214" s="322">
        <f t="shared" si="213"/>
        <v>0</v>
      </c>
      <c r="BZ214" s="251"/>
      <c r="CA214" s="326"/>
      <c r="CB214" s="322">
        <f t="shared" si="212"/>
        <v>0</v>
      </c>
      <c r="CC214" s="251"/>
      <c r="CD214" s="326"/>
      <c r="CE214" s="322">
        <f t="shared" si="212"/>
        <v>0</v>
      </c>
      <c r="CF214" s="251"/>
      <c r="CG214" s="251"/>
      <c r="CH214" s="251"/>
    </row>
    <row r="215" spans="1:86" ht="15" customHeight="1">
      <c r="A215" s="265"/>
      <c r="B215" s="265"/>
      <c r="C215" s="265"/>
      <c r="D215" s="265"/>
      <c r="E215" s="265"/>
      <c r="F215" s="565"/>
      <c r="G215" s="374" t="s">
        <v>198</v>
      </c>
      <c r="H215" s="320" t="str">
        <f>IF(SUM(Calcs!$B$2:$B$37)=288,League!P25,"Playoff"&amp;16)</f>
        <v>Playoff16</v>
      </c>
      <c r="I215" s="219"/>
      <c r="J215" s="458" t="s">
        <v>44</v>
      </c>
      <c r="K215" s="322">
        <f t="shared" si="209"/>
        <v>0</v>
      </c>
      <c r="L215" s="251"/>
      <c r="M215" s="326" t="s">
        <v>29</v>
      </c>
      <c r="N215" s="322">
        <f t="shared" si="213"/>
        <v>0</v>
      </c>
      <c r="O215" s="251"/>
      <c r="P215" s="326" t="s">
        <v>50</v>
      </c>
      <c r="Q215" s="322">
        <f t="shared" si="213"/>
        <v>0</v>
      </c>
      <c r="R215" s="251"/>
      <c r="S215" s="326" t="s">
        <v>47</v>
      </c>
      <c r="T215" s="322">
        <f t="shared" si="213"/>
        <v>0</v>
      </c>
      <c r="U215" s="251"/>
      <c r="V215" s="326" t="s">
        <v>32</v>
      </c>
      <c r="W215" s="322">
        <f t="shared" si="213"/>
        <v>0</v>
      </c>
      <c r="X215" s="251"/>
      <c r="Y215" s="326" t="s">
        <v>58</v>
      </c>
      <c r="Z215" s="322">
        <f t="shared" si="213"/>
        <v>0</v>
      </c>
      <c r="AA215" s="251"/>
      <c r="AB215" s="326" t="s">
        <v>47</v>
      </c>
      <c r="AC215" s="322">
        <f t="shared" si="213"/>
        <v>0</v>
      </c>
      <c r="AD215" s="251"/>
      <c r="AE215" s="326" t="s">
        <v>48</v>
      </c>
      <c r="AF215" s="322">
        <f t="shared" si="213"/>
        <v>0</v>
      </c>
      <c r="AG215" s="251"/>
      <c r="AH215" s="326" t="s">
        <v>24</v>
      </c>
      <c r="AI215" s="322">
        <f t="shared" si="213"/>
        <v>0</v>
      </c>
      <c r="AJ215" s="251"/>
      <c r="AK215" s="326" t="s">
        <v>24</v>
      </c>
      <c r="AL215" s="322">
        <f t="shared" si="213"/>
        <v>0</v>
      </c>
      <c r="AM215" s="251"/>
      <c r="AN215" s="326" t="s">
        <v>37</v>
      </c>
      <c r="AO215" s="322">
        <f t="shared" si="213"/>
        <v>0</v>
      </c>
      <c r="AP215" s="251"/>
      <c r="AQ215" s="326" t="s">
        <v>34</v>
      </c>
      <c r="AR215" s="322">
        <f t="shared" si="213"/>
        <v>0</v>
      </c>
      <c r="AS215" s="251"/>
      <c r="AT215" s="326" t="s">
        <v>22</v>
      </c>
      <c r="AU215" s="322">
        <f t="shared" si="213"/>
        <v>0</v>
      </c>
      <c r="AV215" s="251"/>
      <c r="AW215" s="326" t="s">
        <v>33</v>
      </c>
      <c r="AX215" s="322">
        <f t="shared" si="213"/>
        <v>0</v>
      </c>
      <c r="AY215" s="251"/>
      <c r="AZ215" s="539" t="s">
        <v>47</v>
      </c>
      <c r="BA215" s="322">
        <f t="shared" si="213"/>
        <v>0</v>
      </c>
      <c r="BB215" s="251"/>
      <c r="BC215" s="326" t="s">
        <v>38</v>
      </c>
      <c r="BD215" s="322">
        <f t="shared" si="213"/>
        <v>0</v>
      </c>
      <c r="BE215" s="251"/>
      <c r="BF215" s="326"/>
      <c r="BG215" s="322">
        <f t="shared" si="213"/>
        <v>0</v>
      </c>
      <c r="BH215" s="251"/>
      <c r="BI215" s="326"/>
      <c r="BJ215" s="322">
        <f t="shared" si="213"/>
        <v>0</v>
      </c>
      <c r="BK215" s="251"/>
      <c r="BL215" s="326"/>
      <c r="BM215" s="322">
        <f t="shared" si="213"/>
        <v>0</v>
      </c>
      <c r="BN215" s="251"/>
      <c r="BO215" s="326"/>
      <c r="BP215" s="322">
        <f t="shared" si="213"/>
        <v>0</v>
      </c>
      <c r="BQ215" s="251"/>
      <c r="BR215" s="326"/>
      <c r="BS215" s="322">
        <f t="shared" si="213"/>
        <v>0</v>
      </c>
      <c r="BT215" s="251"/>
      <c r="BU215" s="326"/>
      <c r="BV215" s="322">
        <f t="shared" si="213"/>
        <v>0</v>
      </c>
      <c r="BW215" s="251"/>
      <c r="BX215" s="326"/>
      <c r="BY215" s="322">
        <f t="shared" si="213"/>
        <v>0</v>
      </c>
      <c r="BZ215" s="251"/>
      <c r="CA215" s="326"/>
      <c r="CB215" s="322">
        <f t="shared" si="212"/>
        <v>0</v>
      </c>
      <c r="CC215" s="251"/>
      <c r="CD215" s="326"/>
      <c r="CE215" s="322">
        <f t="shared" si="212"/>
        <v>0</v>
      </c>
      <c r="CF215" s="251"/>
      <c r="CG215" s="251"/>
      <c r="CH215" s="251"/>
    </row>
    <row r="216" spans="1:86" s="369" customFormat="1">
      <c r="A216" s="265"/>
      <c r="B216" s="265"/>
      <c r="C216" s="265"/>
      <c r="D216" s="265"/>
      <c r="E216" s="265"/>
      <c r="F216" s="265"/>
      <c r="G216" s="265"/>
      <c r="H216" s="265"/>
      <c r="I216" s="265"/>
      <c r="J216" s="368"/>
      <c r="K216" s="265" t="str">
        <f>CONCATENATE(SUM(K200:K215),"/",$D$13*16)</f>
        <v>0/64</v>
      </c>
      <c r="L216" s="265"/>
      <c r="M216" s="368"/>
      <c r="N216" s="265" t="str">
        <f t="shared" ref="N216" si="214">CONCATENATE(SUM(N200:N215),"/",$D$13*16)</f>
        <v>0/64</v>
      </c>
      <c r="O216" s="265"/>
      <c r="P216" s="368"/>
      <c r="Q216" s="265" t="str">
        <f t="shared" ref="Q216" si="215">CONCATENATE(SUM(Q200:Q215),"/",$D$13*16)</f>
        <v>0/64</v>
      </c>
      <c r="R216" s="265"/>
      <c r="S216" s="368"/>
      <c r="T216" s="265" t="str">
        <f t="shared" ref="T216" si="216">CONCATENATE(SUM(T200:T215),"/",$D$13*16)</f>
        <v>0/64</v>
      </c>
      <c r="U216" s="265"/>
      <c r="V216" s="368"/>
      <c r="W216" s="265" t="str">
        <f t="shared" ref="W216" si="217">CONCATENATE(SUM(W200:W215),"/",$D$13*16)</f>
        <v>0/64</v>
      </c>
      <c r="X216" s="265"/>
      <c r="Y216" s="368"/>
      <c r="Z216" s="265" t="str">
        <f t="shared" ref="Z216" si="218">CONCATENATE(SUM(Z200:Z215),"/",$D$13*16)</f>
        <v>0/64</v>
      </c>
      <c r="AA216" s="265"/>
      <c r="AB216" s="368"/>
      <c r="AC216" s="265" t="str">
        <f t="shared" ref="AC216" si="219">CONCATENATE(SUM(AC200:AC215),"/",$D$13*16)</f>
        <v>0/64</v>
      </c>
      <c r="AD216" s="265"/>
      <c r="AE216" s="368"/>
      <c r="AF216" s="265" t="str">
        <f t="shared" ref="AF216" si="220">CONCATENATE(SUM(AF200:AF215),"/",$D$13*16)</f>
        <v>0/64</v>
      </c>
      <c r="AG216" s="265"/>
      <c r="AH216" s="368"/>
      <c r="AI216" s="265" t="str">
        <f t="shared" ref="AI216" si="221">CONCATENATE(SUM(AI200:AI215),"/",$D$13*16)</f>
        <v>0/64</v>
      </c>
      <c r="AJ216" s="265"/>
      <c r="AK216" s="368"/>
      <c r="AL216" s="265" t="str">
        <f t="shared" ref="AL216" si="222">CONCATENATE(SUM(AL200:AL215),"/",$D$13*16)</f>
        <v>0/64</v>
      </c>
      <c r="AM216" s="265"/>
      <c r="AN216" s="368"/>
      <c r="AO216" s="265" t="str">
        <f t="shared" ref="AO216" si="223">CONCATENATE(SUM(AO200:AO215),"/",$D$13*16)</f>
        <v>0/64</v>
      </c>
      <c r="AP216" s="265"/>
      <c r="AQ216" s="368"/>
      <c r="AR216" s="265" t="str">
        <f t="shared" ref="AR216" si="224">CONCATENATE(SUM(AR200:AR215),"/",$D$13*16)</f>
        <v>0/64</v>
      </c>
      <c r="AS216" s="265"/>
      <c r="AT216" s="368"/>
      <c r="AU216" s="265" t="str">
        <f t="shared" ref="AU216" si="225">CONCATENATE(SUM(AU200:AU215),"/",$D$13*16)</f>
        <v>0/64</v>
      </c>
      <c r="AV216" s="265"/>
      <c r="AW216" s="368"/>
      <c r="AX216" s="265" t="str">
        <f t="shared" ref="AX216" si="226">CONCATENATE(SUM(AX200:AX215),"/",$D$13*16)</f>
        <v>0/64</v>
      </c>
      <c r="AY216" s="265"/>
      <c r="AZ216" s="368"/>
      <c r="BA216" s="265" t="str">
        <f t="shared" ref="BA216" si="227">CONCATENATE(SUM(BA200:BA215),"/",$D$13*16)</f>
        <v>0/64</v>
      </c>
      <c r="BB216" s="265"/>
      <c r="BC216" s="368"/>
      <c r="BD216" s="265" t="str">
        <f t="shared" ref="BD216" si="228">CONCATENATE(SUM(BD200:BD215),"/",$D$13*16)</f>
        <v>0/64</v>
      </c>
      <c r="BE216" s="265"/>
      <c r="BF216" s="368"/>
      <c r="BG216" s="265" t="str">
        <f t="shared" ref="BG216" si="229">CONCATENATE(SUM(BG200:BG215),"/",$D$13*16)</f>
        <v>0/64</v>
      </c>
      <c r="BH216" s="265"/>
      <c r="BI216" s="368"/>
      <c r="BJ216" s="265" t="str">
        <f t="shared" ref="BJ216" si="230">CONCATENATE(SUM(BJ200:BJ215),"/",$D$13*16)</f>
        <v>0/64</v>
      </c>
      <c r="BK216" s="265"/>
      <c r="BL216" s="368"/>
      <c r="BM216" s="265" t="str">
        <f t="shared" ref="BM216" si="231">CONCATENATE(SUM(BM200:BM215),"/",$D$13*16)</f>
        <v>0/64</v>
      </c>
      <c r="BN216" s="265"/>
      <c r="BO216" s="368"/>
      <c r="BP216" s="265" t="str">
        <f t="shared" ref="BP216" si="232">CONCATENATE(SUM(BP200:BP215),"/",$D$13*16)</f>
        <v>0/64</v>
      </c>
      <c r="BQ216" s="265"/>
      <c r="BR216" s="368"/>
      <c r="BS216" s="265" t="str">
        <f t="shared" ref="BS216" si="233">CONCATENATE(SUM(BS200:BS215),"/",$D$13*16)</f>
        <v>0/64</v>
      </c>
      <c r="BT216" s="265"/>
      <c r="BU216" s="368"/>
      <c r="BV216" s="265" t="str">
        <f t="shared" ref="BV216" si="234">CONCATENATE(SUM(BV200:BV215),"/",$D$13*16)</f>
        <v>0/64</v>
      </c>
      <c r="BW216" s="265"/>
      <c r="BX216" s="368"/>
      <c r="BY216" s="265" t="str">
        <f t="shared" ref="BY216" si="235">CONCATENATE(SUM(BY200:BY215),"/",$D$13*16)</f>
        <v>0/64</v>
      </c>
      <c r="BZ216" s="265"/>
      <c r="CA216" s="368"/>
      <c r="CB216" s="265" t="str">
        <f t="shared" ref="CB216" si="236">CONCATENATE(SUM(CB200:CB215),"/",$D$13*16)</f>
        <v>0/64</v>
      </c>
      <c r="CC216" s="265"/>
      <c r="CD216" s="368"/>
      <c r="CE216" s="265" t="str">
        <f t="shared" ref="CE216" si="237">CONCATENATE(SUM(CE200:CE215),"/",$D$13*16)</f>
        <v>0/64</v>
      </c>
      <c r="CF216" s="265"/>
      <c r="CG216" s="265"/>
      <c r="CH216" s="265"/>
    </row>
    <row r="217" spans="1:86">
      <c r="A217" s="376"/>
      <c r="B217" s="376"/>
      <c r="C217" s="376"/>
      <c r="D217" s="377"/>
      <c r="E217" s="378"/>
      <c r="F217" s="379" t="s">
        <v>199</v>
      </c>
      <c r="G217" s="376"/>
      <c r="H217" s="376"/>
      <c r="I217" s="376"/>
      <c r="J217" s="380"/>
      <c r="K217" s="376"/>
      <c r="L217" s="376"/>
      <c r="M217" s="380"/>
      <c r="N217" s="376"/>
      <c r="O217" s="376"/>
      <c r="P217" s="380"/>
      <c r="Q217" s="376"/>
      <c r="R217" s="376"/>
      <c r="S217" s="380"/>
      <c r="T217" s="376"/>
      <c r="U217" s="376"/>
      <c r="V217" s="380"/>
      <c r="W217" s="376"/>
      <c r="X217" s="376"/>
      <c r="Y217" s="380"/>
      <c r="Z217" s="376"/>
      <c r="AA217" s="376"/>
      <c r="AB217" s="380"/>
      <c r="AC217" s="376"/>
      <c r="AD217" s="376"/>
      <c r="AE217" s="380"/>
      <c r="AF217" s="376"/>
      <c r="AG217" s="376"/>
      <c r="AH217" s="380"/>
      <c r="AI217" s="376"/>
      <c r="AJ217" s="376"/>
      <c r="AK217" s="380"/>
      <c r="AL217" s="376"/>
      <c r="AM217" s="376"/>
      <c r="AN217" s="380"/>
      <c r="AO217" s="376"/>
      <c r="AP217" s="376"/>
      <c r="AQ217" s="380"/>
      <c r="AR217" s="376"/>
      <c r="AS217" s="376"/>
      <c r="AT217" s="380"/>
      <c r="AU217" s="376"/>
      <c r="AV217" s="376"/>
      <c r="AW217" s="380"/>
      <c r="AX217" s="376"/>
      <c r="AY217" s="376"/>
      <c r="AZ217" s="380"/>
      <c r="BA217" s="376"/>
      <c r="BB217" s="376"/>
      <c r="BC217" s="380"/>
      <c r="BD217" s="376"/>
      <c r="BE217" s="376"/>
      <c r="BF217" s="380"/>
      <c r="BG217" s="376"/>
      <c r="BH217" s="376"/>
      <c r="BI217" s="380"/>
      <c r="BJ217" s="376"/>
      <c r="BK217" s="376"/>
      <c r="BL217" s="380"/>
      <c r="BM217" s="376"/>
      <c r="BN217" s="376"/>
      <c r="BO217" s="380"/>
      <c r="BP217" s="376"/>
      <c r="BQ217" s="376"/>
      <c r="BR217" s="380"/>
      <c r="BS217" s="376"/>
      <c r="BT217" s="376"/>
      <c r="BU217" s="380"/>
      <c r="BV217" s="376"/>
      <c r="BW217" s="376"/>
      <c r="BX217" s="380"/>
      <c r="BY217" s="376"/>
      <c r="BZ217" s="376"/>
      <c r="CA217" s="380"/>
      <c r="CB217" s="376"/>
      <c r="CC217" s="376"/>
      <c r="CD217" s="380"/>
      <c r="CE217" s="376"/>
      <c r="CF217" s="376"/>
      <c r="CG217" s="376"/>
      <c r="CH217" s="376"/>
    </row>
    <row r="218" spans="1:86" ht="15.95">
      <c r="A218" s="265"/>
      <c r="B218" s="265"/>
      <c r="C218" s="265"/>
      <c r="D218" s="265"/>
      <c r="E218" s="265"/>
      <c r="F218" s="265"/>
      <c r="G218" s="316" t="s">
        <v>200</v>
      </c>
      <c r="H218" s="370"/>
      <c r="I218" s="219"/>
      <c r="J218" s="371"/>
      <c r="K218" s="219"/>
      <c r="L218" s="251"/>
      <c r="M218" s="371"/>
      <c r="N218" s="219"/>
      <c r="O218" s="251"/>
      <c r="P218" s="371"/>
      <c r="Q218" s="219"/>
      <c r="R218" s="251"/>
      <c r="S218" s="371"/>
      <c r="T218" s="219"/>
      <c r="U218" s="251"/>
      <c r="V218" s="371"/>
      <c r="W218" s="219"/>
      <c r="X218" s="251"/>
      <c r="Y218" s="371"/>
      <c r="Z218" s="219"/>
      <c r="AA218" s="251"/>
      <c r="AB218" s="371"/>
      <c r="AC218" s="219"/>
      <c r="AD218" s="251"/>
      <c r="AE218" s="371"/>
      <c r="AF218" s="219"/>
      <c r="AG218" s="251"/>
      <c r="AH218" s="371"/>
      <c r="AI218" s="219"/>
      <c r="AJ218" s="251"/>
      <c r="AK218" s="371"/>
      <c r="AL218" s="219"/>
      <c r="AM218" s="251"/>
      <c r="AN218" s="371"/>
      <c r="AO218" s="219"/>
      <c r="AP218" s="251"/>
      <c r="AQ218" s="371"/>
      <c r="AR218" s="219"/>
      <c r="AS218" s="251"/>
      <c r="AT218" s="371"/>
      <c r="AU218" s="219"/>
      <c r="AV218" s="251"/>
      <c r="AW218" s="371"/>
      <c r="AX218" s="219"/>
      <c r="AY218" s="251"/>
      <c r="AZ218" s="371"/>
      <c r="BA218" s="219"/>
      <c r="BB218" s="251"/>
      <c r="BC218" s="371"/>
      <c r="BD218" s="219"/>
      <c r="BE218" s="251"/>
      <c r="BF218" s="371"/>
      <c r="BG218" s="219"/>
      <c r="BH218" s="251"/>
      <c r="BI218" s="371"/>
      <c r="BJ218" s="219"/>
      <c r="BK218" s="251"/>
      <c r="BL218" s="371"/>
      <c r="BM218" s="219"/>
      <c r="BN218" s="251"/>
      <c r="BO218" s="371"/>
      <c r="BP218" s="219"/>
      <c r="BQ218" s="251"/>
      <c r="BR218" s="371"/>
      <c r="BS218" s="219"/>
      <c r="BT218" s="251"/>
      <c r="BU218" s="371"/>
      <c r="BV218" s="219"/>
      <c r="BW218" s="251"/>
      <c r="BX218" s="371"/>
      <c r="BY218" s="219"/>
      <c r="BZ218" s="251"/>
      <c r="CA218" s="371"/>
      <c r="CB218" s="219"/>
      <c r="CC218" s="251"/>
      <c r="CD218" s="371"/>
      <c r="CE218" s="219"/>
      <c r="CF218" s="251"/>
      <c r="CG218" s="251"/>
      <c r="CH218" s="251"/>
    </row>
    <row r="219" spans="1:86" ht="15" customHeight="1">
      <c r="A219" s="265"/>
      <c r="B219" s="265"/>
      <c r="C219" s="265"/>
      <c r="D219" s="265"/>
      <c r="E219" s="265"/>
      <c r="F219" s="565" t="s">
        <v>197</v>
      </c>
      <c r="G219" s="374" t="str">
        <f>CONCATENATE(League!D148,"-",League!K148)</f>
        <v>21/22-11/12</v>
      </c>
      <c r="H219" s="320" t="str">
        <f>CONCATENATE(IF(League!G148&gt;League!H148,1,IF(League!G148&lt;League!H148,2,IF(AND(League!G148=League!H148,League!G148&lt;&gt;"",League!H148&lt;&gt;""),"X",0))),"|",League!G148,"-",League!H148)</f>
        <v>0|-</v>
      </c>
      <c r="I219" s="219"/>
      <c r="J219" s="326" t="str">
        <f>+Idiomas!$D$246</f>
        <v>Pegar Valores Playoffs</v>
      </c>
      <c r="K219" s="322">
        <f t="shared" ref="K219:K234" si="238">IFERROR(SUM(IF($H219=J219,$D$16),IF(LEFT($H219,1)=LEFT(J219,1),$D$14),IF(MID($H219,FIND("|",$H219)+1,FIND("-",$H219)-FIND("|",$H219)-1)-MID($H219,FIND("-",$H219)+1,11)=MID(J219,FIND("|",J219)+1,FIND("-",J219)-FIND("|",J219)-1)-MID(J219,FIND("-",J219)+1,11),$D$15)),)</f>
        <v>0</v>
      </c>
      <c r="L219" s="251"/>
      <c r="M219" s="326" t="str">
        <f>+Idiomas!$D$246</f>
        <v>Pegar Valores Playoffs</v>
      </c>
      <c r="N219" s="322">
        <f t="shared" ref="N219:BY230" si="239">IFERROR(SUM(IF($H219=M219,$D$16),IF(LEFT($H219,1)=LEFT(M219,1),$D$14),IF(MID($H219,FIND("|",$H219)+1,FIND("-",$H219)-FIND("|",$H219)-1)-MID($H219,FIND("-",$H219)+1,11)=MID(M219,FIND("|",M219)+1,FIND("-",M219)-FIND("|",M219)-1)-MID(M219,FIND("-",M219)+1,11),$D$15)),)</f>
        <v>0</v>
      </c>
      <c r="O219" s="251"/>
      <c r="P219" s="326" t="str">
        <f>+Idiomas!$D$246</f>
        <v>Pegar Valores Playoffs</v>
      </c>
      <c r="Q219" s="322">
        <f t="shared" si="239"/>
        <v>0</v>
      </c>
      <c r="R219" s="251"/>
      <c r="S219" s="326" t="str">
        <f>+Idiomas!$D$246</f>
        <v>Pegar Valores Playoffs</v>
      </c>
      <c r="T219" s="322">
        <f t="shared" si="239"/>
        <v>0</v>
      </c>
      <c r="U219" s="251"/>
      <c r="V219" s="326" t="str">
        <f>+Idiomas!$D$246</f>
        <v>Pegar Valores Playoffs</v>
      </c>
      <c r="W219" s="322">
        <f t="shared" si="239"/>
        <v>0</v>
      </c>
      <c r="X219" s="251"/>
      <c r="Y219" s="326" t="str">
        <f>+Idiomas!$D$246</f>
        <v>Pegar Valores Playoffs</v>
      </c>
      <c r="Z219" s="322">
        <f t="shared" si="239"/>
        <v>0</v>
      </c>
      <c r="AA219" s="251"/>
      <c r="AB219" s="326" t="str">
        <f>+Idiomas!$D$246</f>
        <v>Pegar Valores Playoffs</v>
      </c>
      <c r="AC219" s="322">
        <f t="shared" si="239"/>
        <v>0</v>
      </c>
      <c r="AD219" s="251"/>
      <c r="AE219" s="326" t="str">
        <f>+Idiomas!$D$246</f>
        <v>Pegar Valores Playoffs</v>
      </c>
      <c r="AF219" s="322">
        <f t="shared" si="239"/>
        <v>0</v>
      </c>
      <c r="AG219" s="251"/>
      <c r="AH219" s="326" t="str">
        <f>+Idiomas!$D$246</f>
        <v>Pegar Valores Playoffs</v>
      </c>
      <c r="AI219" s="322">
        <f t="shared" si="239"/>
        <v>0</v>
      </c>
      <c r="AJ219" s="251"/>
      <c r="AK219" s="326" t="str">
        <f>+Idiomas!$D$246</f>
        <v>Pegar Valores Playoffs</v>
      </c>
      <c r="AL219" s="322">
        <f t="shared" si="239"/>
        <v>0</v>
      </c>
      <c r="AM219" s="251"/>
      <c r="AN219" s="326" t="str">
        <f>+Idiomas!$D$246</f>
        <v>Pegar Valores Playoffs</v>
      </c>
      <c r="AO219" s="322">
        <f t="shared" si="239"/>
        <v>0</v>
      </c>
      <c r="AP219" s="251"/>
      <c r="AQ219" s="326" t="str">
        <f>+Idiomas!$D$246</f>
        <v>Pegar Valores Playoffs</v>
      </c>
      <c r="AR219" s="322">
        <f t="shared" si="239"/>
        <v>0</v>
      </c>
      <c r="AS219" s="251"/>
      <c r="AT219" s="326" t="str">
        <f>+Idiomas!$D$246</f>
        <v>Pegar Valores Playoffs</v>
      </c>
      <c r="AU219" s="322">
        <f t="shared" si="239"/>
        <v>0</v>
      </c>
      <c r="AV219" s="251"/>
      <c r="AW219" s="326" t="str">
        <f>+Idiomas!$D$246</f>
        <v>Pegar Valores Playoffs</v>
      </c>
      <c r="AX219" s="322">
        <f t="shared" si="239"/>
        <v>0</v>
      </c>
      <c r="AY219" s="251"/>
      <c r="AZ219" s="326" t="str">
        <f>+Idiomas!$D$246</f>
        <v>Pegar Valores Playoffs</v>
      </c>
      <c r="BA219" s="322">
        <f t="shared" si="239"/>
        <v>0</v>
      </c>
      <c r="BB219" s="251"/>
      <c r="BC219" s="326" t="str">
        <f>+Idiomas!$D$246</f>
        <v>Pegar Valores Playoffs</v>
      </c>
      <c r="BD219" s="322">
        <f t="shared" si="239"/>
        <v>0</v>
      </c>
      <c r="BE219" s="251"/>
      <c r="BF219" s="326" t="str">
        <f>+Idiomas!$D$246</f>
        <v>Pegar Valores Playoffs</v>
      </c>
      <c r="BG219" s="322">
        <f t="shared" si="239"/>
        <v>0</v>
      </c>
      <c r="BH219" s="251"/>
      <c r="BI219" s="326" t="str">
        <f>+Idiomas!$D$246</f>
        <v>Pegar Valores Playoffs</v>
      </c>
      <c r="BJ219" s="322">
        <f t="shared" si="239"/>
        <v>0</v>
      </c>
      <c r="BK219" s="251"/>
      <c r="BL219" s="326" t="str">
        <f>+Idiomas!$D$246</f>
        <v>Pegar Valores Playoffs</v>
      </c>
      <c r="BM219" s="322">
        <f t="shared" si="239"/>
        <v>0</v>
      </c>
      <c r="BN219" s="251"/>
      <c r="BO219" s="326" t="str">
        <f>+Idiomas!$D$246</f>
        <v>Pegar Valores Playoffs</v>
      </c>
      <c r="BP219" s="322">
        <f t="shared" si="239"/>
        <v>0</v>
      </c>
      <c r="BQ219" s="251"/>
      <c r="BR219" s="326" t="str">
        <f>+Idiomas!$D$246</f>
        <v>Pegar Valores Playoffs</v>
      </c>
      <c r="BS219" s="322">
        <f t="shared" si="239"/>
        <v>0</v>
      </c>
      <c r="BT219" s="251"/>
      <c r="BU219" s="326" t="str">
        <f>+Idiomas!$D$246</f>
        <v>Pegar Valores Playoffs</v>
      </c>
      <c r="BV219" s="322">
        <f t="shared" si="239"/>
        <v>0</v>
      </c>
      <c r="BW219" s="251"/>
      <c r="BX219" s="326" t="str">
        <f>+Idiomas!$D$246</f>
        <v>Pegar Valores Playoffs</v>
      </c>
      <c r="BY219" s="322">
        <f t="shared" si="239"/>
        <v>0</v>
      </c>
      <c r="BZ219" s="251"/>
      <c r="CA219" s="326" t="str">
        <f>+Idiomas!$D$246</f>
        <v>Pegar Valores Playoffs</v>
      </c>
      <c r="CB219" s="322">
        <f t="shared" ref="CB219:CE229" si="240">IFERROR(SUM(IF($H219=CA219,$D$16),IF(LEFT($H219,1)=LEFT(CA219,1),$D$14),IF(MID($H219,FIND("|",$H219)+1,FIND("-",$H219)-FIND("|",$H219)-1)-MID($H219,FIND("-",$H219)+1,11)=MID(CA219,FIND("|",CA219)+1,FIND("-",CA219)-FIND("|",CA219)-1)-MID(CA219,FIND("-",CA219)+1,11),$D$15)),)</f>
        <v>0</v>
      </c>
      <c r="CC219" s="251"/>
      <c r="CD219" s="326" t="str">
        <f>+Idiomas!$D$246</f>
        <v>Pegar Valores Playoffs</v>
      </c>
      <c r="CE219" s="322">
        <f t="shared" si="240"/>
        <v>0</v>
      </c>
      <c r="CF219" s="251"/>
      <c r="CG219" s="251"/>
      <c r="CH219" s="251"/>
    </row>
    <row r="220" spans="1:86" ht="15" customHeight="1">
      <c r="A220" s="265"/>
      <c r="B220" s="265"/>
      <c r="C220" s="265"/>
      <c r="D220" s="265"/>
      <c r="E220" s="265"/>
      <c r="F220" s="565"/>
      <c r="G220" s="381" t="str">
        <f>CONCATENATE(League!D150,"-",League!K150)</f>
        <v>19/20-13/14</v>
      </c>
      <c r="H220" s="320" t="str">
        <f>CONCATENATE(IF(League!G150&gt;League!H150,1,IF(League!G150&lt;League!H150,2,IF(AND(League!G150=League!H150,League!G150&lt;&gt;"",League!H150&lt;&gt;""),"X",0))),"|",League!G150,"-",League!H150)</f>
        <v>0|-</v>
      </c>
      <c r="I220" s="219"/>
      <c r="J220" s="326"/>
      <c r="K220" s="322">
        <f t="shared" si="238"/>
        <v>0</v>
      </c>
      <c r="L220" s="251"/>
      <c r="M220" s="326"/>
      <c r="N220" s="322">
        <f t="shared" si="239"/>
        <v>0</v>
      </c>
      <c r="O220" s="251"/>
      <c r="P220" s="326"/>
      <c r="Q220" s="322">
        <f t="shared" si="239"/>
        <v>0</v>
      </c>
      <c r="R220" s="251"/>
      <c r="S220" s="326"/>
      <c r="T220" s="322">
        <f t="shared" si="239"/>
        <v>0</v>
      </c>
      <c r="U220" s="251"/>
      <c r="V220" s="326"/>
      <c r="W220" s="322">
        <f t="shared" si="239"/>
        <v>0</v>
      </c>
      <c r="X220" s="251"/>
      <c r="Y220" s="326"/>
      <c r="Z220" s="322">
        <f t="shared" si="239"/>
        <v>0</v>
      </c>
      <c r="AA220" s="251"/>
      <c r="AB220" s="326"/>
      <c r="AC220" s="322">
        <f t="shared" si="239"/>
        <v>0</v>
      </c>
      <c r="AD220" s="251"/>
      <c r="AE220" s="326"/>
      <c r="AF220" s="322">
        <f t="shared" si="239"/>
        <v>0</v>
      </c>
      <c r="AG220" s="251"/>
      <c r="AH220" s="326"/>
      <c r="AI220" s="322">
        <f t="shared" si="239"/>
        <v>0</v>
      </c>
      <c r="AJ220" s="251"/>
      <c r="AK220" s="326"/>
      <c r="AL220" s="322">
        <f t="shared" si="239"/>
        <v>0</v>
      </c>
      <c r="AM220" s="251"/>
      <c r="AN220" s="326"/>
      <c r="AO220" s="322">
        <f t="shared" si="239"/>
        <v>0</v>
      </c>
      <c r="AP220" s="251"/>
      <c r="AQ220" s="326"/>
      <c r="AR220" s="322">
        <f t="shared" si="239"/>
        <v>0</v>
      </c>
      <c r="AS220" s="251"/>
      <c r="AT220" s="326"/>
      <c r="AU220" s="322">
        <f t="shared" si="239"/>
        <v>0</v>
      </c>
      <c r="AV220" s="251"/>
      <c r="AW220" s="326"/>
      <c r="AX220" s="322">
        <f t="shared" si="239"/>
        <v>0</v>
      </c>
      <c r="AY220" s="251"/>
      <c r="AZ220" s="326"/>
      <c r="BA220" s="322">
        <f t="shared" si="239"/>
        <v>0</v>
      </c>
      <c r="BB220" s="251"/>
      <c r="BC220" s="326"/>
      <c r="BD220" s="322">
        <f t="shared" si="239"/>
        <v>0</v>
      </c>
      <c r="BE220" s="251"/>
      <c r="BF220" s="326"/>
      <c r="BG220" s="322">
        <f t="shared" si="239"/>
        <v>0</v>
      </c>
      <c r="BH220" s="251"/>
      <c r="BI220" s="326"/>
      <c r="BJ220" s="322">
        <f t="shared" si="239"/>
        <v>0</v>
      </c>
      <c r="BK220" s="251"/>
      <c r="BL220" s="326"/>
      <c r="BM220" s="322">
        <f t="shared" si="239"/>
        <v>0</v>
      </c>
      <c r="BN220" s="251"/>
      <c r="BO220" s="326"/>
      <c r="BP220" s="322">
        <f t="shared" si="239"/>
        <v>0</v>
      </c>
      <c r="BQ220" s="251"/>
      <c r="BR220" s="326"/>
      <c r="BS220" s="322">
        <f t="shared" si="239"/>
        <v>0</v>
      </c>
      <c r="BT220" s="251"/>
      <c r="BU220" s="326"/>
      <c r="BV220" s="322">
        <f t="shared" si="239"/>
        <v>0</v>
      </c>
      <c r="BW220" s="251"/>
      <c r="BX220" s="326"/>
      <c r="BY220" s="322">
        <f t="shared" si="239"/>
        <v>0</v>
      </c>
      <c r="BZ220" s="251"/>
      <c r="CA220" s="326"/>
      <c r="CB220" s="322">
        <f t="shared" si="240"/>
        <v>0</v>
      </c>
      <c r="CC220" s="251"/>
      <c r="CD220" s="326"/>
      <c r="CE220" s="322">
        <f t="shared" si="240"/>
        <v>0</v>
      </c>
      <c r="CF220" s="251"/>
      <c r="CG220" s="251"/>
      <c r="CH220" s="251"/>
    </row>
    <row r="221" spans="1:86" ht="15" customHeight="1">
      <c r="A221" s="265"/>
      <c r="B221" s="265"/>
      <c r="C221" s="265"/>
      <c r="D221" s="265"/>
      <c r="E221" s="265"/>
      <c r="F221" s="565"/>
      <c r="G221" s="381" t="str">
        <f>CONCATENATE(League!D152,"-",League!K152)</f>
        <v>23/24-9/10</v>
      </c>
      <c r="H221" s="320" t="str">
        <f>CONCATENATE(IF(League!G152&gt;League!H152,1,IF(League!G152&lt;League!H152,2,IF(AND(League!G152=League!H152,League!G152&lt;&gt;"",League!H152&lt;&gt;""),"X",0))),"|",League!G152,"-",League!H152)</f>
        <v>0|-</v>
      </c>
      <c r="I221" s="219"/>
      <c r="J221" s="326"/>
      <c r="K221" s="322">
        <f t="shared" si="238"/>
        <v>0</v>
      </c>
      <c r="L221" s="251"/>
      <c r="M221" s="326"/>
      <c r="N221" s="322">
        <f t="shared" si="239"/>
        <v>0</v>
      </c>
      <c r="O221" s="251"/>
      <c r="P221" s="326"/>
      <c r="Q221" s="322">
        <f t="shared" si="239"/>
        <v>0</v>
      </c>
      <c r="R221" s="251"/>
      <c r="S221" s="326"/>
      <c r="T221" s="322">
        <f t="shared" si="239"/>
        <v>0</v>
      </c>
      <c r="U221" s="251"/>
      <c r="V221" s="326"/>
      <c r="W221" s="322">
        <f t="shared" si="239"/>
        <v>0</v>
      </c>
      <c r="X221" s="251"/>
      <c r="Y221" s="326"/>
      <c r="Z221" s="322">
        <f t="shared" si="239"/>
        <v>0</v>
      </c>
      <c r="AA221" s="251"/>
      <c r="AB221" s="326"/>
      <c r="AC221" s="322">
        <f t="shared" si="239"/>
        <v>0</v>
      </c>
      <c r="AD221" s="251"/>
      <c r="AE221" s="326"/>
      <c r="AF221" s="322">
        <f t="shared" si="239"/>
        <v>0</v>
      </c>
      <c r="AG221" s="251"/>
      <c r="AH221" s="326"/>
      <c r="AI221" s="322">
        <f t="shared" si="239"/>
        <v>0</v>
      </c>
      <c r="AJ221" s="251"/>
      <c r="AK221" s="326"/>
      <c r="AL221" s="322">
        <f t="shared" si="239"/>
        <v>0</v>
      </c>
      <c r="AM221" s="251"/>
      <c r="AN221" s="326"/>
      <c r="AO221" s="322">
        <f t="shared" si="239"/>
        <v>0</v>
      </c>
      <c r="AP221" s="251"/>
      <c r="AQ221" s="326"/>
      <c r="AR221" s="322">
        <f t="shared" si="239"/>
        <v>0</v>
      </c>
      <c r="AS221" s="251"/>
      <c r="AT221" s="326"/>
      <c r="AU221" s="322">
        <f t="shared" si="239"/>
        <v>0</v>
      </c>
      <c r="AV221" s="251"/>
      <c r="AW221" s="326"/>
      <c r="AX221" s="322">
        <f t="shared" si="239"/>
        <v>0</v>
      </c>
      <c r="AY221" s="251"/>
      <c r="AZ221" s="326"/>
      <c r="BA221" s="322">
        <f t="shared" si="239"/>
        <v>0</v>
      </c>
      <c r="BB221" s="251"/>
      <c r="BC221" s="326"/>
      <c r="BD221" s="322">
        <f t="shared" si="239"/>
        <v>0</v>
      </c>
      <c r="BE221" s="251"/>
      <c r="BF221" s="326"/>
      <c r="BG221" s="322">
        <f t="shared" si="239"/>
        <v>0</v>
      </c>
      <c r="BH221" s="251"/>
      <c r="BI221" s="326"/>
      <c r="BJ221" s="322">
        <f t="shared" si="239"/>
        <v>0</v>
      </c>
      <c r="BK221" s="251"/>
      <c r="BL221" s="326"/>
      <c r="BM221" s="322">
        <f t="shared" si="239"/>
        <v>0</v>
      </c>
      <c r="BN221" s="251"/>
      <c r="BO221" s="326"/>
      <c r="BP221" s="322">
        <f t="shared" si="239"/>
        <v>0</v>
      </c>
      <c r="BQ221" s="251"/>
      <c r="BR221" s="326"/>
      <c r="BS221" s="322">
        <f t="shared" si="239"/>
        <v>0</v>
      </c>
      <c r="BT221" s="251"/>
      <c r="BU221" s="326"/>
      <c r="BV221" s="322">
        <f t="shared" si="239"/>
        <v>0</v>
      </c>
      <c r="BW221" s="251"/>
      <c r="BX221" s="326"/>
      <c r="BY221" s="322">
        <f t="shared" si="239"/>
        <v>0</v>
      </c>
      <c r="BZ221" s="251"/>
      <c r="CA221" s="326"/>
      <c r="CB221" s="322">
        <f t="shared" si="240"/>
        <v>0</v>
      </c>
      <c r="CC221" s="251"/>
      <c r="CD221" s="326"/>
      <c r="CE221" s="322">
        <f t="shared" si="240"/>
        <v>0</v>
      </c>
      <c r="CF221" s="251"/>
      <c r="CG221" s="251"/>
      <c r="CH221" s="251"/>
    </row>
    <row r="222" spans="1:86" ht="15" customHeight="1">
      <c r="A222" s="265"/>
      <c r="B222" s="265"/>
      <c r="C222" s="265"/>
      <c r="D222" s="265"/>
      <c r="E222" s="265"/>
      <c r="F222" s="565"/>
      <c r="G222" s="381" t="str">
        <f>CONCATENATE(League!D154,"-",League!K154)</f>
        <v>17/18-15/16</v>
      </c>
      <c r="H222" s="320" t="str">
        <f>CONCATENATE(IF(League!G154&gt;League!H154,1,IF(League!G154&lt;League!H154,2,IF(AND(League!G154=League!H154,League!G154&lt;&gt;"",League!H154&lt;&gt;""),"X",0))),"|",League!G154,"-",League!H154)</f>
        <v>0|-</v>
      </c>
      <c r="I222" s="219"/>
      <c r="J222" s="326"/>
      <c r="K222" s="322">
        <f t="shared" si="238"/>
        <v>0</v>
      </c>
      <c r="L222" s="251"/>
      <c r="M222" s="326"/>
      <c r="N222" s="322">
        <f t="shared" si="239"/>
        <v>0</v>
      </c>
      <c r="O222" s="251"/>
      <c r="P222" s="326"/>
      <c r="Q222" s="322">
        <f t="shared" si="239"/>
        <v>0</v>
      </c>
      <c r="R222" s="251"/>
      <c r="S222" s="326"/>
      <c r="T222" s="322">
        <f t="shared" si="239"/>
        <v>0</v>
      </c>
      <c r="U222" s="251"/>
      <c r="V222" s="326"/>
      <c r="W222" s="322">
        <f t="shared" si="239"/>
        <v>0</v>
      </c>
      <c r="X222" s="251"/>
      <c r="Y222" s="326"/>
      <c r="Z222" s="322">
        <f t="shared" si="239"/>
        <v>0</v>
      </c>
      <c r="AA222" s="251"/>
      <c r="AB222" s="326"/>
      <c r="AC222" s="322">
        <f t="shared" si="239"/>
        <v>0</v>
      </c>
      <c r="AD222" s="251"/>
      <c r="AE222" s="326"/>
      <c r="AF222" s="322">
        <f t="shared" si="239"/>
        <v>0</v>
      </c>
      <c r="AG222" s="251"/>
      <c r="AH222" s="326"/>
      <c r="AI222" s="322">
        <f t="shared" si="239"/>
        <v>0</v>
      </c>
      <c r="AJ222" s="251"/>
      <c r="AK222" s="326"/>
      <c r="AL222" s="322">
        <f t="shared" si="239"/>
        <v>0</v>
      </c>
      <c r="AM222" s="251"/>
      <c r="AN222" s="326"/>
      <c r="AO222" s="322">
        <f t="shared" si="239"/>
        <v>0</v>
      </c>
      <c r="AP222" s="251"/>
      <c r="AQ222" s="326"/>
      <c r="AR222" s="322">
        <f t="shared" si="239"/>
        <v>0</v>
      </c>
      <c r="AS222" s="251"/>
      <c r="AT222" s="326"/>
      <c r="AU222" s="322">
        <f t="shared" si="239"/>
        <v>0</v>
      </c>
      <c r="AV222" s="251"/>
      <c r="AW222" s="326"/>
      <c r="AX222" s="322">
        <f t="shared" si="239"/>
        <v>0</v>
      </c>
      <c r="AY222" s="251"/>
      <c r="AZ222" s="326"/>
      <c r="BA222" s="322">
        <f t="shared" si="239"/>
        <v>0</v>
      </c>
      <c r="BB222" s="251"/>
      <c r="BC222" s="326"/>
      <c r="BD222" s="322">
        <f t="shared" si="239"/>
        <v>0</v>
      </c>
      <c r="BE222" s="251"/>
      <c r="BF222" s="326"/>
      <c r="BG222" s="322">
        <f t="shared" si="239"/>
        <v>0</v>
      </c>
      <c r="BH222" s="251"/>
      <c r="BI222" s="326"/>
      <c r="BJ222" s="322">
        <f t="shared" si="239"/>
        <v>0</v>
      </c>
      <c r="BK222" s="251"/>
      <c r="BL222" s="326"/>
      <c r="BM222" s="322">
        <f t="shared" si="239"/>
        <v>0</v>
      </c>
      <c r="BN222" s="251"/>
      <c r="BO222" s="326"/>
      <c r="BP222" s="322">
        <f t="shared" si="239"/>
        <v>0</v>
      </c>
      <c r="BQ222" s="251"/>
      <c r="BR222" s="326"/>
      <c r="BS222" s="322">
        <f t="shared" si="239"/>
        <v>0</v>
      </c>
      <c r="BT222" s="251"/>
      <c r="BU222" s="326"/>
      <c r="BV222" s="322">
        <f t="shared" si="239"/>
        <v>0</v>
      </c>
      <c r="BW222" s="251"/>
      <c r="BX222" s="326"/>
      <c r="BY222" s="322">
        <f t="shared" si="239"/>
        <v>0</v>
      </c>
      <c r="BZ222" s="251"/>
      <c r="CA222" s="326"/>
      <c r="CB222" s="322">
        <f t="shared" si="240"/>
        <v>0</v>
      </c>
      <c r="CC222" s="251"/>
      <c r="CD222" s="326"/>
      <c r="CE222" s="322">
        <f t="shared" si="240"/>
        <v>0</v>
      </c>
      <c r="CF222" s="251"/>
      <c r="CG222" s="251"/>
      <c r="CH222" s="251"/>
    </row>
    <row r="223" spans="1:86" ht="15" customHeight="1">
      <c r="A223" s="265"/>
      <c r="B223" s="265"/>
      <c r="C223" s="265"/>
      <c r="D223" s="265"/>
      <c r="E223" s="265"/>
      <c r="F223" s="565"/>
      <c r="G223" s="381" t="str">
        <f>CONCATENATE(League!D156,"-",League!K156)</f>
        <v>22/21-12/11</v>
      </c>
      <c r="H223" s="320" t="str">
        <f>CONCATENATE(IF(League!G156&gt;League!H156,1,IF(League!G156&lt;League!H156,2,IF(AND(League!G156=League!H156,League!G156&lt;&gt;"",League!H156&lt;&gt;""),"X",0))),"|",League!G156,"-",League!H156)</f>
        <v>0|-</v>
      </c>
      <c r="I223" s="219"/>
      <c r="J223" s="326"/>
      <c r="K223" s="322">
        <f t="shared" si="238"/>
        <v>0</v>
      </c>
      <c r="L223" s="251"/>
      <c r="M223" s="326"/>
      <c r="N223" s="322">
        <f t="shared" si="239"/>
        <v>0</v>
      </c>
      <c r="O223" s="251"/>
      <c r="P223" s="326"/>
      <c r="Q223" s="322">
        <f t="shared" si="239"/>
        <v>0</v>
      </c>
      <c r="R223" s="251"/>
      <c r="S223" s="326"/>
      <c r="T223" s="322">
        <f t="shared" si="239"/>
        <v>0</v>
      </c>
      <c r="U223" s="251"/>
      <c r="V223" s="326"/>
      <c r="W223" s="322">
        <f t="shared" si="239"/>
        <v>0</v>
      </c>
      <c r="X223" s="251"/>
      <c r="Y223" s="326"/>
      <c r="Z223" s="322">
        <f t="shared" si="239"/>
        <v>0</v>
      </c>
      <c r="AA223" s="251"/>
      <c r="AB223" s="326"/>
      <c r="AC223" s="322">
        <f t="shared" si="239"/>
        <v>0</v>
      </c>
      <c r="AD223" s="251"/>
      <c r="AE223" s="326"/>
      <c r="AF223" s="322">
        <f t="shared" si="239"/>
        <v>0</v>
      </c>
      <c r="AG223" s="251"/>
      <c r="AH223" s="326"/>
      <c r="AI223" s="322">
        <f t="shared" si="239"/>
        <v>0</v>
      </c>
      <c r="AJ223" s="251"/>
      <c r="AK223" s="326"/>
      <c r="AL223" s="322">
        <f t="shared" si="239"/>
        <v>0</v>
      </c>
      <c r="AM223" s="251"/>
      <c r="AN223" s="326"/>
      <c r="AO223" s="322">
        <f t="shared" si="239"/>
        <v>0</v>
      </c>
      <c r="AP223" s="251"/>
      <c r="AQ223" s="326"/>
      <c r="AR223" s="322">
        <f t="shared" si="239"/>
        <v>0</v>
      </c>
      <c r="AS223" s="251"/>
      <c r="AT223" s="326"/>
      <c r="AU223" s="322">
        <f t="shared" si="239"/>
        <v>0</v>
      </c>
      <c r="AV223" s="251"/>
      <c r="AW223" s="326"/>
      <c r="AX223" s="322">
        <f t="shared" si="239"/>
        <v>0</v>
      </c>
      <c r="AY223" s="251"/>
      <c r="AZ223" s="326"/>
      <c r="BA223" s="322">
        <f t="shared" si="239"/>
        <v>0</v>
      </c>
      <c r="BB223" s="251"/>
      <c r="BC223" s="326"/>
      <c r="BD223" s="322">
        <f t="shared" si="239"/>
        <v>0</v>
      </c>
      <c r="BE223" s="251"/>
      <c r="BF223" s="326"/>
      <c r="BG223" s="322">
        <f t="shared" si="239"/>
        <v>0</v>
      </c>
      <c r="BH223" s="251"/>
      <c r="BI223" s="326"/>
      <c r="BJ223" s="322">
        <f t="shared" si="239"/>
        <v>0</v>
      </c>
      <c r="BK223" s="251"/>
      <c r="BL223" s="326"/>
      <c r="BM223" s="322">
        <f t="shared" si="239"/>
        <v>0</v>
      </c>
      <c r="BN223" s="251"/>
      <c r="BO223" s="326"/>
      <c r="BP223" s="322">
        <f t="shared" si="239"/>
        <v>0</v>
      </c>
      <c r="BQ223" s="251"/>
      <c r="BR223" s="326"/>
      <c r="BS223" s="322">
        <f t="shared" si="239"/>
        <v>0</v>
      </c>
      <c r="BT223" s="251"/>
      <c r="BU223" s="326"/>
      <c r="BV223" s="322">
        <f t="shared" si="239"/>
        <v>0</v>
      </c>
      <c r="BW223" s="251"/>
      <c r="BX223" s="326"/>
      <c r="BY223" s="322">
        <f t="shared" si="239"/>
        <v>0</v>
      </c>
      <c r="BZ223" s="251"/>
      <c r="CA223" s="326"/>
      <c r="CB223" s="322">
        <f t="shared" si="240"/>
        <v>0</v>
      </c>
      <c r="CC223" s="251"/>
      <c r="CD223" s="326"/>
      <c r="CE223" s="322">
        <f t="shared" si="240"/>
        <v>0</v>
      </c>
      <c r="CF223" s="251"/>
      <c r="CG223" s="251"/>
      <c r="CH223" s="251"/>
    </row>
    <row r="224" spans="1:86" ht="15" customHeight="1">
      <c r="A224" s="265"/>
      <c r="B224" s="265"/>
      <c r="C224" s="265"/>
      <c r="D224" s="265"/>
      <c r="E224" s="265"/>
      <c r="F224" s="565"/>
      <c r="G224" s="382" t="str">
        <f>CONCATENATE(League!D158,"-",League!K158)</f>
        <v>20/19-14/13</v>
      </c>
      <c r="H224" s="320" t="str">
        <f>CONCATENATE(IF(League!G158&gt;League!H158,1,IF(League!G158&lt;League!H158,2,IF(AND(League!G158=League!H158,League!G158&lt;&gt;"",League!H158&lt;&gt;""),"X",0))),"|",League!G158,"-",League!H158)</f>
        <v>0|-</v>
      </c>
      <c r="I224" s="219"/>
      <c r="J224" s="326"/>
      <c r="K224" s="322">
        <f t="shared" si="238"/>
        <v>0</v>
      </c>
      <c r="L224" s="251"/>
      <c r="M224" s="326"/>
      <c r="N224" s="322">
        <f t="shared" si="239"/>
        <v>0</v>
      </c>
      <c r="O224" s="251"/>
      <c r="P224" s="326"/>
      <c r="Q224" s="322">
        <f t="shared" si="239"/>
        <v>0</v>
      </c>
      <c r="R224" s="251"/>
      <c r="S224" s="326"/>
      <c r="T224" s="322">
        <f t="shared" si="239"/>
        <v>0</v>
      </c>
      <c r="U224" s="251"/>
      <c r="V224" s="326"/>
      <c r="W224" s="322">
        <f t="shared" si="239"/>
        <v>0</v>
      </c>
      <c r="X224" s="251"/>
      <c r="Y224" s="326"/>
      <c r="Z224" s="322">
        <f t="shared" si="239"/>
        <v>0</v>
      </c>
      <c r="AA224" s="251"/>
      <c r="AB224" s="326"/>
      <c r="AC224" s="322">
        <f t="shared" si="239"/>
        <v>0</v>
      </c>
      <c r="AD224" s="251"/>
      <c r="AE224" s="326"/>
      <c r="AF224" s="322">
        <f t="shared" si="239"/>
        <v>0</v>
      </c>
      <c r="AG224" s="251"/>
      <c r="AH224" s="326"/>
      <c r="AI224" s="322">
        <f t="shared" si="239"/>
        <v>0</v>
      </c>
      <c r="AJ224" s="251"/>
      <c r="AK224" s="326"/>
      <c r="AL224" s="322">
        <f t="shared" si="239"/>
        <v>0</v>
      </c>
      <c r="AM224" s="251"/>
      <c r="AN224" s="326"/>
      <c r="AO224" s="322">
        <f t="shared" si="239"/>
        <v>0</v>
      </c>
      <c r="AP224" s="251"/>
      <c r="AQ224" s="326"/>
      <c r="AR224" s="322">
        <f t="shared" si="239"/>
        <v>0</v>
      </c>
      <c r="AS224" s="251"/>
      <c r="AT224" s="326"/>
      <c r="AU224" s="322">
        <f t="shared" si="239"/>
        <v>0</v>
      </c>
      <c r="AV224" s="251"/>
      <c r="AW224" s="326"/>
      <c r="AX224" s="322">
        <f t="shared" si="239"/>
        <v>0</v>
      </c>
      <c r="AY224" s="251"/>
      <c r="AZ224" s="326"/>
      <c r="BA224" s="322">
        <f t="shared" si="239"/>
        <v>0</v>
      </c>
      <c r="BB224" s="251"/>
      <c r="BC224" s="326"/>
      <c r="BD224" s="322">
        <f t="shared" si="239"/>
        <v>0</v>
      </c>
      <c r="BE224" s="251"/>
      <c r="BF224" s="326"/>
      <c r="BG224" s="322">
        <f t="shared" si="239"/>
        <v>0</v>
      </c>
      <c r="BH224" s="251"/>
      <c r="BI224" s="326"/>
      <c r="BJ224" s="322">
        <f t="shared" si="239"/>
        <v>0</v>
      </c>
      <c r="BK224" s="251"/>
      <c r="BL224" s="326"/>
      <c r="BM224" s="322">
        <f t="shared" si="239"/>
        <v>0</v>
      </c>
      <c r="BN224" s="251"/>
      <c r="BO224" s="326"/>
      <c r="BP224" s="322">
        <f t="shared" si="239"/>
        <v>0</v>
      </c>
      <c r="BQ224" s="251"/>
      <c r="BR224" s="326"/>
      <c r="BS224" s="322">
        <f t="shared" si="239"/>
        <v>0</v>
      </c>
      <c r="BT224" s="251"/>
      <c r="BU224" s="326"/>
      <c r="BV224" s="322">
        <f t="shared" si="239"/>
        <v>0</v>
      </c>
      <c r="BW224" s="251"/>
      <c r="BX224" s="326"/>
      <c r="BY224" s="322">
        <f t="shared" si="239"/>
        <v>0</v>
      </c>
      <c r="BZ224" s="251"/>
      <c r="CA224" s="326"/>
      <c r="CB224" s="322">
        <f t="shared" si="240"/>
        <v>0</v>
      </c>
      <c r="CC224" s="251"/>
      <c r="CD224" s="326"/>
      <c r="CE224" s="322">
        <f t="shared" si="240"/>
        <v>0</v>
      </c>
      <c r="CF224" s="251"/>
      <c r="CG224" s="251"/>
      <c r="CH224" s="251"/>
    </row>
    <row r="225" spans="1:86" ht="15" customHeight="1">
      <c r="A225" s="265"/>
      <c r="B225" s="265"/>
      <c r="C225" s="265"/>
      <c r="D225" s="265"/>
      <c r="E225" s="265"/>
      <c r="F225" s="565"/>
      <c r="G225" s="383" t="str">
        <f>CONCATENATE(League!D160,"-",League!K160)</f>
        <v>24/23-10/9</v>
      </c>
      <c r="H225" s="320" t="str">
        <f>CONCATENATE(IF(League!G160&gt;League!H160,1,IF(League!G160&lt;League!H160,2,IF(AND(League!G160=League!H160,League!G160&lt;&gt;"",League!H160&lt;&gt;""),"X",0))),"|",League!G160,"-",League!H160)</f>
        <v>0|-</v>
      </c>
      <c r="I225" s="219"/>
      <c r="J225" s="326"/>
      <c r="K225" s="322">
        <f t="shared" si="238"/>
        <v>0</v>
      </c>
      <c r="L225" s="251"/>
      <c r="M225" s="326"/>
      <c r="N225" s="322">
        <f t="shared" si="239"/>
        <v>0</v>
      </c>
      <c r="O225" s="251"/>
      <c r="P225" s="326"/>
      <c r="Q225" s="322">
        <f t="shared" si="239"/>
        <v>0</v>
      </c>
      <c r="R225" s="251"/>
      <c r="S225" s="326"/>
      <c r="T225" s="322">
        <f t="shared" si="239"/>
        <v>0</v>
      </c>
      <c r="U225" s="251"/>
      <c r="V225" s="326"/>
      <c r="W225" s="322">
        <f t="shared" si="239"/>
        <v>0</v>
      </c>
      <c r="X225" s="251"/>
      <c r="Y225" s="326"/>
      <c r="Z225" s="322">
        <f t="shared" si="239"/>
        <v>0</v>
      </c>
      <c r="AA225" s="251"/>
      <c r="AB225" s="326"/>
      <c r="AC225" s="322">
        <f t="shared" si="239"/>
        <v>0</v>
      </c>
      <c r="AD225" s="251"/>
      <c r="AE225" s="326"/>
      <c r="AF225" s="322">
        <f t="shared" si="239"/>
        <v>0</v>
      </c>
      <c r="AG225" s="251"/>
      <c r="AH225" s="326"/>
      <c r="AI225" s="322">
        <f t="shared" si="239"/>
        <v>0</v>
      </c>
      <c r="AJ225" s="251"/>
      <c r="AK225" s="326"/>
      <c r="AL225" s="322">
        <f t="shared" si="239"/>
        <v>0</v>
      </c>
      <c r="AM225" s="251"/>
      <c r="AN225" s="326"/>
      <c r="AO225" s="322">
        <f t="shared" si="239"/>
        <v>0</v>
      </c>
      <c r="AP225" s="251"/>
      <c r="AQ225" s="326"/>
      <c r="AR225" s="322">
        <f t="shared" si="239"/>
        <v>0</v>
      </c>
      <c r="AS225" s="251"/>
      <c r="AT225" s="326"/>
      <c r="AU225" s="322">
        <f t="shared" si="239"/>
        <v>0</v>
      </c>
      <c r="AV225" s="251"/>
      <c r="AW225" s="326"/>
      <c r="AX225" s="322">
        <f t="shared" si="239"/>
        <v>0</v>
      </c>
      <c r="AY225" s="251"/>
      <c r="AZ225" s="326"/>
      <c r="BA225" s="322">
        <f t="shared" si="239"/>
        <v>0</v>
      </c>
      <c r="BB225" s="251"/>
      <c r="BC225" s="326"/>
      <c r="BD225" s="322">
        <f t="shared" si="239"/>
        <v>0</v>
      </c>
      <c r="BE225" s="251"/>
      <c r="BF225" s="326"/>
      <c r="BG225" s="322">
        <f t="shared" si="239"/>
        <v>0</v>
      </c>
      <c r="BH225" s="251"/>
      <c r="BI225" s="326"/>
      <c r="BJ225" s="322">
        <f t="shared" si="239"/>
        <v>0</v>
      </c>
      <c r="BK225" s="251"/>
      <c r="BL225" s="326"/>
      <c r="BM225" s="322">
        <f t="shared" si="239"/>
        <v>0</v>
      </c>
      <c r="BN225" s="251"/>
      <c r="BO225" s="326"/>
      <c r="BP225" s="322">
        <f t="shared" si="239"/>
        <v>0</v>
      </c>
      <c r="BQ225" s="251"/>
      <c r="BR225" s="326"/>
      <c r="BS225" s="322">
        <f t="shared" si="239"/>
        <v>0</v>
      </c>
      <c r="BT225" s="251"/>
      <c r="BU225" s="326"/>
      <c r="BV225" s="322">
        <f t="shared" si="239"/>
        <v>0</v>
      </c>
      <c r="BW225" s="251"/>
      <c r="BX225" s="326"/>
      <c r="BY225" s="322">
        <f t="shared" si="239"/>
        <v>0</v>
      </c>
      <c r="BZ225" s="251"/>
      <c r="CA225" s="326"/>
      <c r="CB225" s="322">
        <f t="shared" si="240"/>
        <v>0</v>
      </c>
      <c r="CC225" s="251"/>
      <c r="CD225" s="326"/>
      <c r="CE225" s="322">
        <f t="shared" si="240"/>
        <v>0</v>
      </c>
      <c r="CF225" s="251"/>
      <c r="CG225" s="251"/>
      <c r="CH225" s="251"/>
    </row>
    <row r="226" spans="1:86" ht="15" customHeight="1">
      <c r="A226" s="265"/>
      <c r="B226" s="265"/>
      <c r="C226" s="265"/>
      <c r="D226" s="265"/>
      <c r="E226" s="265"/>
      <c r="F226" s="565"/>
      <c r="G226" s="384" t="str">
        <f>CONCATENATE(League!D162,"-",League!K162)</f>
        <v>18/17-16/15</v>
      </c>
      <c r="H226" s="385" t="str">
        <f>CONCATENATE(IF(League!G162&gt;League!H162,1,IF(League!G162&lt;League!H162,2,IF(AND(League!G162=League!H162,League!G162&lt;&gt;"",League!H162&lt;&gt;""),"X",0))),"|",League!G162,"-",League!H162)</f>
        <v>0|-</v>
      </c>
      <c r="I226" s="219"/>
      <c r="J226" s="336"/>
      <c r="K226" s="337">
        <f t="shared" si="238"/>
        <v>0</v>
      </c>
      <c r="L226" s="251"/>
      <c r="M226" s="336"/>
      <c r="N226" s="337">
        <f t="shared" si="239"/>
        <v>0</v>
      </c>
      <c r="O226" s="251"/>
      <c r="P226" s="336"/>
      <c r="Q226" s="337">
        <f t="shared" si="239"/>
        <v>0</v>
      </c>
      <c r="R226" s="251"/>
      <c r="S226" s="336"/>
      <c r="T226" s="337">
        <f t="shared" si="239"/>
        <v>0</v>
      </c>
      <c r="U226" s="251"/>
      <c r="V226" s="336"/>
      <c r="W226" s="337">
        <f t="shared" si="239"/>
        <v>0</v>
      </c>
      <c r="X226" s="251"/>
      <c r="Y226" s="336"/>
      <c r="Z226" s="337">
        <f t="shared" si="239"/>
        <v>0</v>
      </c>
      <c r="AA226" s="251"/>
      <c r="AB226" s="336"/>
      <c r="AC226" s="337">
        <f t="shared" si="239"/>
        <v>0</v>
      </c>
      <c r="AD226" s="251"/>
      <c r="AE226" s="336"/>
      <c r="AF226" s="337">
        <f t="shared" si="239"/>
        <v>0</v>
      </c>
      <c r="AG226" s="251"/>
      <c r="AH226" s="336"/>
      <c r="AI226" s="337">
        <f t="shared" si="239"/>
        <v>0</v>
      </c>
      <c r="AJ226" s="251"/>
      <c r="AK226" s="336"/>
      <c r="AL226" s="337">
        <f t="shared" si="239"/>
        <v>0</v>
      </c>
      <c r="AM226" s="251"/>
      <c r="AN226" s="336"/>
      <c r="AO226" s="337">
        <f t="shared" si="239"/>
        <v>0</v>
      </c>
      <c r="AP226" s="251"/>
      <c r="AQ226" s="336"/>
      <c r="AR226" s="337">
        <f t="shared" si="239"/>
        <v>0</v>
      </c>
      <c r="AS226" s="251"/>
      <c r="AT226" s="336"/>
      <c r="AU226" s="337">
        <f t="shared" si="239"/>
        <v>0</v>
      </c>
      <c r="AV226" s="251"/>
      <c r="AW226" s="336"/>
      <c r="AX226" s="337">
        <f t="shared" si="239"/>
        <v>0</v>
      </c>
      <c r="AY226" s="251"/>
      <c r="AZ226" s="336"/>
      <c r="BA226" s="337">
        <f t="shared" si="239"/>
        <v>0</v>
      </c>
      <c r="BB226" s="251"/>
      <c r="BC226" s="336"/>
      <c r="BD226" s="337">
        <f t="shared" si="239"/>
        <v>0</v>
      </c>
      <c r="BE226" s="251"/>
      <c r="BF226" s="336"/>
      <c r="BG226" s="337">
        <f t="shared" si="239"/>
        <v>0</v>
      </c>
      <c r="BH226" s="251"/>
      <c r="BI226" s="336"/>
      <c r="BJ226" s="337">
        <f t="shared" si="239"/>
        <v>0</v>
      </c>
      <c r="BK226" s="251"/>
      <c r="BL226" s="336"/>
      <c r="BM226" s="337">
        <f t="shared" si="239"/>
        <v>0</v>
      </c>
      <c r="BN226" s="251"/>
      <c r="BO226" s="336"/>
      <c r="BP226" s="337">
        <f t="shared" si="239"/>
        <v>0</v>
      </c>
      <c r="BQ226" s="251"/>
      <c r="BR226" s="336"/>
      <c r="BS226" s="337">
        <f t="shared" si="239"/>
        <v>0</v>
      </c>
      <c r="BT226" s="251"/>
      <c r="BU226" s="336"/>
      <c r="BV226" s="337">
        <f t="shared" si="239"/>
        <v>0</v>
      </c>
      <c r="BW226" s="251"/>
      <c r="BX226" s="336"/>
      <c r="BY226" s="337">
        <f t="shared" si="239"/>
        <v>0</v>
      </c>
      <c r="BZ226" s="251"/>
      <c r="CA226" s="336"/>
      <c r="CB226" s="337">
        <f t="shared" si="240"/>
        <v>0</v>
      </c>
      <c r="CC226" s="251"/>
      <c r="CD226" s="336"/>
      <c r="CE226" s="337">
        <f t="shared" si="240"/>
        <v>0</v>
      </c>
      <c r="CF226" s="251"/>
      <c r="CG226" s="251"/>
      <c r="CH226" s="251"/>
    </row>
    <row r="227" spans="1:86" ht="15" customHeight="1">
      <c r="A227" s="265"/>
      <c r="B227" s="265"/>
      <c r="C227" s="265"/>
      <c r="D227" s="265"/>
      <c r="E227" s="265"/>
      <c r="F227" s="565"/>
      <c r="G227" s="374" t="str">
        <f>CONCATENATE(League!D149,"-",League!K149)</f>
        <v>11/12-21/22</v>
      </c>
      <c r="H227" s="320" t="str">
        <f>CONCATENATE(IF(League!G149&gt;League!H149,1,IF(League!G149&lt;League!H149,2,IF(AND(League!G149=League!H149,League!G149&lt;&gt;"",League!H149&lt;&gt;""),"X",0))),"|",League!G149,"-",League!H149)</f>
        <v>0|-</v>
      </c>
      <c r="I227" s="219"/>
      <c r="J227" s="340"/>
      <c r="K227" s="341">
        <f t="shared" si="238"/>
        <v>0</v>
      </c>
      <c r="L227" s="251"/>
      <c r="M227" s="340"/>
      <c r="N227" s="341">
        <f t="shared" si="239"/>
        <v>0</v>
      </c>
      <c r="O227" s="251"/>
      <c r="P227" s="340"/>
      <c r="Q227" s="341">
        <f t="shared" si="239"/>
        <v>0</v>
      </c>
      <c r="R227" s="251"/>
      <c r="S227" s="340"/>
      <c r="T227" s="341">
        <f t="shared" si="239"/>
        <v>0</v>
      </c>
      <c r="U227" s="251"/>
      <c r="V227" s="340"/>
      <c r="W227" s="341">
        <f t="shared" si="239"/>
        <v>0</v>
      </c>
      <c r="X227" s="251"/>
      <c r="Y227" s="340"/>
      <c r="Z227" s="341">
        <f t="shared" si="239"/>
        <v>0</v>
      </c>
      <c r="AA227" s="251"/>
      <c r="AB227" s="340"/>
      <c r="AC227" s="341">
        <f t="shared" si="239"/>
        <v>0</v>
      </c>
      <c r="AD227" s="251"/>
      <c r="AE227" s="340"/>
      <c r="AF227" s="341">
        <f t="shared" si="239"/>
        <v>0</v>
      </c>
      <c r="AG227" s="251"/>
      <c r="AH227" s="340"/>
      <c r="AI227" s="341">
        <f t="shared" si="239"/>
        <v>0</v>
      </c>
      <c r="AJ227" s="251"/>
      <c r="AK227" s="340"/>
      <c r="AL227" s="341">
        <f t="shared" si="239"/>
        <v>0</v>
      </c>
      <c r="AM227" s="251"/>
      <c r="AN227" s="340"/>
      <c r="AO227" s="341">
        <f t="shared" si="239"/>
        <v>0</v>
      </c>
      <c r="AP227" s="251"/>
      <c r="AQ227" s="340"/>
      <c r="AR227" s="341">
        <f t="shared" si="239"/>
        <v>0</v>
      </c>
      <c r="AS227" s="251"/>
      <c r="AT227" s="340"/>
      <c r="AU227" s="341">
        <f t="shared" si="239"/>
        <v>0</v>
      </c>
      <c r="AV227" s="251"/>
      <c r="AW227" s="340"/>
      <c r="AX227" s="341">
        <f t="shared" si="239"/>
        <v>0</v>
      </c>
      <c r="AY227" s="251"/>
      <c r="AZ227" s="340"/>
      <c r="BA227" s="341">
        <f t="shared" si="239"/>
        <v>0</v>
      </c>
      <c r="BB227" s="251"/>
      <c r="BC227" s="340"/>
      <c r="BD227" s="341">
        <f t="shared" si="239"/>
        <v>0</v>
      </c>
      <c r="BE227" s="251"/>
      <c r="BF227" s="340"/>
      <c r="BG227" s="341">
        <f t="shared" si="239"/>
        <v>0</v>
      </c>
      <c r="BH227" s="251"/>
      <c r="BI227" s="340"/>
      <c r="BJ227" s="341">
        <f t="shared" si="239"/>
        <v>0</v>
      </c>
      <c r="BK227" s="251"/>
      <c r="BL227" s="340"/>
      <c r="BM227" s="341">
        <f t="shared" si="239"/>
        <v>0</v>
      </c>
      <c r="BN227" s="251"/>
      <c r="BO227" s="340"/>
      <c r="BP227" s="341">
        <f t="shared" si="239"/>
        <v>0</v>
      </c>
      <c r="BQ227" s="251"/>
      <c r="BR227" s="340"/>
      <c r="BS227" s="341">
        <f t="shared" si="239"/>
        <v>0</v>
      </c>
      <c r="BT227" s="251"/>
      <c r="BU227" s="340"/>
      <c r="BV227" s="341">
        <f t="shared" si="239"/>
        <v>0</v>
      </c>
      <c r="BW227" s="251"/>
      <c r="BX227" s="340"/>
      <c r="BY227" s="341">
        <f t="shared" si="239"/>
        <v>0</v>
      </c>
      <c r="BZ227" s="251"/>
      <c r="CA227" s="340"/>
      <c r="CB227" s="341">
        <f t="shared" si="240"/>
        <v>0</v>
      </c>
      <c r="CC227" s="251"/>
      <c r="CD227" s="340"/>
      <c r="CE227" s="341">
        <f t="shared" si="240"/>
        <v>0</v>
      </c>
      <c r="CF227" s="251"/>
      <c r="CG227" s="251"/>
      <c r="CH227" s="251"/>
    </row>
    <row r="228" spans="1:86" ht="15" customHeight="1">
      <c r="A228" s="265"/>
      <c r="B228" s="265"/>
      <c r="C228" s="265"/>
      <c r="D228" s="265"/>
      <c r="E228" s="265"/>
      <c r="F228" s="565"/>
      <c r="G228" s="381" t="str">
        <f>CONCATENATE(League!D151,"-",League!K151)</f>
        <v>13/14-19/20</v>
      </c>
      <c r="H228" s="320" t="str">
        <f>CONCATENATE(IF(League!G151&gt;League!H151,1,IF(League!G151&lt;League!H151,2,IF(AND(League!G151=League!H151,League!G151&lt;&gt;"",League!H151&lt;&gt;""),"X",0))),"|",League!G151,"-",League!H151)</f>
        <v>0|-</v>
      </c>
      <c r="I228" s="219"/>
      <c r="J228" s="326"/>
      <c r="K228" s="322">
        <f t="shared" si="238"/>
        <v>0</v>
      </c>
      <c r="L228" s="251"/>
      <c r="M228" s="326"/>
      <c r="N228" s="322">
        <f t="shared" si="239"/>
        <v>0</v>
      </c>
      <c r="O228" s="251"/>
      <c r="P228" s="326"/>
      <c r="Q228" s="322">
        <f t="shared" si="239"/>
        <v>0</v>
      </c>
      <c r="R228" s="251"/>
      <c r="S228" s="326"/>
      <c r="T228" s="322">
        <f t="shared" si="239"/>
        <v>0</v>
      </c>
      <c r="U228" s="251"/>
      <c r="V228" s="326"/>
      <c r="W228" s="322">
        <f t="shared" si="239"/>
        <v>0</v>
      </c>
      <c r="X228" s="251"/>
      <c r="Y228" s="326"/>
      <c r="Z228" s="322">
        <f t="shared" si="239"/>
        <v>0</v>
      </c>
      <c r="AA228" s="251"/>
      <c r="AB228" s="326"/>
      <c r="AC228" s="322">
        <f t="shared" si="239"/>
        <v>0</v>
      </c>
      <c r="AD228" s="251"/>
      <c r="AE228" s="326"/>
      <c r="AF228" s="322">
        <f t="shared" si="239"/>
        <v>0</v>
      </c>
      <c r="AG228" s="251"/>
      <c r="AH228" s="326"/>
      <c r="AI228" s="322">
        <f t="shared" si="239"/>
        <v>0</v>
      </c>
      <c r="AJ228" s="251"/>
      <c r="AK228" s="326"/>
      <c r="AL228" s="322">
        <f t="shared" si="239"/>
        <v>0</v>
      </c>
      <c r="AM228" s="251"/>
      <c r="AN228" s="326"/>
      <c r="AO228" s="322">
        <f t="shared" si="239"/>
        <v>0</v>
      </c>
      <c r="AP228" s="251"/>
      <c r="AQ228" s="326"/>
      <c r="AR228" s="322">
        <f t="shared" si="239"/>
        <v>0</v>
      </c>
      <c r="AS228" s="251"/>
      <c r="AT228" s="326"/>
      <c r="AU228" s="322">
        <f t="shared" si="239"/>
        <v>0</v>
      </c>
      <c r="AV228" s="251"/>
      <c r="AW228" s="326"/>
      <c r="AX228" s="322">
        <f t="shared" si="239"/>
        <v>0</v>
      </c>
      <c r="AY228" s="251"/>
      <c r="AZ228" s="326"/>
      <c r="BA228" s="322">
        <f t="shared" si="239"/>
        <v>0</v>
      </c>
      <c r="BB228" s="251"/>
      <c r="BC228" s="326"/>
      <c r="BD228" s="322">
        <f t="shared" si="239"/>
        <v>0</v>
      </c>
      <c r="BE228" s="251"/>
      <c r="BF228" s="326"/>
      <c r="BG228" s="322">
        <f t="shared" si="239"/>
        <v>0</v>
      </c>
      <c r="BH228" s="251"/>
      <c r="BI228" s="326"/>
      <c r="BJ228" s="322">
        <f t="shared" si="239"/>
        <v>0</v>
      </c>
      <c r="BK228" s="251"/>
      <c r="BL228" s="326"/>
      <c r="BM228" s="322">
        <f t="shared" si="239"/>
        <v>0</v>
      </c>
      <c r="BN228" s="251"/>
      <c r="BO228" s="326"/>
      <c r="BP228" s="322">
        <f t="shared" si="239"/>
        <v>0</v>
      </c>
      <c r="BQ228" s="251"/>
      <c r="BR228" s="326"/>
      <c r="BS228" s="322">
        <f t="shared" si="239"/>
        <v>0</v>
      </c>
      <c r="BT228" s="251"/>
      <c r="BU228" s="326"/>
      <c r="BV228" s="322">
        <f t="shared" si="239"/>
        <v>0</v>
      </c>
      <c r="BW228" s="251"/>
      <c r="BX228" s="326"/>
      <c r="BY228" s="322">
        <f t="shared" si="239"/>
        <v>0</v>
      </c>
      <c r="BZ228" s="251"/>
      <c r="CA228" s="326"/>
      <c r="CB228" s="322">
        <f t="shared" si="240"/>
        <v>0</v>
      </c>
      <c r="CC228" s="251"/>
      <c r="CD228" s="326"/>
      <c r="CE228" s="322">
        <f t="shared" si="240"/>
        <v>0</v>
      </c>
      <c r="CF228" s="251"/>
      <c r="CG228" s="251"/>
      <c r="CH228" s="251"/>
    </row>
    <row r="229" spans="1:86" ht="15" customHeight="1">
      <c r="A229" s="265"/>
      <c r="B229" s="265"/>
      <c r="C229" s="265"/>
      <c r="D229" s="265"/>
      <c r="E229" s="265"/>
      <c r="F229" s="565"/>
      <c r="G229" s="381" t="str">
        <f>CONCATENATE(League!D153,"-",League!K153)</f>
        <v>9/10-23/24</v>
      </c>
      <c r="H229" s="320" t="str">
        <f>CONCATENATE(IF(League!G153&gt;League!H153,1,IF(League!G153&lt;League!H153,2,IF(AND(League!G153=League!H153,League!G153&lt;&gt;"",League!H153&lt;&gt;""),"X",0))),"|",League!G153,"-",League!H153)</f>
        <v>0|-</v>
      </c>
      <c r="I229" s="219"/>
      <c r="J229" s="326"/>
      <c r="K229" s="322">
        <f t="shared" si="238"/>
        <v>0</v>
      </c>
      <c r="L229" s="251"/>
      <c r="M229" s="326"/>
      <c r="N229" s="322">
        <f t="shared" si="239"/>
        <v>0</v>
      </c>
      <c r="O229" s="251"/>
      <c r="P229" s="326"/>
      <c r="Q229" s="322">
        <f t="shared" si="239"/>
        <v>0</v>
      </c>
      <c r="R229" s="251"/>
      <c r="S229" s="326"/>
      <c r="T229" s="322">
        <f t="shared" si="239"/>
        <v>0</v>
      </c>
      <c r="U229" s="251"/>
      <c r="V229" s="326"/>
      <c r="W229" s="322">
        <f t="shared" si="239"/>
        <v>0</v>
      </c>
      <c r="X229" s="251"/>
      <c r="Y229" s="326"/>
      <c r="Z229" s="322">
        <f t="shared" si="239"/>
        <v>0</v>
      </c>
      <c r="AA229" s="251"/>
      <c r="AB229" s="326"/>
      <c r="AC229" s="322">
        <f t="shared" si="239"/>
        <v>0</v>
      </c>
      <c r="AD229" s="251"/>
      <c r="AE229" s="326"/>
      <c r="AF229" s="322">
        <f t="shared" si="239"/>
        <v>0</v>
      </c>
      <c r="AG229" s="251"/>
      <c r="AH229" s="326"/>
      <c r="AI229" s="322">
        <f t="shared" si="239"/>
        <v>0</v>
      </c>
      <c r="AJ229" s="251"/>
      <c r="AK229" s="326"/>
      <c r="AL229" s="322">
        <f t="shared" si="239"/>
        <v>0</v>
      </c>
      <c r="AM229" s="251"/>
      <c r="AN229" s="326"/>
      <c r="AO229" s="322">
        <f t="shared" si="239"/>
        <v>0</v>
      </c>
      <c r="AP229" s="251"/>
      <c r="AQ229" s="326"/>
      <c r="AR229" s="322">
        <f t="shared" si="239"/>
        <v>0</v>
      </c>
      <c r="AS229" s="251"/>
      <c r="AT229" s="326"/>
      <c r="AU229" s="322">
        <f t="shared" si="239"/>
        <v>0</v>
      </c>
      <c r="AV229" s="251"/>
      <c r="AW229" s="326"/>
      <c r="AX229" s="322">
        <f t="shared" si="239"/>
        <v>0</v>
      </c>
      <c r="AY229" s="251"/>
      <c r="AZ229" s="326"/>
      <c r="BA229" s="322">
        <f t="shared" si="239"/>
        <v>0</v>
      </c>
      <c r="BB229" s="251"/>
      <c r="BC229" s="326"/>
      <c r="BD229" s="322">
        <f t="shared" si="239"/>
        <v>0</v>
      </c>
      <c r="BE229" s="251"/>
      <c r="BF229" s="326"/>
      <c r="BG229" s="322">
        <f t="shared" si="239"/>
        <v>0</v>
      </c>
      <c r="BH229" s="251"/>
      <c r="BI229" s="326"/>
      <c r="BJ229" s="322">
        <f t="shared" si="239"/>
        <v>0</v>
      </c>
      <c r="BK229" s="251"/>
      <c r="BL229" s="326"/>
      <c r="BM229" s="322">
        <f t="shared" si="239"/>
        <v>0</v>
      </c>
      <c r="BN229" s="251"/>
      <c r="BO229" s="326"/>
      <c r="BP229" s="322">
        <f t="shared" si="239"/>
        <v>0</v>
      </c>
      <c r="BQ229" s="251"/>
      <c r="BR229" s="326"/>
      <c r="BS229" s="322">
        <f t="shared" si="239"/>
        <v>0</v>
      </c>
      <c r="BT229" s="251"/>
      <c r="BU229" s="326"/>
      <c r="BV229" s="322">
        <f t="shared" si="239"/>
        <v>0</v>
      </c>
      <c r="BW229" s="251"/>
      <c r="BX229" s="326"/>
      <c r="BY229" s="322">
        <f t="shared" si="239"/>
        <v>0</v>
      </c>
      <c r="BZ229" s="251"/>
      <c r="CA229" s="326"/>
      <c r="CB229" s="322">
        <f t="shared" si="240"/>
        <v>0</v>
      </c>
      <c r="CC229" s="251"/>
      <c r="CD229" s="326"/>
      <c r="CE229" s="322">
        <f t="shared" si="240"/>
        <v>0</v>
      </c>
      <c r="CF229" s="251"/>
      <c r="CG229" s="251"/>
      <c r="CH229" s="251"/>
    </row>
    <row r="230" spans="1:86" ht="15" customHeight="1">
      <c r="A230" s="265"/>
      <c r="B230" s="265"/>
      <c r="C230" s="265"/>
      <c r="D230" s="265"/>
      <c r="E230" s="265"/>
      <c r="F230" s="565"/>
      <c r="G230" s="381" t="str">
        <f>CONCATENATE(League!D155,"-",League!K155)</f>
        <v>15/16-17/18</v>
      </c>
      <c r="H230" s="320" t="str">
        <f>CONCATENATE(IF(League!G155&gt;League!H155,1,IF(League!G155&lt;League!H155,2,IF(AND(League!G155=League!H155,League!G155&lt;&gt;"",League!H155&lt;&gt;""),"X",0))),"|",League!G155,"-",League!H155)</f>
        <v>0|-</v>
      </c>
      <c r="I230" s="219"/>
      <c r="J230" s="326"/>
      <c r="K230" s="322">
        <f t="shared" si="238"/>
        <v>0</v>
      </c>
      <c r="L230" s="251"/>
      <c r="M230" s="326"/>
      <c r="N230" s="322">
        <f t="shared" si="239"/>
        <v>0</v>
      </c>
      <c r="O230" s="251"/>
      <c r="P230" s="326"/>
      <c r="Q230" s="322">
        <f t="shared" si="239"/>
        <v>0</v>
      </c>
      <c r="R230" s="251"/>
      <c r="S230" s="326"/>
      <c r="T230" s="322">
        <f t="shared" si="239"/>
        <v>0</v>
      </c>
      <c r="U230" s="251"/>
      <c r="V230" s="326"/>
      <c r="W230" s="322">
        <f t="shared" si="239"/>
        <v>0</v>
      </c>
      <c r="X230" s="251"/>
      <c r="Y230" s="326"/>
      <c r="Z230" s="322">
        <f t="shared" si="239"/>
        <v>0</v>
      </c>
      <c r="AA230" s="251"/>
      <c r="AB230" s="326"/>
      <c r="AC230" s="322">
        <f t="shared" si="239"/>
        <v>0</v>
      </c>
      <c r="AD230" s="251"/>
      <c r="AE230" s="326"/>
      <c r="AF230" s="322">
        <f t="shared" si="239"/>
        <v>0</v>
      </c>
      <c r="AG230" s="251"/>
      <c r="AH230" s="326"/>
      <c r="AI230" s="322">
        <f t="shared" si="239"/>
        <v>0</v>
      </c>
      <c r="AJ230" s="251"/>
      <c r="AK230" s="326"/>
      <c r="AL230" s="322">
        <f t="shared" si="239"/>
        <v>0</v>
      </c>
      <c r="AM230" s="251"/>
      <c r="AN230" s="326"/>
      <c r="AO230" s="322">
        <f t="shared" si="239"/>
        <v>0</v>
      </c>
      <c r="AP230" s="251"/>
      <c r="AQ230" s="326"/>
      <c r="AR230" s="322">
        <f t="shared" si="239"/>
        <v>0</v>
      </c>
      <c r="AS230" s="251"/>
      <c r="AT230" s="326"/>
      <c r="AU230" s="322">
        <f t="shared" si="239"/>
        <v>0</v>
      </c>
      <c r="AV230" s="251"/>
      <c r="AW230" s="326"/>
      <c r="AX230" s="322">
        <f t="shared" si="239"/>
        <v>0</v>
      </c>
      <c r="AY230" s="251"/>
      <c r="AZ230" s="326"/>
      <c r="BA230" s="322">
        <f t="shared" ref="BA230:CE234" si="241">IFERROR(SUM(IF($H230=AZ230,$D$16),IF(LEFT($H230,1)=LEFT(AZ230,1),$D$14),IF(MID($H230,FIND("|",$H230)+1,FIND("-",$H230)-FIND("|",$H230)-1)-MID($H230,FIND("-",$H230)+1,11)=MID(AZ230,FIND("|",AZ230)+1,FIND("-",AZ230)-FIND("|",AZ230)-1)-MID(AZ230,FIND("-",AZ230)+1,11),$D$15)),)</f>
        <v>0</v>
      </c>
      <c r="BB230" s="251"/>
      <c r="BC230" s="326"/>
      <c r="BD230" s="322">
        <f t="shared" si="241"/>
        <v>0</v>
      </c>
      <c r="BE230" s="251"/>
      <c r="BF230" s="326"/>
      <c r="BG230" s="322">
        <f t="shared" si="241"/>
        <v>0</v>
      </c>
      <c r="BH230" s="251"/>
      <c r="BI230" s="326"/>
      <c r="BJ230" s="322">
        <f t="shared" si="241"/>
        <v>0</v>
      </c>
      <c r="BK230" s="251"/>
      <c r="BL230" s="326"/>
      <c r="BM230" s="322">
        <f t="shared" si="241"/>
        <v>0</v>
      </c>
      <c r="BN230" s="251"/>
      <c r="BO230" s="326"/>
      <c r="BP230" s="322">
        <f t="shared" si="241"/>
        <v>0</v>
      </c>
      <c r="BQ230" s="251"/>
      <c r="BR230" s="326"/>
      <c r="BS230" s="322">
        <f t="shared" si="241"/>
        <v>0</v>
      </c>
      <c r="BT230" s="251"/>
      <c r="BU230" s="326"/>
      <c r="BV230" s="322">
        <f t="shared" si="241"/>
        <v>0</v>
      </c>
      <c r="BW230" s="251"/>
      <c r="BX230" s="326"/>
      <c r="BY230" s="322">
        <f t="shared" si="241"/>
        <v>0</v>
      </c>
      <c r="BZ230" s="251"/>
      <c r="CA230" s="326"/>
      <c r="CB230" s="322">
        <f t="shared" si="241"/>
        <v>0</v>
      </c>
      <c r="CC230" s="251"/>
      <c r="CD230" s="326"/>
      <c r="CE230" s="322">
        <f t="shared" si="241"/>
        <v>0</v>
      </c>
      <c r="CF230" s="251"/>
      <c r="CG230" s="251"/>
      <c r="CH230" s="251"/>
    </row>
    <row r="231" spans="1:86" ht="15" customHeight="1">
      <c r="A231" s="265"/>
      <c r="B231" s="265"/>
      <c r="C231" s="265"/>
      <c r="D231" s="265"/>
      <c r="E231" s="265"/>
      <c r="F231" s="565"/>
      <c r="G231" s="381" t="str">
        <f>CONCATENATE(League!D157,"-",League!K157)</f>
        <v>12/11-22/21</v>
      </c>
      <c r="H231" s="320" t="str">
        <f>CONCATENATE(IF(League!G157&gt;League!H157,1,IF(League!G157&lt;League!H157,2,IF(AND(League!G157=League!H157,League!G157&lt;&gt;"",League!H157&lt;&gt;""),"X",0))),"|",League!G157,"-",League!H157)</f>
        <v>0|-</v>
      </c>
      <c r="I231" s="219"/>
      <c r="J231" s="326"/>
      <c r="K231" s="322">
        <f t="shared" si="238"/>
        <v>0</v>
      </c>
      <c r="L231" s="251"/>
      <c r="M231" s="326"/>
      <c r="N231" s="322">
        <f t="shared" ref="N231:BY234" si="242">IFERROR(SUM(IF($H231=M231,$D$16),IF(LEFT($H231,1)=LEFT(M231,1),$D$14),IF(MID($H231,FIND("|",$H231)+1,FIND("-",$H231)-FIND("|",$H231)-1)-MID($H231,FIND("-",$H231)+1,11)=MID(M231,FIND("|",M231)+1,FIND("-",M231)-FIND("|",M231)-1)-MID(M231,FIND("-",M231)+1,11),$D$15)),)</f>
        <v>0</v>
      </c>
      <c r="O231" s="251"/>
      <c r="P231" s="326"/>
      <c r="Q231" s="322">
        <f t="shared" si="242"/>
        <v>0</v>
      </c>
      <c r="R231" s="251"/>
      <c r="S231" s="326"/>
      <c r="T231" s="322">
        <f t="shared" si="242"/>
        <v>0</v>
      </c>
      <c r="U231" s="251"/>
      <c r="V231" s="326"/>
      <c r="W231" s="322">
        <f t="shared" si="242"/>
        <v>0</v>
      </c>
      <c r="X231" s="251"/>
      <c r="Y231" s="326"/>
      <c r="Z231" s="322">
        <f t="shared" si="242"/>
        <v>0</v>
      </c>
      <c r="AA231" s="251"/>
      <c r="AB231" s="326"/>
      <c r="AC231" s="322">
        <f t="shared" si="242"/>
        <v>0</v>
      </c>
      <c r="AD231" s="251"/>
      <c r="AE231" s="326"/>
      <c r="AF231" s="322">
        <f t="shared" si="242"/>
        <v>0</v>
      </c>
      <c r="AG231" s="251"/>
      <c r="AH231" s="326"/>
      <c r="AI231" s="322">
        <f t="shared" si="242"/>
        <v>0</v>
      </c>
      <c r="AJ231" s="251"/>
      <c r="AK231" s="326"/>
      <c r="AL231" s="322">
        <f t="shared" si="242"/>
        <v>0</v>
      </c>
      <c r="AM231" s="251"/>
      <c r="AN231" s="326"/>
      <c r="AO231" s="322">
        <f t="shared" si="242"/>
        <v>0</v>
      </c>
      <c r="AP231" s="251"/>
      <c r="AQ231" s="326"/>
      <c r="AR231" s="322">
        <f t="shared" si="242"/>
        <v>0</v>
      </c>
      <c r="AS231" s="251"/>
      <c r="AT231" s="326"/>
      <c r="AU231" s="322">
        <f t="shared" si="242"/>
        <v>0</v>
      </c>
      <c r="AV231" s="251"/>
      <c r="AW231" s="326"/>
      <c r="AX231" s="322">
        <f t="shared" si="242"/>
        <v>0</v>
      </c>
      <c r="AY231" s="251"/>
      <c r="AZ231" s="326"/>
      <c r="BA231" s="322">
        <f t="shared" si="242"/>
        <v>0</v>
      </c>
      <c r="BB231" s="251"/>
      <c r="BC231" s="326"/>
      <c r="BD231" s="322">
        <f t="shared" si="242"/>
        <v>0</v>
      </c>
      <c r="BE231" s="251"/>
      <c r="BF231" s="326"/>
      <c r="BG231" s="322">
        <f t="shared" si="242"/>
        <v>0</v>
      </c>
      <c r="BH231" s="251"/>
      <c r="BI231" s="326"/>
      <c r="BJ231" s="322">
        <f t="shared" si="242"/>
        <v>0</v>
      </c>
      <c r="BK231" s="251"/>
      <c r="BL231" s="326"/>
      <c r="BM231" s="322">
        <f t="shared" si="242"/>
        <v>0</v>
      </c>
      <c r="BN231" s="251"/>
      <c r="BO231" s="326"/>
      <c r="BP231" s="322">
        <f t="shared" si="242"/>
        <v>0</v>
      </c>
      <c r="BQ231" s="251"/>
      <c r="BR231" s="326"/>
      <c r="BS231" s="322">
        <f t="shared" si="242"/>
        <v>0</v>
      </c>
      <c r="BT231" s="251"/>
      <c r="BU231" s="326"/>
      <c r="BV231" s="322">
        <f t="shared" si="242"/>
        <v>0</v>
      </c>
      <c r="BW231" s="251"/>
      <c r="BX231" s="326"/>
      <c r="BY231" s="322">
        <f t="shared" si="242"/>
        <v>0</v>
      </c>
      <c r="BZ231" s="251"/>
      <c r="CA231" s="326"/>
      <c r="CB231" s="322">
        <f t="shared" si="241"/>
        <v>0</v>
      </c>
      <c r="CC231" s="251"/>
      <c r="CD231" s="326"/>
      <c r="CE231" s="322">
        <f t="shared" si="241"/>
        <v>0</v>
      </c>
      <c r="CF231" s="251"/>
      <c r="CG231" s="251"/>
      <c r="CH231" s="251"/>
    </row>
    <row r="232" spans="1:86" ht="15" customHeight="1">
      <c r="A232" s="265"/>
      <c r="B232" s="265"/>
      <c r="C232" s="265"/>
      <c r="D232" s="265"/>
      <c r="E232" s="265"/>
      <c r="F232" s="565"/>
      <c r="G232" s="382" t="str">
        <f>CONCATENATE(League!D159,"-",League!K159)</f>
        <v>14/13-20/19</v>
      </c>
      <c r="H232" s="320" t="str">
        <f>CONCATENATE(IF(League!G159&gt;League!H159,1,IF(League!G159&lt;League!H159,2,IF(AND(League!G159=League!H159,League!G159&lt;&gt;"",League!H159&lt;&gt;""),"X",0))),"|",League!G159,"-",League!H159)</f>
        <v>0|-</v>
      </c>
      <c r="I232" s="219"/>
      <c r="J232" s="326"/>
      <c r="K232" s="322">
        <f t="shared" si="238"/>
        <v>0</v>
      </c>
      <c r="L232" s="251"/>
      <c r="M232" s="326"/>
      <c r="N232" s="322">
        <f t="shared" si="242"/>
        <v>0</v>
      </c>
      <c r="O232" s="251"/>
      <c r="P232" s="326"/>
      <c r="Q232" s="322">
        <f t="shared" si="242"/>
        <v>0</v>
      </c>
      <c r="R232" s="251"/>
      <c r="S232" s="326"/>
      <c r="T232" s="322">
        <f t="shared" si="242"/>
        <v>0</v>
      </c>
      <c r="U232" s="251"/>
      <c r="V232" s="326"/>
      <c r="W232" s="322">
        <f t="shared" si="242"/>
        <v>0</v>
      </c>
      <c r="X232" s="251"/>
      <c r="Y232" s="326"/>
      <c r="Z232" s="322">
        <f t="shared" si="242"/>
        <v>0</v>
      </c>
      <c r="AA232" s="251"/>
      <c r="AB232" s="326"/>
      <c r="AC232" s="322">
        <f t="shared" si="242"/>
        <v>0</v>
      </c>
      <c r="AD232" s="251"/>
      <c r="AE232" s="326"/>
      <c r="AF232" s="322">
        <f t="shared" si="242"/>
        <v>0</v>
      </c>
      <c r="AG232" s="251"/>
      <c r="AH232" s="326"/>
      <c r="AI232" s="322">
        <f t="shared" si="242"/>
        <v>0</v>
      </c>
      <c r="AJ232" s="251"/>
      <c r="AK232" s="326"/>
      <c r="AL232" s="322">
        <f t="shared" si="242"/>
        <v>0</v>
      </c>
      <c r="AM232" s="251"/>
      <c r="AN232" s="326"/>
      <c r="AO232" s="322">
        <f t="shared" si="242"/>
        <v>0</v>
      </c>
      <c r="AP232" s="251"/>
      <c r="AQ232" s="326"/>
      <c r="AR232" s="322">
        <f t="shared" si="242"/>
        <v>0</v>
      </c>
      <c r="AS232" s="251"/>
      <c r="AT232" s="326"/>
      <c r="AU232" s="322">
        <f t="shared" si="242"/>
        <v>0</v>
      </c>
      <c r="AV232" s="251"/>
      <c r="AW232" s="326"/>
      <c r="AX232" s="322">
        <f t="shared" si="242"/>
        <v>0</v>
      </c>
      <c r="AY232" s="251"/>
      <c r="AZ232" s="326"/>
      <c r="BA232" s="322">
        <f t="shared" si="242"/>
        <v>0</v>
      </c>
      <c r="BB232" s="251"/>
      <c r="BC232" s="326"/>
      <c r="BD232" s="322">
        <f t="shared" si="242"/>
        <v>0</v>
      </c>
      <c r="BE232" s="251"/>
      <c r="BF232" s="326"/>
      <c r="BG232" s="322">
        <f t="shared" si="242"/>
        <v>0</v>
      </c>
      <c r="BH232" s="251"/>
      <c r="BI232" s="326"/>
      <c r="BJ232" s="322">
        <f t="shared" si="242"/>
        <v>0</v>
      </c>
      <c r="BK232" s="251"/>
      <c r="BL232" s="326"/>
      <c r="BM232" s="322">
        <f t="shared" si="242"/>
        <v>0</v>
      </c>
      <c r="BN232" s="251"/>
      <c r="BO232" s="326"/>
      <c r="BP232" s="322">
        <f t="shared" si="242"/>
        <v>0</v>
      </c>
      <c r="BQ232" s="251"/>
      <c r="BR232" s="326"/>
      <c r="BS232" s="322">
        <f t="shared" si="242"/>
        <v>0</v>
      </c>
      <c r="BT232" s="251"/>
      <c r="BU232" s="326"/>
      <c r="BV232" s="322">
        <f t="shared" si="242"/>
        <v>0</v>
      </c>
      <c r="BW232" s="251"/>
      <c r="BX232" s="326"/>
      <c r="BY232" s="322">
        <f t="shared" si="242"/>
        <v>0</v>
      </c>
      <c r="BZ232" s="251"/>
      <c r="CA232" s="326"/>
      <c r="CB232" s="322">
        <f t="shared" si="241"/>
        <v>0</v>
      </c>
      <c r="CC232" s="251"/>
      <c r="CD232" s="326"/>
      <c r="CE232" s="322">
        <f t="shared" si="241"/>
        <v>0</v>
      </c>
      <c r="CF232" s="251"/>
      <c r="CG232" s="251"/>
      <c r="CH232" s="251"/>
    </row>
    <row r="233" spans="1:86" ht="15" customHeight="1">
      <c r="A233" s="265"/>
      <c r="B233" s="265"/>
      <c r="C233" s="265"/>
      <c r="D233" s="265"/>
      <c r="E233" s="265"/>
      <c r="F233" s="565"/>
      <c r="G233" s="383" t="str">
        <f>CONCATENATE(League!D161,"-",League!K161)</f>
        <v>10/9-24/23</v>
      </c>
      <c r="H233" s="320" t="str">
        <f>CONCATENATE(IF(League!G161&gt;League!H161,1,IF(League!G161&lt;League!H161,2,IF(AND(League!G161=League!H161,League!G161&lt;&gt;"",League!H161&lt;&gt;""),"X",0))),"|",League!G161,"-",League!H161)</f>
        <v>0|-</v>
      </c>
      <c r="I233" s="219"/>
      <c r="J233" s="326"/>
      <c r="K233" s="322">
        <f t="shared" si="238"/>
        <v>0</v>
      </c>
      <c r="L233" s="251"/>
      <c r="M233" s="326"/>
      <c r="N233" s="322">
        <f t="shared" si="242"/>
        <v>0</v>
      </c>
      <c r="O233" s="251"/>
      <c r="P233" s="326"/>
      <c r="Q233" s="322">
        <f t="shared" si="242"/>
        <v>0</v>
      </c>
      <c r="R233" s="251"/>
      <c r="S233" s="326"/>
      <c r="T233" s="322">
        <f t="shared" si="242"/>
        <v>0</v>
      </c>
      <c r="U233" s="251"/>
      <c r="V233" s="326"/>
      <c r="W233" s="322">
        <f t="shared" si="242"/>
        <v>0</v>
      </c>
      <c r="X233" s="251"/>
      <c r="Y233" s="326"/>
      <c r="Z233" s="322">
        <f t="shared" si="242"/>
        <v>0</v>
      </c>
      <c r="AA233" s="251"/>
      <c r="AB233" s="326"/>
      <c r="AC233" s="322">
        <f t="shared" si="242"/>
        <v>0</v>
      </c>
      <c r="AD233" s="251"/>
      <c r="AE233" s="326"/>
      <c r="AF233" s="322">
        <f t="shared" si="242"/>
        <v>0</v>
      </c>
      <c r="AG233" s="251"/>
      <c r="AH233" s="326"/>
      <c r="AI233" s="322">
        <f t="shared" si="242"/>
        <v>0</v>
      </c>
      <c r="AJ233" s="251"/>
      <c r="AK233" s="326"/>
      <c r="AL233" s="322">
        <f t="shared" si="242"/>
        <v>0</v>
      </c>
      <c r="AM233" s="251"/>
      <c r="AN233" s="326"/>
      <c r="AO233" s="322">
        <f t="shared" si="242"/>
        <v>0</v>
      </c>
      <c r="AP233" s="251"/>
      <c r="AQ233" s="326"/>
      <c r="AR233" s="322">
        <f t="shared" si="242"/>
        <v>0</v>
      </c>
      <c r="AS233" s="251"/>
      <c r="AT233" s="326"/>
      <c r="AU233" s="322">
        <f t="shared" si="242"/>
        <v>0</v>
      </c>
      <c r="AV233" s="251"/>
      <c r="AW233" s="326"/>
      <c r="AX233" s="322">
        <f t="shared" si="242"/>
        <v>0</v>
      </c>
      <c r="AY233" s="251"/>
      <c r="AZ233" s="326"/>
      <c r="BA233" s="322">
        <f t="shared" si="242"/>
        <v>0</v>
      </c>
      <c r="BB233" s="251"/>
      <c r="BC233" s="326"/>
      <c r="BD233" s="322">
        <f t="shared" si="242"/>
        <v>0</v>
      </c>
      <c r="BE233" s="251"/>
      <c r="BF233" s="326"/>
      <c r="BG233" s="322">
        <f t="shared" si="242"/>
        <v>0</v>
      </c>
      <c r="BH233" s="251"/>
      <c r="BI233" s="326"/>
      <c r="BJ233" s="322">
        <f t="shared" si="242"/>
        <v>0</v>
      </c>
      <c r="BK233" s="251"/>
      <c r="BL233" s="326"/>
      <c r="BM233" s="322">
        <f t="shared" si="242"/>
        <v>0</v>
      </c>
      <c r="BN233" s="251"/>
      <c r="BO233" s="326"/>
      <c r="BP233" s="322">
        <f t="shared" si="242"/>
        <v>0</v>
      </c>
      <c r="BQ233" s="251"/>
      <c r="BR233" s="326"/>
      <c r="BS233" s="322">
        <f t="shared" si="242"/>
        <v>0</v>
      </c>
      <c r="BT233" s="251"/>
      <c r="BU233" s="326"/>
      <c r="BV233" s="322">
        <f t="shared" si="242"/>
        <v>0</v>
      </c>
      <c r="BW233" s="251"/>
      <c r="BX233" s="326"/>
      <c r="BY233" s="322">
        <f t="shared" si="242"/>
        <v>0</v>
      </c>
      <c r="BZ233" s="251"/>
      <c r="CA233" s="326"/>
      <c r="CB233" s="322">
        <f t="shared" si="241"/>
        <v>0</v>
      </c>
      <c r="CC233" s="251"/>
      <c r="CD233" s="326"/>
      <c r="CE233" s="322">
        <f t="shared" si="241"/>
        <v>0</v>
      </c>
      <c r="CF233" s="251"/>
      <c r="CG233" s="251"/>
      <c r="CH233" s="251"/>
    </row>
    <row r="234" spans="1:86" ht="15" customHeight="1">
      <c r="A234" s="265"/>
      <c r="B234" s="265"/>
      <c r="C234" s="265"/>
      <c r="D234" s="265"/>
      <c r="E234" s="265"/>
      <c r="F234" s="565"/>
      <c r="G234" s="382" t="str">
        <f>CONCATENATE(League!D163,"-",League!K163)</f>
        <v>16/15-18/17</v>
      </c>
      <c r="H234" s="386" t="str">
        <f>CONCATENATE(IF(League!G163&gt;League!H163,1,IF(League!G163&lt;League!H163,2,IF(AND(League!G163=League!H163,League!G163&lt;&gt;"",League!H163&lt;&gt;""),"X",0))),"|",League!G163,"-",League!H163)</f>
        <v>0|-</v>
      </c>
      <c r="I234" s="219"/>
      <c r="J234" s="326"/>
      <c r="K234" s="322">
        <f t="shared" si="238"/>
        <v>0</v>
      </c>
      <c r="L234" s="251"/>
      <c r="M234" s="326"/>
      <c r="N234" s="322">
        <f t="shared" si="242"/>
        <v>0</v>
      </c>
      <c r="O234" s="251"/>
      <c r="P234" s="326"/>
      <c r="Q234" s="322">
        <f t="shared" si="242"/>
        <v>0</v>
      </c>
      <c r="R234" s="251"/>
      <c r="S234" s="326"/>
      <c r="T234" s="322">
        <f t="shared" si="242"/>
        <v>0</v>
      </c>
      <c r="U234" s="251"/>
      <c r="V234" s="326"/>
      <c r="W234" s="322">
        <f t="shared" si="242"/>
        <v>0</v>
      </c>
      <c r="X234" s="251"/>
      <c r="Y234" s="326"/>
      <c r="Z234" s="322">
        <f t="shared" si="242"/>
        <v>0</v>
      </c>
      <c r="AA234" s="251"/>
      <c r="AB234" s="326"/>
      <c r="AC234" s="322">
        <f t="shared" si="242"/>
        <v>0</v>
      </c>
      <c r="AD234" s="251"/>
      <c r="AE234" s="326"/>
      <c r="AF234" s="322">
        <f t="shared" si="242"/>
        <v>0</v>
      </c>
      <c r="AG234" s="251"/>
      <c r="AH234" s="326"/>
      <c r="AI234" s="322">
        <f t="shared" si="242"/>
        <v>0</v>
      </c>
      <c r="AJ234" s="251"/>
      <c r="AK234" s="326"/>
      <c r="AL234" s="322">
        <f t="shared" si="242"/>
        <v>0</v>
      </c>
      <c r="AM234" s="251"/>
      <c r="AN234" s="326"/>
      <c r="AO234" s="322">
        <f t="shared" si="242"/>
        <v>0</v>
      </c>
      <c r="AP234" s="251"/>
      <c r="AQ234" s="326"/>
      <c r="AR234" s="322">
        <f t="shared" si="242"/>
        <v>0</v>
      </c>
      <c r="AS234" s="251"/>
      <c r="AT234" s="326"/>
      <c r="AU234" s="322">
        <f t="shared" si="242"/>
        <v>0</v>
      </c>
      <c r="AV234" s="251"/>
      <c r="AW234" s="326"/>
      <c r="AX234" s="322">
        <f t="shared" si="242"/>
        <v>0</v>
      </c>
      <c r="AY234" s="251"/>
      <c r="AZ234" s="326"/>
      <c r="BA234" s="322">
        <f t="shared" si="242"/>
        <v>0</v>
      </c>
      <c r="BB234" s="251"/>
      <c r="BC234" s="326"/>
      <c r="BD234" s="322">
        <f t="shared" si="242"/>
        <v>0</v>
      </c>
      <c r="BE234" s="251"/>
      <c r="BF234" s="326"/>
      <c r="BG234" s="322">
        <f t="shared" si="242"/>
        <v>0</v>
      </c>
      <c r="BH234" s="251"/>
      <c r="BI234" s="326"/>
      <c r="BJ234" s="322">
        <f t="shared" si="242"/>
        <v>0</v>
      </c>
      <c r="BK234" s="251"/>
      <c r="BL234" s="326"/>
      <c r="BM234" s="322">
        <f t="shared" si="242"/>
        <v>0</v>
      </c>
      <c r="BN234" s="251"/>
      <c r="BO234" s="326"/>
      <c r="BP234" s="322">
        <f t="shared" si="242"/>
        <v>0</v>
      </c>
      <c r="BQ234" s="251"/>
      <c r="BR234" s="326"/>
      <c r="BS234" s="322">
        <f t="shared" si="242"/>
        <v>0</v>
      </c>
      <c r="BT234" s="251"/>
      <c r="BU234" s="326"/>
      <c r="BV234" s="322">
        <f t="shared" si="242"/>
        <v>0</v>
      </c>
      <c r="BW234" s="251"/>
      <c r="BX234" s="326"/>
      <c r="BY234" s="322">
        <f t="shared" si="242"/>
        <v>0</v>
      </c>
      <c r="BZ234" s="251"/>
      <c r="CA234" s="326"/>
      <c r="CB234" s="322">
        <f t="shared" si="241"/>
        <v>0</v>
      </c>
      <c r="CC234" s="251"/>
      <c r="CD234" s="326"/>
      <c r="CE234" s="322">
        <f t="shared" si="241"/>
        <v>0</v>
      </c>
      <c r="CF234" s="251"/>
      <c r="CG234" s="251"/>
      <c r="CH234" s="251"/>
    </row>
    <row r="235" spans="1:86" s="369" customFormat="1" ht="15" customHeight="1">
      <c r="A235" s="265"/>
      <c r="B235" s="265"/>
      <c r="C235" s="265"/>
      <c r="D235" s="265"/>
      <c r="E235" s="265"/>
      <c r="F235" s="265"/>
      <c r="G235" s="265"/>
      <c r="H235" s="265"/>
      <c r="I235" s="265"/>
      <c r="J235" s="368"/>
      <c r="K235" s="265" t="str">
        <f>CONCATENATE(SUM(K219:K234),"/",SUM($D$14:$D$16)*COUNT(K219:K234))</f>
        <v>0/0</v>
      </c>
      <c r="L235" s="265"/>
      <c r="M235" s="368"/>
      <c r="N235" s="265" t="str">
        <f t="shared" ref="N235" si="243">CONCATENATE(SUM(N219:N234),"/",SUM($D$14:$D$16)*COUNT(N219:N234))</f>
        <v>0/0</v>
      </c>
      <c r="O235" s="265"/>
      <c r="P235" s="368"/>
      <c r="Q235" s="265" t="str">
        <f t="shared" ref="Q235" si="244">CONCATENATE(SUM(Q219:Q234),"/",SUM($D$14:$D$16)*COUNT(Q219:Q234))</f>
        <v>0/0</v>
      </c>
      <c r="R235" s="265"/>
      <c r="S235" s="368"/>
      <c r="T235" s="265" t="str">
        <f t="shared" ref="T235" si="245">CONCATENATE(SUM(T219:T234),"/",SUM($D$14:$D$16)*COUNT(T219:T234))</f>
        <v>0/0</v>
      </c>
      <c r="U235" s="265"/>
      <c r="V235" s="368"/>
      <c r="W235" s="265" t="str">
        <f t="shared" ref="W235" si="246">CONCATENATE(SUM(W219:W234),"/",SUM($D$14:$D$16)*COUNT(W219:W234))</f>
        <v>0/0</v>
      </c>
      <c r="X235" s="265"/>
      <c r="Y235" s="368"/>
      <c r="Z235" s="265" t="str">
        <f t="shared" ref="Z235" si="247">CONCATENATE(SUM(Z219:Z234),"/",SUM($D$14:$D$16)*COUNT(Z219:Z234))</f>
        <v>0/0</v>
      </c>
      <c r="AA235" s="265"/>
      <c r="AB235" s="368"/>
      <c r="AC235" s="265" t="str">
        <f t="shared" ref="AC235" si="248">CONCATENATE(SUM(AC219:AC234),"/",SUM($D$14:$D$16)*COUNT(AC219:AC234))</f>
        <v>0/0</v>
      </c>
      <c r="AD235" s="265"/>
      <c r="AE235" s="368"/>
      <c r="AF235" s="265" t="str">
        <f t="shared" ref="AF235" si="249">CONCATENATE(SUM(AF219:AF234),"/",SUM($D$14:$D$16)*COUNT(AF219:AF234))</f>
        <v>0/0</v>
      </c>
      <c r="AG235" s="265"/>
      <c r="AH235" s="368"/>
      <c r="AI235" s="265" t="str">
        <f t="shared" ref="AI235" si="250">CONCATENATE(SUM(AI219:AI234),"/",SUM($D$14:$D$16)*COUNT(AI219:AI234))</f>
        <v>0/0</v>
      </c>
      <c r="AJ235" s="265"/>
      <c r="AK235" s="368"/>
      <c r="AL235" s="265" t="str">
        <f t="shared" ref="AL235" si="251">CONCATENATE(SUM(AL219:AL234),"/",SUM($D$14:$D$16)*COUNT(AL219:AL234))</f>
        <v>0/0</v>
      </c>
      <c r="AM235" s="265"/>
      <c r="AN235" s="368"/>
      <c r="AO235" s="265" t="str">
        <f t="shared" ref="AO235" si="252">CONCATENATE(SUM(AO219:AO234),"/",SUM($D$14:$D$16)*COUNT(AO219:AO234))</f>
        <v>0/0</v>
      </c>
      <c r="AP235" s="265"/>
      <c r="AQ235" s="368"/>
      <c r="AR235" s="265" t="str">
        <f t="shared" ref="AR235" si="253">CONCATENATE(SUM(AR219:AR234),"/",SUM($D$14:$D$16)*COUNT(AR219:AR234))</f>
        <v>0/0</v>
      </c>
      <c r="AS235" s="265"/>
      <c r="AT235" s="368"/>
      <c r="AU235" s="265" t="str">
        <f t="shared" ref="AU235" si="254">CONCATENATE(SUM(AU219:AU234),"/",SUM($D$14:$D$16)*COUNT(AU219:AU234))</f>
        <v>0/0</v>
      </c>
      <c r="AV235" s="265"/>
      <c r="AW235" s="368"/>
      <c r="AX235" s="265" t="str">
        <f t="shared" ref="AX235" si="255">CONCATENATE(SUM(AX219:AX234),"/",SUM($D$14:$D$16)*COUNT(AX219:AX234))</f>
        <v>0/0</v>
      </c>
      <c r="AY235" s="265"/>
      <c r="AZ235" s="368"/>
      <c r="BA235" s="265" t="str">
        <f t="shared" ref="BA235" si="256">CONCATENATE(SUM(BA219:BA234),"/",SUM($D$14:$D$16)*COUNT(BA219:BA234))</f>
        <v>0/0</v>
      </c>
      <c r="BB235" s="265"/>
      <c r="BC235" s="368"/>
      <c r="BD235" s="265" t="str">
        <f t="shared" ref="BD235" si="257">CONCATENATE(SUM(BD219:BD234),"/",SUM($D$14:$D$16)*COUNT(BD219:BD234))</f>
        <v>0/0</v>
      </c>
      <c r="BE235" s="265"/>
      <c r="BF235" s="368"/>
      <c r="BG235" s="265" t="str">
        <f t="shared" ref="BG235" si="258">CONCATENATE(SUM(BG219:BG234),"/",SUM($D$14:$D$16)*COUNT(BG219:BG234))</f>
        <v>0/0</v>
      </c>
      <c r="BH235" s="265"/>
      <c r="BI235" s="368"/>
      <c r="BJ235" s="265" t="str">
        <f t="shared" ref="BJ235" si="259">CONCATENATE(SUM(BJ219:BJ234),"/",SUM($D$14:$D$16)*COUNT(BJ219:BJ234))</f>
        <v>0/0</v>
      </c>
      <c r="BK235" s="265"/>
      <c r="BL235" s="368"/>
      <c r="BM235" s="265" t="str">
        <f t="shared" ref="BM235" si="260">CONCATENATE(SUM(BM219:BM234),"/",SUM($D$14:$D$16)*COUNT(BM219:BM234))</f>
        <v>0/0</v>
      </c>
      <c r="BN235" s="265"/>
      <c r="BO235" s="368"/>
      <c r="BP235" s="265" t="str">
        <f t="shared" ref="BP235" si="261">CONCATENATE(SUM(BP219:BP234),"/",SUM($D$14:$D$16)*COUNT(BP219:BP234))</f>
        <v>0/0</v>
      </c>
      <c r="BQ235" s="265"/>
      <c r="BR235" s="368"/>
      <c r="BS235" s="265" t="str">
        <f t="shared" ref="BS235" si="262">CONCATENATE(SUM(BS219:BS234),"/",SUM($D$14:$D$16)*COUNT(BS219:BS234))</f>
        <v>0/0</v>
      </c>
      <c r="BT235" s="265"/>
      <c r="BU235" s="368"/>
      <c r="BV235" s="265" t="str">
        <f t="shared" ref="BV235" si="263">CONCATENATE(SUM(BV219:BV234),"/",SUM($D$14:$D$16)*COUNT(BV219:BV234))</f>
        <v>0/0</v>
      </c>
      <c r="BW235" s="265"/>
      <c r="BX235" s="368"/>
      <c r="BY235" s="265" t="str">
        <f t="shared" ref="BY235" si="264">CONCATENATE(SUM(BY219:BY234),"/",SUM($D$14:$D$16)*COUNT(BY219:BY234))</f>
        <v>0/0</v>
      </c>
      <c r="BZ235" s="265"/>
      <c r="CA235" s="368"/>
      <c r="CB235" s="265" t="str">
        <f t="shared" ref="CB235" si="265">CONCATENATE(SUM(CB219:CB234),"/",SUM($D$14:$D$16)*COUNT(CB219:CB234))</f>
        <v>0/0</v>
      </c>
      <c r="CC235" s="265"/>
      <c r="CD235" s="368"/>
      <c r="CE235" s="265" t="str">
        <f t="shared" ref="CE235" si="266">CONCATENATE(SUM(CE219:CE234),"/",SUM($D$14:$D$16)*COUNT(CE219:CE234))</f>
        <v>0/0</v>
      </c>
      <c r="CF235" s="265"/>
      <c r="CG235" s="265"/>
      <c r="CH235" s="265"/>
    </row>
    <row r="236" spans="1:86" ht="15.95" customHeight="1">
      <c r="A236" s="265"/>
      <c r="B236" s="265"/>
      <c r="C236" s="265"/>
      <c r="D236" s="265"/>
      <c r="E236" s="265"/>
      <c r="F236" s="265"/>
      <c r="G236" s="316" t="str">
        <f>+Idiomas!D222</f>
        <v>CLASIFICADOS PARA OCTAVOS (DESDE PLAYOFFS)</v>
      </c>
      <c r="H236" s="370"/>
      <c r="I236" s="219"/>
      <c r="J236" s="371"/>
      <c r="K236" s="219"/>
      <c r="L236" s="251"/>
      <c r="M236" s="371"/>
      <c r="N236" s="219"/>
      <c r="O236" s="251"/>
      <c r="P236" s="371"/>
      <c r="Q236" s="219"/>
      <c r="R236" s="251"/>
      <c r="S236" s="371"/>
      <c r="T236" s="219"/>
      <c r="U236" s="251"/>
      <c r="V236" s="371"/>
      <c r="W236" s="219"/>
      <c r="X236" s="251"/>
      <c r="Y236" s="371"/>
      <c r="Z236" s="219"/>
      <c r="AA236" s="251"/>
      <c r="AB236" s="371"/>
      <c r="AC236" s="219"/>
      <c r="AD236" s="251"/>
      <c r="AE236" s="371"/>
      <c r="AF236" s="219"/>
      <c r="AG236" s="251"/>
      <c r="AH236" s="371"/>
      <c r="AI236" s="219"/>
      <c r="AJ236" s="251"/>
      <c r="AK236" s="371"/>
      <c r="AL236" s="219"/>
      <c r="AM236" s="251"/>
      <c r="AN236" s="371"/>
      <c r="AO236" s="219"/>
      <c r="AP236" s="251"/>
      <c r="AQ236" s="371"/>
      <c r="AR236" s="219"/>
      <c r="AS236" s="251"/>
      <c r="AT236" s="371"/>
      <c r="AU236" s="219"/>
      <c r="AV236" s="251"/>
      <c r="AW236" s="371"/>
      <c r="AX236" s="219"/>
      <c r="AY236" s="251"/>
      <c r="AZ236" s="371"/>
      <c r="BA236" s="219"/>
      <c r="BB236" s="251"/>
      <c r="BC236" s="371"/>
      <c r="BD236" s="219"/>
      <c r="BE236" s="251"/>
      <c r="BF236" s="371"/>
      <c r="BG236" s="219"/>
      <c r="BH236" s="251"/>
      <c r="BI236" s="371"/>
      <c r="BJ236" s="219"/>
      <c r="BK236" s="251"/>
      <c r="BL236" s="371"/>
      <c r="BM236" s="219"/>
      <c r="BN236" s="251"/>
      <c r="BO236" s="371"/>
      <c r="BP236" s="219"/>
      <c r="BQ236" s="251"/>
      <c r="BR236" s="371"/>
      <c r="BS236" s="219"/>
      <c r="BT236" s="251"/>
      <c r="BU236" s="371"/>
      <c r="BV236" s="219"/>
      <c r="BW236" s="251"/>
      <c r="BX236" s="371"/>
      <c r="BY236" s="219"/>
      <c r="BZ236" s="251"/>
      <c r="CA236" s="371"/>
      <c r="CB236" s="219"/>
      <c r="CC236" s="251"/>
      <c r="CD236" s="371"/>
      <c r="CE236" s="219"/>
      <c r="CF236" s="251"/>
      <c r="CG236" s="251"/>
      <c r="CH236" s="251"/>
    </row>
    <row r="237" spans="1:86" ht="15" customHeight="1">
      <c r="A237" s="265"/>
      <c r="B237" s="265"/>
      <c r="C237" s="265"/>
      <c r="D237" s="265"/>
      <c r="E237" s="265"/>
      <c r="F237" s="565" t="s">
        <v>196</v>
      </c>
      <c r="G237" s="374" t="str">
        <f>+Idiomas!$D$276</f>
        <v>Octavofinalista</v>
      </c>
      <c r="H237" s="320" t="str">
        <f>+League!P149</f>
        <v>WPO1</v>
      </c>
      <c r="I237" s="219"/>
      <c r="J237" s="326"/>
      <c r="K237" s="322">
        <f t="shared" ref="K237:K244" si="267">COUNTIF($H$237:$H$244,J237)*$D$17</f>
        <v>0</v>
      </c>
      <c r="L237" s="251"/>
      <c r="M237" s="326"/>
      <c r="N237" s="322">
        <f t="shared" ref="N237:BY244" si="268">COUNTIF($H$237:$H$244,M237)*$D$17</f>
        <v>0</v>
      </c>
      <c r="O237" s="251"/>
      <c r="P237" s="326"/>
      <c r="Q237" s="322">
        <f t="shared" si="268"/>
        <v>0</v>
      </c>
      <c r="R237" s="251"/>
      <c r="S237" s="326"/>
      <c r="T237" s="322">
        <f t="shared" si="268"/>
        <v>0</v>
      </c>
      <c r="U237" s="251"/>
      <c r="V237" s="326"/>
      <c r="W237" s="322">
        <f t="shared" si="268"/>
        <v>0</v>
      </c>
      <c r="X237" s="251"/>
      <c r="Y237" s="326"/>
      <c r="Z237" s="322">
        <f t="shared" si="268"/>
        <v>0</v>
      </c>
      <c r="AA237" s="251"/>
      <c r="AB237" s="326"/>
      <c r="AC237" s="322">
        <f t="shared" si="268"/>
        <v>0</v>
      </c>
      <c r="AD237" s="251"/>
      <c r="AE237" s="326"/>
      <c r="AF237" s="322">
        <f t="shared" si="268"/>
        <v>0</v>
      </c>
      <c r="AG237" s="251"/>
      <c r="AH237" s="326"/>
      <c r="AI237" s="322">
        <f t="shared" si="268"/>
        <v>0</v>
      </c>
      <c r="AJ237" s="251"/>
      <c r="AK237" s="326"/>
      <c r="AL237" s="322">
        <f t="shared" si="268"/>
        <v>0</v>
      </c>
      <c r="AM237" s="251"/>
      <c r="AN237" s="326"/>
      <c r="AO237" s="322">
        <f t="shared" si="268"/>
        <v>0</v>
      </c>
      <c r="AP237" s="251"/>
      <c r="AQ237" s="326"/>
      <c r="AR237" s="322">
        <f t="shared" si="268"/>
        <v>0</v>
      </c>
      <c r="AS237" s="251"/>
      <c r="AT237" s="326"/>
      <c r="AU237" s="322">
        <f t="shared" si="268"/>
        <v>0</v>
      </c>
      <c r="AV237" s="251"/>
      <c r="AW237" s="326"/>
      <c r="AX237" s="322">
        <f t="shared" si="268"/>
        <v>0</v>
      </c>
      <c r="AY237" s="251"/>
      <c r="AZ237" s="326"/>
      <c r="BA237" s="322">
        <f t="shared" si="268"/>
        <v>0</v>
      </c>
      <c r="BB237" s="251"/>
      <c r="BC237" s="326"/>
      <c r="BD237" s="322">
        <f t="shared" si="268"/>
        <v>0</v>
      </c>
      <c r="BE237" s="251"/>
      <c r="BF237" s="326"/>
      <c r="BG237" s="322">
        <f t="shared" si="268"/>
        <v>0</v>
      </c>
      <c r="BH237" s="251"/>
      <c r="BI237" s="326"/>
      <c r="BJ237" s="322">
        <f t="shared" si="268"/>
        <v>0</v>
      </c>
      <c r="BK237" s="251"/>
      <c r="BL237" s="326"/>
      <c r="BM237" s="322">
        <f t="shared" si="268"/>
        <v>0</v>
      </c>
      <c r="BN237" s="251"/>
      <c r="BO237" s="326"/>
      <c r="BP237" s="322">
        <f t="shared" si="268"/>
        <v>0</v>
      </c>
      <c r="BQ237" s="251"/>
      <c r="BR237" s="326"/>
      <c r="BS237" s="322">
        <f t="shared" si="268"/>
        <v>0</v>
      </c>
      <c r="BT237" s="251"/>
      <c r="BU237" s="326"/>
      <c r="BV237" s="322">
        <f t="shared" si="268"/>
        <v>0</v>
      </c>
      <c r="BW237" s="251"/>
      <c r="BX237" s="326"/>
      <c r="BY237" s="322">
        <f t="shared" si="268"/>
        <v>0</v>
      </c>
      <c r="BZ237" s="251"/>
      <c r="CA237" s="326"/>
      <c r="CB237" s="322">
        <f t="shared" ref="CB237:CE244" si="269">COUNTIF($H$237:$H$244,CA237)*$D$17</f>
        <v>0</v>
      </c>
      <c r="CC237" s="251"/>
      <c r="CD237" s="326"/>
      <c r="CE237" s="322">
        <f t="shared" si="269"/>
        <v>0</v>
      </c>
      <c r="CF237" s="251"/>
      <c r="CG237" s="251"/>
      <c r="CH237" s="251"/>
    </row>
    <row r="238" spans="1:86" ht="15" customHeight="1">
      <c r="A238" s="265"/>
      <c r="B238" s="265"/>
      <c r="C238" s="265"/>
      <c r="D238" s="265"/>
      <c r="E238" s="265"/>
      <c r="F238" s="565"/>
      <c r="G238" s="374" t="str">
        <f>+Idiomas!$D$276</f>
        <v>Octavofinalista</v>
      </c>
      <c r="H238" s="320" t="str">
        <f>+League!P151</f>
        <v>WPO2</v>
      </c>
      <c r="I238" s="219"/>
      <c r="J238" s="326"/>
      <c r="K238" s="322">
        <f t="shared" si="267"/>
        <v>0</v>
      </c>
      <c r="L238" s="251"/>
      <c r="M238" s="326"/>
      <c r="N238" s="322">
        <f t="shared" si="268"/>
        <v>0</v>
      </c>
      <c r="O238" s="251"/>
      <c r="P238" s="326"/>
      <c r="Q238" s="322">
        <f t="shared" si="268"/>
        <v>0</v>
      </c>
      <c r="R238" s="251"/>
      <c r="S238" s="326"/>
      <c r="T238" s="322">
        <f t="shared" si="268"/>
        <v>0</v>
      </c>
      <c r="U238" s="251"/>
      <c r="V238" s="326"/>
      <c r="W238" s="322">
        <f t="shared" si="268"/>
        <v>0</v>
      </c>
      <c r="X238" s="251"/>
      <c r="Y238" s="326"/>
      <c r="Z238" s="322">
        <f t="shared" si="268"/>
        <v>0</v>
      </c>
      <c r="AA238" s="251"/>
      <c r="AB238" s="326"/>
      <c r="AC238" s="322">
        <f t="shared" si="268"/>
        <v>0</v>
      </c>
      <c r="AD238" s="251"/>
      <c r="AE238" s="326"/>
      <c r="AF238" s="322">
        <f t="shared" si="268"/>
        <v>0</v>
      </c>
      <c r="AG238" s="251"/>
      <c r="AH238" s="326"/>
      <c r="AI238" s="322">
        <f t="shared" si="268"/>
        <v>0</v>
      </c>
      <c r="AJ238" s="251"/>
      <c r="AK238" s="326"/>
      <c r="AL238" s="322">
        <f t="shared" si="268"/>
        <v>0</v>
      </c>
      <c r="AM238" s="251"/>
      <c r="AN238" s="326"/>
      <c r="AO238" s="322">
        <f t="shared" si="268"/>
        <v>0</v>
      </c>
      <c r="AP238" s="251"/>
      <c r="AQ238" s="326"/>
      <c r="AR238" s="322">
        <f t="shared" si="268"/>
        <v>0</v>
      </c>
      <c r="AS238" s="251"/>
      <c r="AT238" s="326"/>
      <c r="AU238" s="322">
        <f t="shared" si="268"/>
        <v>0</v>
      </c>
      <c r="AV238" s="251"/>
      <c r="AW238" s="326"/>
      <c r="AX238" s="322">
        <f t="shared" si="268"/>
        <v>0</v>
      </c>
      <c r="AY238" s="251"/>
      <c r="AZ238" s="326"/>
      <c r="BA238" s="322">
        <f t="shared" si="268"/>
        <v>0</v>
      </c>
      <c r="BB238" s="251"/>
      <c r="BC238" s="326"/>
      <c r="BD238" s="322">
        <f t="shared" si="268"/>
        <v>0</v>
      </c>
      <c r="BE238" s="251"/>
      <c r="BF238" s="326"/>
      <c r="BG238" s="322">
        <f t="shared" si="268"/>
        <v>0</v>
      </c>
      <c r="BH238" s="251"/>
      <c r="BI238" s="326"/>
      <c r="BJ238" s="322">
        <f t="shared" si="268"/>
        <v>0</v>
      </c>
      <c r="BK238" s="251"/>
      <c r="BL238" s="326"/>
      <c r="BM238" s="322">
        <f t="shared" si="268"/>
        <v>0</v>
      </c>
      <c r="BN238" s="251"/>
      <c r="BO238" s="326"/>
      <c r="BP238" s="322">
        <f t="shared" si="268"/>
        <v>0</v>
      </c>
      <c r="BQ238" s="251"/>
      <c r="BR238" s="326"/>
      <c r="BS238" s="322">
        <f t="shared" si="268"/>
        <v>0</v>
      </c>
      <c r="BT238" s="251"/>
      <c r="BU238" s="326"/>
      <c r="BV238" s="322">
        <f t="shared" si="268"/>
        <v>0</v>
      </c>
      <c r="BW238" s="251"/>
      <c r="BX238" s="326"/>
      <c r="BY238" s="322">
        <f t="shared" si="268"/>
        <v>0</v>
      </c>
      <c r="BZ238" s="251"/>
      <c r="CA238" s="326"/>
      <c r="CB238" s="322">
        <f t="shared" si="269"/>
        <v>0</v>
      </c>
      <c r="CC238" s="251"/>
      <c r="CD238" s="326"/>
      <c r="CE238" s="322">
        <f t="shared" si="269"/>
        <v>0</v>
      </c>
      <c r="CF238" s="251"/>
      <c r="CG238" s="251"/>
      <c r="CH238" s="251"/>
    </row>
    <row r="239" spans="1:86" ht="15" customHeight="1">
      <c r="A239" s="265"/>
      <c r="B239" s="265"/>
      <c r="C239" s="265"/>
      <c r="D239" s="265"/>
      <c r="E239" s="265"/>
      <c r="F239" s="565"/>
      <c r="G239" s="374" t="str">
        <f>+Idiomas!$D$276</f>
        <v>Octavofinalista</v>
      </c>
      <c r="H239" s="320" t="str">
        <f>+League!P153</f>
        <v>WPO3</v>
      </c>
      <c r="I239" s="219"/>
      <c r="J239" s="326"/>
      <c r="K239" s="322">
        <f t="shared" si="267"/>
        <v>0</v>
      </c>
      <c r="L239" s="251"/>
      <c r="M239" s="326"/>
      <c r="N239" s="322">
        <f t="shared" si="268"/>
        <v>0</v>
      </c>
      <c r="O239" s="251"/>
      <c r="P239" s="326"/>
      <c r="Q239" s="322">
        <f t="shared" si="268"/>
        <v>0</v>
      </c>
      <c r="R239" s="251"/>
      <c r="S239" s="326"/>
      <c r="T239" s="322">
        <f t="shared" si="268"/>
        <v>0</v>
      </c>
      <c r="U239" s="251"/>
      <c r="V239" s="326"/>
      <c r="W239" s="322">
        <f t="shared" si="268"/>
        <v>0</v>
      </c>
      <c r="X239" s="251"/>
      <c r="Y239" s="326"/>
      <c r="Z239" s="322">
        <f t="shared" si="268"/>
        <v>0</v>
      </c>
      <c r="AA239" s="251"/>
      <c r="AB239" s="326"/>
      <c r="AC239" s="322">
        <f t="shared" si="268"/>
        <v>0</v>
      </c>
      <c r="AD239" s="251"/>
      <c r="AE239" s="326"/>
      <c r="AF239" s="322">
        <f t="shared" si="268"/>
        <v>0</v>
      </c>
      <c r="AG239" s="251"/>
      <c r="AH239" s="326"/>
      <c r="AI239" s="322">
        <f t="shared" si="268"/>
        <v>0</v>
      </c>
      <c r="AJ239" s="251"/>
      <c r="AK239" s="326"/>
      <c r="AL239" s="322">
        <f t="shared" si="268"/>
        <v>0</v>
      </c>
      <c r="AM239" s="251"/>
      <c r="AN239" s="326"/>
      <c r="AO239" s="322">
        <f t="shared" si="268"/>
        <v>0</v>
      </c>
      <c r="AP239" s="251"/>
      <c r="AQ239" s="326"/>
      <c r="AR239" s="322">
        <f t="shared" si="268"/>
        <v>0</v>
      </c>
      <c r="AS239" s="251"/>
      <c r="AT239" s="326"/>
      <c r="AU239" s="322">
        <f t="shared" si="268"/>
        <v>0</v>
      </c>
      <c r="AV239" s="251"/>
      <c r="AW239" s="326"/>
      <c r="AX239" s="322">
        <f t="shared" si="268"/>
        <v>0</v>
      </c>
      <c r="AY239" s="251"/>
      <c r="AZ239" s="326"/>
      <c r="BA239" s="322">
        <f t="shared" si="268"/>
        <v>0</v>
      </c>
      <c r="BB239" s="251"/>
      <c r="BC239" s="326"/>
      <c r="BD239" s="322">
        <f t="shared" si="268"/>
        <v>0</v>
      </c>
      <c r="BE239" s="251"/>
      <c r="BF239" s="326"/>
      <c r="BG239" s="322">
        <f t="shared" si="268"/>
        <v>0</v>
      </c>
      <c r="BH239" s="251"/>
      <c r="BI239" s="326"/>
      <c r="BJ239" s="322">
        <f t="shared" si="268"/>
        <v>0</v>
      </c>
      <c r="BK239" s="251"/>
      <c r="BL239" s="326"/>
      <c r="BM239" s="322">
        <f t="shared" si="268"/>
        <v>0</v>
      </c>
      <c r="BN239" s="251"/>
      <c r="BO239" s="326"/>
      <c r="BP239" s="322">
        <f t="shared" si="268"/>
        <v>0</v>
      </c>
      <c r="BQ239" s="251"/>
      <c r="BR239" s="326"/>
      <c r="BS239" s="322">
        <f t="shared" si="268"/>
        <v>0</v>
      </c>
      <c r="BT239" s="251"/>
      <c r="BU239" s="326"/>
      <c r="BV239" s="322">
        <f t="shared" si="268"/>
        <v>0</v>
      </c>
      <c r="BW239" s="251"/>
      <c r="BX239" s="326"/>
      <c r="BY239" s="322">
        <f t="shared" si="268"/>
        <v>0</v>
      </c>
      <c r="BZ239" s="251"/>
      <c r="CA239" s="326"/>
      <c r="CB239" s="322">
        <f t="shared" si="269"/>
        <v>0</v>
      </c>
      <c r="CC239" s="251"/>
      <c r="CD239" s="326"/>
      <c r="CE239" s="322">
        <f t="shared" si="269"/>
        <v>0</v>
      </c>
      <c r="CF239" s="251"/>
      <c r="CG239" s="251"/>
      <c r="CH239" s="251"/>
    </row>
    <row r="240" spans="1:86" ht="15" customHeight="1">
      <c r="A240" s="265"/>
      <c r="B240" s="265"/>
      <c r="C240" s="265"/>
      <c r="D240" s="265"/>
      <c r="E240" s="265"/>
      <c r="F240" s="565"/>
      <c r="G240" s="374" t="str">
        <f>+Idiomas!$D$276</f>
        <v>Octavofinalista</v>
      </c>
      <c r="H240" s="320" t="str">
        <f>+League!P155</f>
        <v>WPO4</v>
      </c>
      <c r="I240" s="219"/>
      <c r="J240" s="326"/>
      <c r="K240" s="322">
        <f t="shared" si="267"/>
        <v>0</v>
      </c>
      <c r="L240" s="251"/>
      <c r="M240" s="326"/>
      <c r="N240" s="322">
        <f t="shared" si="268"/>
        <v>0</v>
      </c>
      <c r="O240" s="251"/>
      <c r="P240" s="326"/>
      <c r="Q240" s="322">
        <f t="shared" si="268"/>
        <v>0</v>
      </c>
      <c r="R240" s="251"/>
      <c r="S240" s="326"/>
      <c r="T240" s="322">
        <f t="shared" si="268"/>
        <v>0</v>
      </c>
      <c r="U240" s="251"/>
      <c r="V240" s="326"/>
      <c r="W240" s="322">
        <f t="shared" si="268"/>
        <v>0</v>
      </c>
      <c r="X240" s="251"/>
      <c r="Y240" s="326"/>
      <c r="Z240" s="322">
        <f t="shared" si="268"/>
        <v>0</v>
      </c>
      <c r="AA240" s="251"/>
      <c r="AB240" s="326"/>
      <c r="AC240" s="322">
        <f t="shared" si="268"/>
        <v>0</v>
      </c>
      <c r="AD240" s="251"/>
      <c r="AE240" s="326"/>
      <c r="AF240" s="322">
        <f t="shared" si="268"/>
        <v>0</v>
      </c>
      <c r="AG240" s="251"/>
      <c r="AH240" s="326"/>
      <c r="AI240" s="322">
        <f t="shared" si="268"/>
        <v>0</v>
      </c>
      <c r="AJ240" s="251"/>
      <c r="AK240" s="326"/>
      <c r="AL240" s="322">
        <f t="shared" si="268"/>
        <v>0</v>
      </c>
      <c r="AM240" s="251"/>
      <c r="AN240" s="326"/>
      <c r="AO240" s="322">
        <f t="shared" si="268"/>
        <v>0</v>
      </c>
      <c r="AP240" s="251"/>
      <c r="AQ240" s="326"/>
      <c r="AR240" s="322">
        <f t="shared" si="268"/>
        <v>0</v>
      </c>
      <c r="AS240" s="251"/>
      <c r="AT240" s="326"/>
      <c r="AU240" s="322">
        <f t="shared" si="268"/>
        <v>0</v>
      </c>
      <c r="AV240" s="251"/>
      <c r="AW240" s="326"/>
      <c r="AX240" s="322">
        <f t="shared" si="268"/>
        <v>0</v>
      </c>
      <c r="AY240" s="251"/>
      <c r="AZ240" s="326"/>
      <c r="BA240" s="322">
        <f t="shared" si="268"/>
        <v>0</v>
      </c>
      <c r="BB240" s="251"/>
      <c r="BC240" s="326"/>
      <c r="BD240" s="322">
        <f t="shared" si="268"/>
        <v>0</v>
      </c>
      <c r="BE240" s="251"/>
      <c r="BF240" s="326"/>
      <c r="BG240" s="322">
        <f t="shared" si="268"/>
        <v>0</v>
      </c>
      <c r="BH240" s="251"/>
      <c r="BI240" s="326"/>
      <c r="BJ240" s="322">
        <f t="shared" si="268"/>
        <v>0</v>
      </c>
      <c r="BK240" s="251"/>
      <c r="BL240" s="326"/>
      <c r="BM240" s="322">
        <f t="shared" si="268"/>
        <v>0</v>
      </c>
      <c r="BN240" s="251"/>
      <c r="BO240" s="326"/>
      <c r="BP240" s="322">
        <f t="shared" si="268"/>
        <v>0</v>
      </c>
      <c r="BQ240" s="251"/>
      <c r="BR240" s="326"/>
      <c r="BS240" s="322">
        <f t="shared" si="268"/>
        <v>0</v>
      </c>
      <c r="BT240" s="251"/>
      <c r="BU240" s="326"/>
      <c r="BV240" s="322">
        <f t="shared" si="268"/>
        <v>0</v>
      </c>
      <c r="BW240" s="251"/>
      <c r="BX240" s="326"/>
      <c r="BY240" s="322">
        <f t="shared" si="268"/>
        <v>0</v>
      </c>
      <c r="BZ240" s="251"/>
      <c r="CA240" s="326"/>
      <c r="CB240" s="322">
        <f t="shared" si="269"/>
        <v>0</v>
      </c>
      <c r="CC240" s="251"/>
      <c r="CD240" s="326"/>
      <c r="CE240" s="322">
        <f t="shared" si="269"/>
        <v>0</v>
      </c>
      <c r="CF240" s="251"/>
      <c r="CG240" s="251"/>
      <c r="CH240" s="251"/>
    </row>
    <row r="241" spans="1:86" ht="15" customHeight="1">
      <c r="A241" s="265"/>
      <c r="B241" s="265"/>
      <c r="C241" s="265"/>
      <c r="D241" s="265"/>
      <c r="E241" s="265"/>
      <c r="F241" s="565"/>
      <c r="G241" s="374" t="str">
        <f>+Idiomas!$D$276</f>
        <v>Octavofinalista</v>
      </c>
      <c r="H241" s="320" t="str">
        <f>+League!P157</f>
        <v>WPO5</v>
      </c>
      <c r="I241" s="219"/>
      <c r="J241" s="326"/>
      <c r="K241" s="322">
        <f t="shared" si="267"/>
        <v>0</v>
      </c>
      <c r="L241" s="251"/>
      <c r="M241" s="326"/>
      <c r="N241" s="322">
        <f t="shared" si="268"/>
        <v>0</v>
      </c>
      <c r="O241" s="251"/>
      <c r="P241" s="326"/>
      <c r="Q241" s="322">
        <f t="shared" si="268"/>
        <v>0</v>
      </c>
      <c r="R241" s="251"/>
      <c r="S241" s="326"/>
      <c r="T241" s="322">
        <f t="shared" si="268"/>
        <v>0</v>
      </c>
      <c r="U241" s="251"/>
      <c r="V241" s="326"/>
      <c r="W241" s="322">
        <f t="shared" si="268"/>
        <v>0</v>
      </c>
      <c r="X241" s="251"/>
      <c r="Y241" s="326"/>
      <c r="Z241" s="322">
        <f t="shared" si="268"/>
        <v>0</v>
      </c>
      <c r="AA241" s="251"/>
      <c r="AB241" s="326"/>
      <c r="AC241" s="322">
        <f t="shared" si="268"/>
        <v>0</v>
      </c>
      <c r="AD241" s="251"/>
      <c r="AE241" s="326"/>
      <c r="AF241" s="322">
        <f t="shared" si="268"/>
        <v>0</v>
      </c>
      <c r="AG241" s="251"/>
      <c r="AH241" s="326"/>
      <c r="AI241" s="322">
        <f t="shared" si="268"/>
        <v>0</v>
      </c>
      <c r="AJ241" s="251"/>
      <c r="AK241" s="326"/>
      <c r="AL241" s="322">
        <f t="shared" si="268"/>
        <v>0</v>
      </c>
      <c r="AM241" s="251"/>
      <c r="AN241" s="326"/>
      <c r="AO241" s="322">
        <f t="shared" si="268"/>
        <v>0</v>
      </c>
      <c r="AP241" s="251"/>
      <c r="AQ241" s="326"/>
      <c r="AR241" s="322">
        <f t="shared" si="268"/>
        <v>0</v>
      </c>
      <c r="AS241" s="251"/>
      <c r="AT241" s="326"/>
      <c r="AU241" s="322">
        <f t="shared" si="268"/>
        <v>0</v>
      </c>
      <c r="AV241" s="251"/>
      <c r="AW241" s="326"/>
      <c r="AX241" s="322">
        <f t="shared" si="268"/>
        <v>0</v>
      </c>
      <c r="AY241" s="251"/>
      <c r="AZ241" s="326"/>
      <c r="BA241" s="322">
        <f t="shared" si="268"/>
        <v>0</v>
      </c>
      <c r="BB241" s="251"/>
      <c r="BC241" s="326"/>
      <c r="BD241" s="322">
        <f t="shared" si="268"/>
        <v>0</v>
      </c>
      <c r="BE241" s="251"/>
      <c r="BF241" s="326"/>
      <c r="BG241" s="322">
        <f t="shared" si="268"/>
        <v>0</v>
      </c>
      <c r="BH241" s="251"/>
      <c r="BI241" s="326"/>
      <c r="BJ241" s="322">
        <f t="shared" si="268"/>
        <v>0</v>
      </c>
      <c r="BK241" s="251"/>
      <c r="BL241" s="326"/>
      <c r="BM241" s="322">
        <f t="shared" si="268"/>
        <v>0</v>
      </c>
      <c r="BN241" s="251"/>
      <c r="BO241" s="326"/>
      <c r="BP241" s="322">
        <f t="shared" si="268"/>
        <v>0</v>
      </c>
      <c r="BQ241" s="251"/>
      <c r="BR241" s="326"/>
      <c r="BS241" s="322">
        <f t="shared" si="268"/>
        <v>0</v>
      </c>
      <c r="BT241" s="251"/>
      <c r="BU241" s="326"/>
      <c r="BV241" s="322">
        <f t="shared" si="268"/>
        <v>0</v>
      </c>
      <c r="BW241" s="251"/>
      <c r="BX241" s="326"/>
      <c r="BY241" s="322">
        <f t="shared" si="268"/>
        <v>0</v>
      </c>
      <c r="BZ241" s="251"/>
      <c r="CA241" s="326"/>
      <c r="CB241" s="322">
        <f t="shared" si="269"/>
        <v>0</v>
      </c>
      <c r="CC241" s="251"/>
      <c r="CD241" s="326"/>
      <c r="CE241" s="322">
        <f t="shared" si="269"/>
        <v>0</v>
      </c>
      <c r="CF241" s="251"/>
      <c r="CG241" s="251"/>
      <c r="CH241" s="251"/>
    </row>
    <row r="242" spans="1:86" ht="15" customHeight="1">
      <c r="A242" s="265"/>
      <c r="B242" s="265"/>
      <c r="C242" s="265"/>
      <c r="D242" s="265"/>
      <c r="E242" s="265"/>
      <c r="F242" s="565"/>
      <c r="G242" s="374" t="str">
        <f>+Idiomas!$D$276</f>
        <v>Octavofinalista</v>
      </c>
      <c r="H242" s="320" t="str">
        <f>+League!P159</f>
        <v>WPO6</v>
      </c>
      <c r="I242" s="219"/>
      <c r="J242" s="326"/>
      <c r="K242" s="322">
        <f t="shared" si="267"/>
        <v>0</v>
      </c>
      <c r="L242" s="251"/>
      <c r="M242" s="326"/>
      <c r="N242" s="322">
        <f t="shared" si="268"/>
        <v>0</v>
      </c>
      <c r="O242" s="251"/>
      <c r="P242" s="326"/>
      <c r="Q242" s="322">
        <f t="shared" si="268"/>
        <v>0</v>
      </c>
      <c r="R242" s="251"/>
      <c r="S242" s="326"/>
      <c r="T242" s="322">
        <f t="shared" si="268"/>
        <v>0</v>
      </c>
      <c r="U242" s="251"/>
      <c r="V242" s="326"/>
      <c r="W242" s="322">
        <f t="shared" si="268"/>
        <v>0</v>
      </c>
      <c r="X242" s="251"/>
      <c r="Y242" s="326"/>
      <c r="Z242" s="322">
        <f t="shared" si="268"/>
        <v>0</v>
      </c>
      <c r="AA242" s="251"/>
      <c r="AB242" s="326"/>
      <c r="AC242" s="322">
        <f t="shared" si="268"/>
        <v>0</v>
      </c>
      <c r="AD242" s="251"/>
      <c r="AE242" s="326"/>
      <c r="AF242" s="322">
        <f t="shared" si="268"/>
        <v>0</v>
      </c>
      <c r="AG242" s="251"/>
      <c r="AH242" s="326"/>
      <c r="AI242" s="322">
        <f t="shared" si="268"/>
        <v>0</v>
      </c>
      <c r="AJ242" s="251"/>
      <c r="AK242" s="326"/>
      <c r="AL242" s="322">
        <f t="shared" si="268"/>
        <v>0</v>
      </c>
      <c r="AM242" s="251"/>
      <c r="AN242" s="326"/>
      <c r="AO242" s="322">
        <f t="shared" si="268"/>
        <v>0</v>
      </c>
      <c r="AP242" s="251"/>
      <c r="AQ242" s="326"/>
      <c r="AR242" s="322">
        <f t="shared" si="268"/>
        <v>0</v>
      </c>
      <c r="AS242" s="251"/>
      <c r="AT242" s="326"/>
      <c r="AU242" s="322">
        <f t="shared" si="268"/>
        <v>0</v>
      </c>
      <c r="AV242" s="251"/>
      <c r="AW242" s="326"/>
      <c r="AX242" s="322">
        <f t="shared" si="268"/>
        <v>0</v>
      </c>
      <c r="AY242" s="251"/>
      <c r="AZ242" s="326"/>
      <c r="BA242" s="322">
        <f t="shared" si="268"/>
        <v>0</v>
      </c>
      <c r="BB242" s="251"/>
      <c r="BC242" s="326"/>
      <c r="BD242" s="322">
        <f t="shared" si="268"/>
        <v>0</v>
      </c>
      <c r="BE242" s="251"/>
      <c r="BF242" s="326"/>
      <c r="BG242" s="322">
        <f t="shared" si="268"/>
        <v>0</v>
      </c>
      <c r="BH242" s="251"/>
      <c r="BI242" s="326"/>
      <c r="BJ242" s="322">
        <f t="shared" si="268"/>
        <v>0</v>
      </c>
      <c r="BK242" s="251"/>
      <c r="BL242" s="326"/>
      <c r="BM242" s="322">
        <f t="shared" si="268"/>
        <v>0</v>
      </c>
      <c r="BN242" s="251"/>
      <c r="BO242" s="326"/>
      <c r="BP242" s="322">
        <f t="shared" si="268"/>
        <v>0</v>
      </c>
      <c r="BQ242" s="251"/>
      <c r="BR242" s="326"/>
      <c r="BS242" s="322">
        <f t="shared" si="268"/>
        <v>0</v>
      </c>
      <c r="BT242" s="251"/>
      <c r="BU242" s="326"/>
      <c r="BV242" s="322">
        <f t="shared" si="268"/>
        <v>0</v>
      </c>
      <c r="BW242" s="251"/>
      <c r="BX242" s="326"/>
      <c r="BY242" s="322">
        <f t="shared" si="268"/>
        <v>0</v>
      </c>
      <c r="BZ242" s="251"/>
      <c r="CA242" s="326"/>
      <c r="CB242" s="322">
        <f t="shared" si="269"/>
        <v>0</v>
      </c>
      <c r="CC242" s="251"/>
      <c r="CD242" s="326"/>
      <c r="CE242" s="322">
        <f t="shared" si="269"/>
        <v>0</v>
      </c>
      <c r="CF242" s="251"/>
      <c r="CG242" s="251"/>
      <c r="CH242" s="251"/>
    </row>
    <row r="243" spans="1:86" ht="15" customHeight="1">
      <c r="A243" s="265"/>
      <c r="B243" s="265"/>
      <c r="C243" s="265"/>
      <c r="D243" s="265"/>
      <c r="E243" s="265"/>
      <c r="F243" s="565"/>
      <c r="G243" s="374" t="str">
        <f>+Idiomas!$D$276</f>
        <v>Octavofinalista</v>
      </c>
      <c r="H243" s="320" t="str">
        <f>+League!P161</f>
        <v>WPO7</v>
      </c>
      <c r="I243" s="219"/>
      <c r="J243" s="326"/>
      <c r="K243" s="322">
        <f t="shared" si="267"/>
        <v>0</v>
      </c>
      <c r="L243" s="251"/>
      <c r="M243" s="326"/>
      <c r="N243" s="322">
        <f t="shared" si="268"/>
        <v>0</v>
      </c>
      <c r="O243" s="251"/>
      <c r="P243" s="326"/>
      <c r="Q243" s="322">
        <f t="shared" si="268"/>
        <v>0</v>
      </c>
      <c r="R243" s="251"/>
      <c r="S243" s="326"/>
      <c r="T243" s="322">
        <f t="shared" si="268"/>
        <v>0</v>
      </c>
      <c r="U243" s="251"/>
      <c r="V243" s="326"/>
      <c r="W243" s="322">
        <f t="shared" si="268"/>
        <v>0</v>
      </c>
      <c r="X243" s="251"/>
      <c r="Y243" s="326"/>
      <c r="Z243" s="322">
        <f t="shared" si="268"/>
        <v>0</v>
      </c>
      <c r="AA243" s="251"/>
      <c r="AB243" s="326"/>
      <c r="AC243" s="322">
        <f t="shared" si="268"/>
        <v>0</v>
      </c>
      <c r="AD243" s="251"/>
      <c r="AE243" s="326"/>
      <c r="AF243" s="322">
        <f t="shared" si="268"/>
        <v>0</v>
      </c>
      <c r="AG243" s="251"/>
      <c r="AH243" s="326"/>
      <c r="AI243" s="322">
        <f t="shared" si="268"/>
        <v>0</v>
      </c>
      <c r="AJ243" s="251"/>
      <c r="AK243" s="326"/>
      <c r="AL243" s="322">
        <f t="shared" si="268"/>
        <v>0</v>
      </c>
      <c r="AM243" s="251"/>
      <c r="AN243" s="326"/>
      <c r="AO243" s="322">
        <f t="shared" si="268"/>
        <v>0</v>
      </c>
      <c r="AP243" s="251"/>
      <c r="AQ243" s="326"/>
      <c r="AR243" s="322">
        <f t="shared" si="268"/>
        <v>0</v>
      </c>
      <c r="AS243" s="251"/>
      <c r="AT243" s="326"/>
      <c r="AU243" s="322">
        <f t="shared" si="268"/>
        <v>0</v>
      </c>
      <c r="AV243" s="251"/>
      <c r="AW243" s="326"/>
      <c r="AX243" s="322">
        <f t="shared" si="268"/>
        <v>0</v>
      </c>
      <c r="AY243" s="251"/>
      <c r="AZ243" s="326"/>
      <c r="BA243" s="322">
        <f t="shared" si="268"/>
        <v>0</v>
      </c>
      <c r="BB243" s="251"/>
      <c r="BC243" s="326"/>
      <c r="BD243" s="322">
        <f t="shared" si="268"/>
        <v>0</v>
      </c>
      <c r="BE243" s="251"/>
      <c r="BF243" s="326"/>
      <c r="BG243" s="322">
        <f t="shared" si="268"/>
        <v>0</v>
      </c>
      <c r="BH243" s="251"/>
      <c r="BI243" s="326"/>
      <c r="BJ243" s="322">
        <f t="shared" si="268"/>
        <v>0</v>
      </c>
      <c r="BK243" s="251"/>
      <c r="BL243" s="326"/>
      <c r="BM243" s="322">
        <f t="shared" si="268"/>
        <v>0</v>
      </c>
      <c r="BN243" s="251"/>
      <c r="BO243" s="326"/>
      <c r="BP243" s="322">
        <f t="shared" si="268"/>
        <v>0</v>
      </c>
      <c r="BQ243" s="251"/>
      <c r="BR243" s="326"/>
      <c r="BS243" s="322">
        <f t="shared" si="268"/>
        <v>0</v>
      </c>
      <c r="BT243" s="251"/>
      <c r="BU243" s="326"/>
      <c r="BV243" s="322">
        <f t="shared" si="268"/>
        <v>0</v>
      </c>
      <c r="BW243" s="251"/>
      <c r="BX243" s="326"/>
      <c r="BY243" s="322">
        <f t="shared" si="268"/>
        <v>0</v>
      </c>
      <c r="BZ243" s="251"/>
      <c r="CA243" s="326"/>
      <c r="CB243" s="322">
        <f t="shared" si="269"/>
        <v>0</v>
      </c>
      <c r="CC243" s="251"/>
      <c r="CD243" s="326"/>
      <c r="CE243" s="322">
        <f t="shared" si="269"/>
        <v>0</v>
      </c>
      <c r="CF243" s="251"/>
      <c r="CG243" s="251"/>
      <c r="CH243" s="251"/>
    </row>
    <row r="244" spans="1:86" ht="15" customHeight="1">
      <c r="A244" s="265"/>
      <c r="B244" s="265"/>
      <c r="C244" s="265"/>
      <c r="D244" s="265"/>
      <c r="E244" s="265"/>
      <c r="F244" s="565"/>
      <c r="G244" s="374" t="str">
        <f>+Idiomas!$D$276</f>
        <v>Octavofinalista</v>
      </c>
      <c r="H244" s="320" t="str">
        <f>+League!P163</f>
        <v>WPO8</v>
      </c>
      <c r="I244" s="219"/>
      <c r="J244" s="375"/>
      <c r="K244" s="322">
        <f t="shared" si="267"/>
        <v>0</v>
      </c>
      <c r="L244" s="251"/>
      <c r="M244" s="375"/>
      <c r="N244" s="322">
        <f t="shared" si="268"/>
        <v>0</v>
      </c>
      <c r="O244" s="251"/>
      <c r="P244" s="375"/>
      <c r="Q244" s="322">
        <f t="shared" si="268"/>
        <v>0</v>
      </c>
      <c r="R244" s="251"/>
      <c r="S244" s="375"/>
      <c r="T244" s="322">
        <f t="shared" si="268"/>
        <v>0</v>
      </c>
      <c r="U244" s="251"/>
      <c r="V244" s="375"/>
      <c r="W244" s="322">
        <f t="shared" si="268"/>
        <v>0</v>
      </c>
      <c r="X244" s="251"/>
      <c r="Y244" s="375"/>
      <c r="Z244" s="322">
        <f t="shared" si="268"/>
        <v>0</v>
      </c>
      <c r="AA244" s="251"/>
      <c r="AB244" s="375"/>
      <c r="AC244" s="322">
        <f t="shared" si="268"/>
        <v>0</v>
      </c>
      <c r="AD244" s="251"/>
      <c r="AE244" s="375"/>
      <c r="AF244" s="322">
        <f t="shared" si="268"/>
        <v>0</v>
      </c>
      <c r="AG244" s="251"/>
      <c r="AH244" s="375"/>
      <c r="AI244" s="322">
        <f t="shared" si="268"/>
        <v>0</v>
      </c>
      <c r="AJ244" s="251"/>
      <c r="AK244" s="375"/>
      <c r="AL244" s="322">
        <f t="shared" si="268"/>
        <v>0</v>
      </c>
      <c r="AM244" s="251"/>
      <c r="AN244" s="375"/>
      <c r="AO244" s="322">
        <f t="shared" si="268"/>
        <v>0</v>
      </c>
      <c r="AP244" s="251"/>
      <c r="AQ244" s="375"/>
      <c r="AR244" s="322">
        <f t="shared" si="268"/>
        <v>0</v>
      </c>
      <c r="AS244" s="251"/>
      <c r="AT244" s="375"/>
      <c r="AU244" s="322">
        <f t="shared" si="268"/>
        <v>0</v>
      </c>
      <c r="AV244" s="251"/>
      <c r="AW244" s="375"/>
      <c r="AX244" s="322">
        <f t="shared" si="268"/>
        <v>0</v>
      </c>
      <c r="AY244" s="251"/>
      <c r="AZ244" s="375"/>
      <c r="BA244" s="322">
        <f t="shared" si="268"/>
        <v>0</v>
      </c>
      <c r="BB244" s="251"/>
      <c r="BC244" s="375"/>
      <c r="BD244" s="322">
        <f t="shared" si="268"/>
        <v>0</v>
      </c>
      <c r="BE244" s="251"/>
      <c r="BF244" s="375"/>
      <c r="BG244" s="322">
        <f t="shared" si="268"/>
        <v>0</v>
      </c>
      <c r="BH244" s="251"/>
      <c r="BI244" s="375"/>
      <c r="BJ244" s="322">
        <f t="shared" si="268"/>
        <v>0</v>
      </c>
      <c r="BK244" s="251"/>
      <c r="BL244" s="375"/>
      <c r="BM244" s="322">
        <f t="shared" si="268"/>
        <v>0</v>
      </c>
      <c r="BN244" s="251"/>
      <c r="BO244" s="375"/>
      <c r="BP244" s="322">
        <f t="shared" si="268"/>
        <v>0</v>
      </c>
      <c r="BQ244" s="251"/>
      <c r="BR244" s="375"/>
      <c r="BS244" s="322">
        <f t="shared" si="268"/>
        <v>0</v>
      </c>
      <c r="BT244" s="251"/>
      <c r="BU244" s="375"/>
      <c r="BV244" s="322">
        <f t="shared" si="268"/>
        <v>0</v>
      </c>
      <c r="BW244" s="251"/>
      <c r="BX244" s="375"/>
      <c r="BY244" s="322">
        <f t="shared" si="268"/>
        <v>0</v>
      </c>
      <c r="BZ244" s="251"/>
      <c r="CA244" s="375"/>
      <c r="CB244" s="322">
        <f t="shared" si="269"/>
        <v>0</v>
      </c>
      <c r="CC244" s="251"/>
      <c r="CD244" s="375"/>
      <c r="CE244" s="322">
        <f t="shared" si="269"/>
        <v>0</v>
      </c>
      <c r="CF244" s="251"/>
      <c r="CG244" s="251"/>
      <c r="CH244" s="251"/>
    </row>
    <row r="245" spans="1:86" ht="15" customHeight="1">
      <c r="A245" s="265"/>
      <c r="B245" s="265"/>
      <c r="C245" s="265"/>
      <c r="D245" s="265"/>
      <c r="E245" s="265"/>
      <c r="F245" s="265"/>
      <c r="G245" s="265"/>
      <c r="H245" s="265"/>
      <c r="I245" s="265"/>
      <c r="J245" s="368"/>
      <c r="K245" s="265" t="str">
        <f>CONCATENATE(SUM(K237:K244),"/",$D$17*8)</f>
        <v>0/0</v>
      </c>
      <c r="L245" s="265"/>
      <c r="M245" s="368"/>
      <c r="N245" s="265" t="str">
        <f t="shared" ref="N245" si="270">CONCATENATE(SUM(N237:N244),"/",$D$17*8)</f>
        <v>0/0</v>
      </c>
      <c r="O245" s="265"/>
      <c r="P245" s="368"/>
      <c r="Q245" s="265" t="str">
        <f t="shared" ref="Q245" si="271">CONCATENATE(SUM(Q237:Q244),"/",$D$17*8)</f>
        <v>0/0</v>
      </c>
      <c r="R245" s="265"/>
      <c r="S245" s="368"/>
      <c r="T245" s="265" t="str">
        <f t="shared" ref="T245" si="272">CONCATENATE(SUM(T237:T244),"/",$D$17*8)</f>
        <v>0/0</v>
      </c>
      <c r="U245" s="265"/>
      <c r="V245" s="368"/>
      <c r="W245" s="265" t="str">
        <f t="shared" ref="W245" si="273">CONCATENATE(SUM(W237:W244),"/",$D$17*8)</f>
        <v>0/0</v>
      </c>
      <c r="X245" s="265"/>
      <c r="Y245" s="368"/>
      <c r="Z245" s="265" t="str">
        <f t="shared" ref="Z245" si="274">CONCATENATE(SUM(Z237:Z244),"/",$D$17*8)</f>
        <v>0/0</v>
      </c>
      <c r="AA245" s="265"/>
      <c r="AB245" s="368"/>
      <c r="AC245" s="265" t="str">
        <f t="shared" ref="AC245" si="275">CONCATENATE(SUM(AC237:AC244),"/",$D$17*8)</f>
        <v>0/0</v>
      </c>
      <c r="AD245" s="265"/>
      <c r="AE245" s="368"/>
      <c r="AF245" s="265" t="str">
        <f t="shared" ref="AF245" si="276">CONCATENATE(SUM(AF237:AF244),"/",$D$17*8)</f>
        <v>0/0</v>
      </c>
      <c r="AG245" s="265"/>
      <c r="AH245" s="368"/>
      <c r="AI245" s="265" t="str">
        <f t="shared" ref="AI245" si="277">CONCATENATE(SUM(AI237:AI244),"/",$D$17*8)</f>
        <v>0/0</v>
      </c>
      <c r="AJ245" s="265"/>
      <c r="AK245" s="368"/>
      <c r="AL245" s="265" t="str">
        <f t="shared" ref="AL245" si="278">CONCATENATE(SUM(AL237:AL244),"/",$D$17*8)</f>
        <v>0/0</v>
      </c>
      <c r="AM245" s="265"/>
      <c r="AN245" s="368"/>
      <c r="AO245" s="265" t="str">
        <f t="shared" ref="AO245" si="279">CONCATENATE(SUM(AO237:AO244),"/",$D$17*8)</f>
        <v>0/0</v>
      </c>
      <c r="AP245" s="265"/>
      <c r="AQ245" s="368"/>
      <c r="AR245" s="265" t="str">
        <f t="shared" ref="AR245" si="280">CONCATENATE(SUM(AR237:AR244),"/",$D$17*8)</f>
        <v>0/0</v>
      </c>
      <c r="AS245" s="265"/>
      <c r="AT245" s="368"/>
      <c r="AU245" s="265" t="str">
        <f t="shared" ref="AU245" si="281">CONCATENATE(SUM(AU237:AU244),"/",$D$17*8)</f>
        <v>0/0</v>
      </c>
      <c r="AV245" s="265"/>
      <c r="AW245" s="368"/>
      <c r="AX245" s="265" t="str">
        <f t="shared" ref="AX245" si="282">CONCATENATE(SUM(AX237:AX244),"/",$D$17*8)</f>
        <v>0/0</v>
      </c>
      <c r="AY245" s="265"/>
      <c r="AZ245" s="368"/>
      <c r="BA245" s="265" t="str">
        <f t="shared" ref="BA245" si="283">CONCATENATE(SUM(BA237:BA244),"/",$D$17*8)</f>
        <v>0/0</v>
      </c>
      <c r="BB245" s="265"/>
      <c r="BC245" s="368"/>
      <c r="BD245" s="265" t="str">
        <f t="shared" ref="BD245" si="284">CONCATENATE(SUM(BD237:BD244),"/",$D$17*8)</f>
        <v>0/0</v>
      </c>
      <c r="BE245" s="265"/>
      <c r="BF245" s="368"/>
      <c r="BG245" s="265" t="str">
        <f t="shared" ref="BG245" si="285">CONCATENATE(SUM(BG237:BG244),"/",$D$17*8)</f>
        <v>0/0</v>
      </c>
      <c r="BH245" s="265"/>
      <c r="BI245" s="368"/>
      <c r="BJ245" s="265" t="str">
        <f t="shared" ref="BJ245" si="286">CONCATENATE(SUM(BJ237:BJ244),"/",$D$17*8)</f>
        <v>0/0</v>
      </c>
      <c r="BK245" s="265"/>
      <c r="BL245" s="368"/>
      <c r="BM245" s="265" t="str">
        <f t="shared" ref="BM245" si="287">CONCATENATE(SUM(BM237:BM244),"/",$D$17*8)</f>
        <v>0/0</v>
      </c>
      <c r="BN245" s="265"/>
      <c r="BO245" s="368"/>
      <c r="BP245" s="265" t="str">
        <f t="shared" ref="BP245" si="288">CONCATENATE(SUM(BP237:BP244),"/",$D$17*8)</f>
        <v>0/0</v>
      </c>
      <c r="BQ245" s="265"/>
      <c r="BR245" s="368"/>
      <c r="BS245" s="265" t="str">
        <f t="shared" ref="BS245" si="289">CONCATENATE(SUM(BS237:BS244),"/",$D$17*8)</f>
        <v>0/0</v>
      </c>
      <c r="BT245" s="265"/>
      <c r="BU245" s="368"/>
      <c r="BV245" s="265" t="str">
        <f t="shared" ref="BV245" si="290">CONCATENATE(SUM(BV237:BV244),"/",$D$17*8)</f>
        <v>0/0</v>
      </c>
      <c r="BW245" s="265"/>
      <c r="BX245" s="368"/>
      <c r="BY245" s="265" t="str">
        <f t="shared" ref="BY245" si="291">CONCATENATE(SUM(BY237:BY244),"/",$D$17*8)</f>
        <v>0/0</v>
      </c>
      <c r="BZ245" s="265"/>
      <c r="CA245" s="368"/>
      <c r="CB245" s="265" t="str">
        <f t="shared" ref="CB245" si="292">CONCATENATE(SUM(CB237:CB244),"/",$D$17*8)</f>
        <v>0/0</v>
      </c>
      <c r="CC245" s="265"/>
      <c r="CD245" s="368"/>
      <c r="CE245" s="265" t="str">
        <f t="shared" ref="CE245" si="293">CONCATENATE(SUM(CE237:CE244),"/",$D$17*8)</f>
        <v>0/0</v>
      </c>
      <c r="CF245" s="265"/>
      <c r="CG245" s="265"/>
      <c r="CH245" s="265"/>
    </row>
    <row r="246" spans="1:86" ht="15.95" customHeight="1">
      <c r="A246" s="265"/>
      <c r="B246" s="265"/>
      <c r="C246" s="265"/>
      <c r="D246" s="265"/>
      <c r="E246" s="265"/>
      <c r="F246" s="265"/>
      <c r="G246" s="316" t="str">
        <f>+Idiomas!D110</f>
        <v>OCTAVOS DE FINAL</v>
      </c>
      <c r="H246" s="370"/>
      <c r="I246" s="219"/>
      <c r="J246" s="371"/>
      <c r="K246" s="219"/>
      <c r="L246" s="251"/>
      <c r="M246" s="371"/>
      <c r="N246" s="219"/>
      <c r="O246" s="251"/>
      <c r="P246" s="371"/>
      <c r="Q246" s="219"/>
      <c r="R246" s="251"/>
      <c r="S246" s="371"/>
      <c r="T246" s="219"/>
      <c r="U246" s="251"/>
      <c r="V246" s="371"/>
      <c r="W246" s="219"/>
      <c r="X246" s="251"/>
      <c r="Y246" s="371"/>
      <c r="Z246" s="219"/>
      <c r="AA246" s="251"/>
      <c r="AB246" s="371"/>
      <c r="AC246" s="219"/>
      <c r="AD246" s="251"/>
      <c r="AE246" s="371"/>
      <c r="AF246" s="219"/>
      <c r="AG246" s="251"/>
      <c r="AH246" s="371"/>
      <c r="AI246" s="219"/>
      <c r="AJ246" s="251"/>
      <c r="AK246" s="371"/>
      <c r="AL246" s="219"/>
      <c r="AM246" s="251"/>
      <c r="AN246" s="371"/>
      <c r="AO246" s="219"/>
      <c r="AP246" s="251"/>
      <c r="AQ246" s="371"/>
      <c r="AR246" s="219"/>
      <c r="AS246" s="251"/>
      <c r="AT246" s="371"/>
      <c r="AU246" s="219"/>
      <c r="AV246" s="251"/>
      <c r="AW246" s="371"/>
      <c r="AX246" s="219"/>
      <c r="AY246" s="251"/>
      <c r="AZ246" s="371"/>
      <c r="BA246" s="219"/>
      <c r="BB246" s="251"/>
      <c r="BC246" s="371"/>
      <c r="BD246" s="219"/>
      <c r="BE246" s="251"/>
      <c r="BF246" s="371"/>
      <c r="BG246" s="219"/>
      <c r="BH246" s="251"/>
      <c r="BI246" s="371"/>
      <c r="BJ246" s="219"/>
      <c r="BK246" s="251"/>
      <c r="BL246" s="371"/>
      <c r="BM246" s="219"/>
      <c r="BN246" s="251"/>
      <c r="BO246" s="371"/>
      <c r="BP246" s="219"/>
      <c r="BQ246" s="251"/>
      <c r="BR246" s="371"/>
      <c r="BS246" s="219"/>
      <c r="BT246" s="251"/>
      <c r="BU246" s="371"/>
      <c r="BV246" s="219"/>
      <c r="BW246" s="251"/>
      <c r="BX246" s="371"/>
      <c r="BY246" s="219"/>
      <c r="BZ246" s="251"/>
      <c r="CA246" s="371"/>
      <c r="CB246" s="219"/>
      <c r="CC246" s="251"/>
      <c r="CD246" s="371"/>
      <c r="CE246" s="219"/>
      <c r="CF246" s="251"/>
      <c r="CG246" s="251"/>
      <c r="CH246" s="251"/>
    </row>
    <row r="247" spans="1:86" ht="15" customHeight="1">
      <c r="A247" s="265"/>
      <c r="B247" s="265"/>
      <c r="C247" s="265"/>
      <c r="D247" s="265"/>
      <c r="E247" s="265"/>
      <c r="F247" s="565" t="s">
        <v>196</v>
      </c>
      <c r="G247" s="374" t="str">
        <f>CONCATENATE(League!D166,"-",League!K166)</f>
        <v>WPO1-5/6</v>
      </c>
      <c r="H247" s="320" t="str">
        <f>CONCATENATE(IF(League!G166&gt;League!H166,1,IF(League!G166&lt;League!H166,2,IF(AND(League!G166=League!H166,League!G166&lt;&gt;"",League!H166&lt;&gt;""),"X",0))),"|",League!G166,"-",League!H166)</f>
        <v>0|-</v>
      </c>
      <c r="I247" s="219"/>
      <c r="J247" s="326" t="str">
        <f>+Idiomas!$D$247</f>
        <v>Pegar Valores Octavos</v>
      </c>
      <c r="K247" s="322">
        <f t="shared" ref="K247:K262" si="294">IFERROR(SUM(IF($H247=J247,$D$20),IF(LEFT($H247,1)=LEFT(J247,1),$D$18),IF(MID($H247,FIND("|",$H247)+1,FIND("-",$H247)-FIND("|",$H247)-1)-MID($H247,FIND("-",$H247)+1,11)=MID(J247,FIND("|",J247)+1,FIND("-",J247)-FIND("|",J247)-1)-MID(J247,FIND("-",J247)+1,11),$D$19)),)</f>
        <v>0</v>
      </c>
      <c r="L247" s="251"/>
      <c r="M247" s="326" t="str">
        <f>+Idiomas!$D$247</f>
        <v>Pegar Valores Octavos</v>
      </c>
      <c r="N247" s="322">
        <f t="shared" ref="N247:BY258" si="295">IFERROR(SUM(IF($H247=M247,$D$20),IF(LEFT($H247,1)=LEFT(M247,1),$D$18),IF(MID($H247,FIND("|",$H247)+1,FIND("-",$H247)-FIND("|",$H247)-1)-MID($H247,FIND("-",$H247)+1,11)=MID(M247,FIND("|",M247)+1,FIND("-",M247)-FIND("|",M247)-1)-MID(M247,FIND("-",M247)+1,11),$D$19)),)</f>
        <v>0</v>
      </c>
      <c r="O247" s="251"/>
      <c r="P247" s="326" t="str">
        <f>+Idiomas!$D$247</f>
        <v>Pegar Valores Octavos</v>
      </c>
      <c r="Q247" s="322">
        <f t="shared" si="295"/>
        <v>0</v>
      </c>
      <c r="R247" s="251"/>
      <c r="S247" s="326" t="str">
        <f>+Idiomas!$D$247</f>
        <v>Pegar Valores Octavos</v>
      </c>
      <c r="T247" s="322">
        <f t="shared" si="295"/>
        <v>0</v>
      </c>
      <c r="U247" s="251"/>
      <c r="V247" s="326" t="str">
        <f>+Idiomas!$D$247</f>
        <v>Pegar Valores Octavos</v>
      </c>
      <c r="W247" s="322">
        <f t="shared" si="295"/>
        <v>0</v>
      </c>
      <c r="X247" s="251"/>
      <c r="Y247" s="326" t="str">
        <f>+Idiomas!$D$247</f>
        <v>Pegar Valores Octavos</v>
      </c>
      <c r="Z247" s="322">
        <f t="shared" si="295"/>
        <v>0</v>
      </c>
      <c r="AA247" s="251"/>
      <c r="AB247" s="326" t="str">
        <f>+Idiomas!$D$247</f>
        <v>Pegar Valores Octavos</v>
      </c>
      <c r="AC247" s="322">
        <f t="shared" si="295"/>
        <v>0</v>
      </c>
      <c r="AD247" s="251"/>
      <c r="AE247" s="326" t="str">
        <f>+Idiomas!$D$247</f>
        <v>Pegar Valores Octavos</v>
      </c>
      <c r="AF247" s="322">
        <f t="shared" si="295"/>
        <v>0</v>
      </c>
      <c r="AG247" s="251"/>
      <c r="AH247" s="326" t="str">
        <f>+Idiomas!$D$247</f>
        <v>Pegar Valores Octavos</v>
      </c>
      <c r="AI247" s="322">
        <f t="shared" si="295"/>
        <v>0</v>
      </c>
      <c r="AJ247" s="251"/>
      <c r="AK247" s="326" t="str">
        <f>+Idiomas!$D$247</f>
        <v>Pegar Valores Octavos</v>
      </c>
      <c r="AL247" s="322">
        <f t="shared" si="295"/>
        <v>0</v>
      </c>
      <c r="AM247" s="251"/>
      <c r="AN247" s="326" t="str">
        <f>+Idiomas!$D$247</f>
        <v>Pegar Valores Octavos</v>
      </c>
      <c r="AO247" s="322">
        <f t="shared" si="295"/>
        <v>0</v>
      </c>
      <c r="AP247" s="251"/>
      <c r="AQ247" s="326" t="str">
        <f>+Idiomas!$D$247</f>
        <v>Pegar Valores Octavos</v>
      </c>
      <c r="AR247" s="322">
        <f t="shared" si="295"/>
        <v>0</v>
      </c>
      <c r="AS247" s="251"/>
      <c r="AT247" s="326" t="str">
        <f>+Idiomas!$D$247</f>
        <v>Pegar Valores Octavos</v>
      </c>
      <c r="AU247" s="322">
        <f t="shared" si="295"/>
        <v>0</v>
      </c>
      <c r="AV247" s="251"/>
      <c r="AW247" s="326" t="str">
        <f>+Idiomas!$D$247</f>
        <v>Pegar Valores Octavos</v>
      </c>
      <c r="AX247" s="322">
        <f t="shared" si="295"/>
        <v>0</v>
      </c>
      <c r="AY247" s="251"/>
      <c r="AZ247" s="326" t="str">
        <f>+Idiomas!$D$247</f>
        <v>Pegar Valores Octavos</v>
      </c>
      <c r="BA247" s="322">
        <f t="shared" si="295"/>
        <v>0</v>
      </c>
      <c r="BB247" s="251"/>
      <c r="BC247" s="326" t="str">
        <f>+Idiomas!$D$247</f>
        <v>Pegar Valores Octavos</v>
      </c>
      <c r="BD247" s="322">
        <f t="shared" si="295"/>
        <v>0</v>
      </c>
      <c r="BE247" s="251"/>
      <c r="BF247" s="326" t="str">
        <f>+Idiomas!$D$247</f>
        <v>Pegar Valores Octavos</v>
      </c>
      <c r="BG247" s="322">
        <f t="shared" si="295"/>
        <v>0</v>
      </c>
      <c r="BH247" s="251"/>
      <c r="BI247" s="326" t="str">
        <f>+Idiomas!$D$247</f>
        <v>Pegar Valores Octavos</v>
      </c>
      <c r="BJ247" s="322">
        <f t="shared" si="295"/>
        <v>0</v>
      </c>
      <c r="BK247" s="251"/>
      <c r="BL247" s="326" t="str">
        <f>+Idiomas!$D$247</f>
        <v>Pegar Valores Octavos</v>
      </c>
      <c r="BM247" s="322">
        <f t="shared" si="295"/>
        <v>0</v>
      </c>
      <c r="BN247" s="251"/>
      <c r="BO247" s="326" t="str">
        <f>+Idiomas!$D$247</f>
        <v>Pegar Valores Octavos</v>
      </c>
      <c r="BP247" s="322">
        <f t="shared" si="295"/>
        <v>0</v>
      </c>
      <c r="BQ247" s="251"/>
      <c r="BR247" s="326" t="str">
        <f>+Idiomas!$D$247</f>
        <v>Pegar Valores Octavos</v>
      </c>
      <c r="BS247" s="322">
        <f t="shared" si="295"/>
        <v>0</v>
      </c>
      <c r="BT247" s="251"/>
      <c r="BU247" s="326" t="str">
        <f>+Idiomas!$D$247</f>
        <v>Pegar Valores Octavos</v>
      </c>
      <c r="BV247" s="322">
        <f t="shared" si="295"/>
        <v>0</v>
      </c>
      <c r="BW247" s="251"/>
      <c r="BX247" s="326" t="str">
        <f>+Idiomas!$D$247</f>
        <v>Pegar Valores Octavos</v>
      </c>
      <c r="BY247" s="322">
        <f t="shared" si="295"/>
        <v>0</v>
      </c>
      <c r="BZ247" s="251"/>
      <c r="CA247" s="326" t="str">
        <f>+Idiomas!$D$247</f>
        <v>Pegar Valores Octavos</v>
      </c>
      <c r="CB247" s="322">
        <f t="shared" ref="CB247:CE257" si="296">IFERROR(SUM(IF($H247=CA247,$D$20),IF(LEFT($H247,1)=LEFT(CA247,1),$D$18),IF(MID($H247,FIND("|",$H247)+1,FIND("-",$H247)-FIND("|",$H247)-1)-MID($H247,FIND("-",$H247)+1,11)=MID(CA247,FIND("|",CA247)+1,FIND("-",CA247)-FIND("|",CA247)-1)-MID(CA247,FIND("-",CA247)+1,11),$D$19)),)</f>
        <v>0</v>
      </c>
      <c r="CC247" s="251"/>
      <c r="CD247" s="326" t="str">
        <f>+Idiomas!$D$247</f>
        <v>Pegar Valores Octavos</v>
      </c>
      <c r="CE247" s="322">
        <f t="shared" si="296"/>
        <v>0</v>
      </c>
      <c r="CF247" s="251"/>
      <c r="CG247" s="251"/>
      <c r="CH247" s="251"/>
    </row>
    <row r="248" spans="1:86" ht="15" customHeight="1">
      <c r="A248" s="265"/>
      <c r="B248" s="265"/>
      <c r="C248" s="265"/>
      <c r="D248" s="265"/>
      <c r="E248" s="265"/>
      <c r="F248" s="565"/>
      <c r="G248" s="381" t="str">
        <f>CONCATENATE(League!D168,"-",League!K168)</f>
        <v>WPO2-3/4</v>
      </c>
      <c r="H248" s="320" t="str">
        <f>CONCATENATE(IF(League!G168&gt;League!H168,1,IF(League!G168&lt;League!H168,2,IF(AND(League!G168=League!H168,League!G168&lt;&gt;"",League!H168&lt;&gt;""),"X",0))),"|",League!G168,"-",League!H168)</f>
        <v>0|-</v>
      </c>
      <c r="I248" s="219"/>
      <c r="J248" s="326"/>
      <c r="K248" s="322">
        <f t="shared" si="294"/>
        <v>0</v>
      </c>
      <c r="L248" s="251"/>
      <c r="M248" s="326"/>
      <c r="N248" s="322">
        <f t="shared" si="295"/>
        <v>0</v>
      </c>
      <c r="O248" s="251"/>
      <c r="P248" s="326"/>
      <c r="Q248" s="322">
        <f t="shared" si="295"/>
        <v>0</v>
      </c>
      <c r="R248" s="251"/>
      <c r="S248" s="326"/>
      <c r="T248" s="322">
        <f t="shared" si="295"/>
        <v>0</v>
      </c>
      <c r="U248" s="251"/>
      <c r="V248" s="326"/>
      <c r="W248" s="322">
        <f t="shared" si="295"/>
        <v>0</v>
      </c>
      <c r="X248" s="251"/>
      <c r="Y248" s="326"/>
      <c r="Z248" s="322">
        <f t="shared" si="295"/>
        <v>0</v>
      </c>
      <c r="AA248" s="251"/>
      <c r="AB248" s="326"/>
      <c r="AC248" s="322">
        <f t="shared" si="295"/>
        <v>0</v>
      </c>
      <c r="AD248" s="251"/>
      <c r="AE248" s="326"/>
      <c r="AF248" s="322">
        <f t="shared" si="295"/>
        <v>0</v>
      </c>
      <c r="AG248" s="251"/>
      <c r="AH248" s="326"/>
      <c r="AI248" s="322">
        <f t="shared" si="295"/>
        <v>0</v>
      </c>
      <c r="AJ248" s="251"/>
      <c r="AK248" s="326"/>
      <c r="AL248" s="322">
        <f t="shared" si="295"/>
        <v>0</v>
      </c>
      <c r="AM248" s="251"/>
      <c r="AN248" s="326"/>
      <c r="AO248" s="322">
        <f t="shared" si="295"/>
        <v>0</v>
      </c>
      <c r="AP248" s="251"/>
      <c r="AQ248" s="326"/>
      <c r="AR248" s="322">
        <f t="shared" si="295"/>
        <v>0</v>
      </c>
      <c r="AS248" s="251"/>
      <c r="AT248" s="326"/>
      <c r="AU248" s="322">
        <f t="shared" si="295"/>
        <v>0</v>
      </c>
      <c r="AV248" s="251"/>
      <c r="AW248" s="326"/>
      <c r="AX248" s="322">
        <f t="shared" si="295"/>
        <v>0</v>
      </c>
      <c r="AY248" s="251"/>
      <c r="AZ248" s="326"/>
      <c r="BA248" s="322">
        <f t="shared" si="295"/>
        <v>0</v>
      </c>
      <c r="BB248" s="251"/>
      <c r="BC248" s="326"/>
      <c r="BD248" s="322">
        <f t="shared" si="295"/>
        <v>0</v>
      </c>
      <c r="BE248" s="251"/>
      <c r="BF248" s="326"/>
      <c r="BG248" s="322">
        <f t="shared" si="295"/>
        <v>0</v>
      </c>
      <c r="BH248" s="251"/>
      <c r="BI248" s="326"/>
      <c r="BJ248" s="322">
        <f t="shared" si="295"/>
        <v>0</v>
      </c>
      <c r="BK248" s="251"/>
      <c r="BL248" s="326"/>
      <c r="BM248" s="322">
        <f t="shared" si="295"/>
        <v>0</v>
      </c>
      <c r="BN248" s="251"/>
      <c r="BO248" s="326"/>
      <c r="BP248" s="322">
        <f t="shared" si="295"/>
        <v>0</v>
      </c>
      <c r="BQ248" s="251"/>
      <c r="BR248" s="326"/>
      <c r="BS248" s="322">
        <f t="shared" si="295"/>
        <v>0</v>
      </c>
      <c r="BT248" s="251"/>
      <c r="BU248" s="326"/>
      <c r="BV248" s="322">
        <f t="shared" si="295"/>
        <v>0</v>
      </c>
      <c r="BW248" s="251"/>
      <c r="BX248" s="326"/>
      <c r="BY248" s="322">
        <f t="shared" si="295"/>
        <v>0</v>
      </c>
      <c r="BZ248" s="251"/>
      <c r="CA248" s="326"/>
      <c r="CB248" s="322">
        <f t="shared" si="296"/>
        <v>0</v>
      </c>
      <c r="CC248" s="251"/>
      <c r="CD248" s="326"/>
      <c r="CE248" s="322">
        <f t="shared" si="296"/>
        <v>0</v>
      </c>
      <c r="CF248" s="251"/>
      <c r="CG248" s="251"/>
      <c r="CH248" s="251"/>
    </row>
    <row r="249" spans="1:86" ht="15" customHeight="1">
      <c r="A249" s="265"/>
      <c r="B249" s="265"/>
      <c r="C249" s="265"/>
      <c r="D249" s="265"/>
      <c r="E249" s="265"/>
      <c r="F249" s="565"/>
      <c r="G249" s="381" t="str">
        <f>CONCATENATE(League!D170,"-",League!K170)</f>
        <v>WPO3-7/8</v>
      </c>
      <c r="H249" s="320" t="str">
        <f>CONCATENATE(IF(League!G170&gt;League!H170,1,IF(League!G170&lt;League!H170,2,IF(AND(League!G170=League!H170,League!G170&lt;&gt;"",League!H170&lt;&gt;""),"X",0))),"|",League!G170,"-",League!H170)</f>
        <v>0|-</v>
      </c>
      <c r="I249" s="219"/>
      <c r="J249" s="326"/>
      <c r="K249" s="322">
        <f t="shared" si="294"/>
        <v>0</v>
      </c>
      <c r="L249" s="251"/>
      <c r="M249" s="326"/>
      <c r="N249" s="322">
        <f t="shared" si="295"/>
        <v>0</v>
      </c>
      <c r="O249" s="251"/>
      <c r="P249" s="326"/>
      <c r="Q249" s="322">
        <f t="shared" si="295"/>
        <v>0</v>
      </c>
      <c r="R249" s="251"/>
      <c r="S249" s="326"/>
      <c r="T249" s="322">
        <f t="shared" si="295"/>
        <v>0</v>
      </c>
      <c r="U249" s="251"/>
      <c r="V249" s="326"/>
      <c r="W249" s="322">
        <f t="shared" si="295"/>
        <v>0</v>
      </c>
      <c r="X249" s="251"/>
      <c r="Y249" s="326"/>
      <c r="Z249" s="322">
        <f t="shared" si="295"/>
        <v>0</v>
      </c>
      <c r="AA249" s="251"/>
      <c r="AB249" s="326"/>
      <c r="AC249" s="322">
        <f t="shared" si="295"/>
        <v>0</v>
      </c>
      <c r="AD249" s="251"/>
      <c r="AE249" s="326"/>
      <c r="AF249" s="322">
        <f t="shared" si="295"/>
        <v>0</v>
      </c>
      <c r="AG249" s="251"/>
      <c r="AH249" s="326"/>
      <c r="AI249" s="322">
        <f t="shared" si="295"/>
        <v>0</v>
      </c>
      <c r="AJ249" s="251"/>
      <c r="AK249" s="326"/>
      <c r="AL249" s="322">
        <f t="shared" si="295"/>
        <v>0</v>
      </c>
      <c r="AM249" s="251"/>
      <c r="AN249" s="326"/>
      <c r="AO249" s="322">
        <f t="shared" si="295"/>
        <v>0</v>
      </c>
      <c r="AP249" s="251"/>
      <c r="AQ249" s="326"/>
      <c r="AR249" s="322">
        <f t="shared" si="295"/>
        <v>0</v>
      </c>
      <c r="AS249" s="251"/>
      <c r="AT249" s="326"/>
      <c r="AU249" s="322">
        <f t="shared" si="295"/>
        <v>0</v>
      </c>
      <c r="AV249" s="251"/>
      <c r="AW249" s="326"/>
      <c r="AX249" s="322">
        <f t="shared" si="295"/>
        <v>0</v>
      </c>
      <c r="AY249" s="251"/>
      <c r="AZ249" s="326"/>
      <c r="BA249" s="322">
        <f t="shared" si="295"/>
        <v>0</v>
      </c>
      <c r="BB249" s="251"/>
      <c r="BC249" s="326"/>
      <c r="BD249" s="322">
        <f t="shared" si="295"/>
        <v>0</v>
      </c>
      <c r="BE249" s="251"/>
      <c r="BF249" s="326"/>
      <c r="BG249" s="322">
        <f t="shared" si="295"/>
        <v>0</v>
      </c>
      <c r="BH249" s="251"/>
      <c r="BI249" s="326"/>
      <c r="BJ249" s="322">
        <f t="shared" si="295"/>
        <v>0</v>
      </c>
      <c r="BK249" s="251"/>
      <c r="BL249" s="326"/>
      <c r="BM249" s="322">
        <f t="shared" si="295"/>
        <v>0</v>
      </c>
      <c r="BN249" s="251"/>
      <c r="BO249" s="326"/>
      <c r="BP249" s="322">
        <f t="shared" si="295"/>
        <v>0</v>
      </c>
      <c r="BQ249" s="251"/>
      <c r="BR249" s="326"/>
      <c r="BS249" s="322">
        <f t="shared" si="295"/>
        <v>0</v>
      </c>
      <c r="BT249" s="251"/>
      <c r="BU249" s="326"/>
      <c r="BV249" s="322">
        <f t="shared" si="295"/>
        <v>0</v>
      </c>
      <c r="BW249" s="251"/>
      <c r="BX249" s="326"/>
      <c r="BY249" s="322">
        <f t="shared" si="295"/>
        <v>0</v>
      </c>
      <c r="BZ249" s="251"/>
      <c r="CA249" s="326"/>
      <c r="CB249" s="322">
        <f t="shared" si="296"/>
        <v>0</v>
      </c>
      <c r="CC249" s="251"/>
      <c r="CD249" s="326"/>
      <c r="CE249" s="322">
        <f t="shared" si="296"/>
        <v>0</v>
      </c>
      <c r="CF249" s="251"/>
      <c r="CG249" s="251"/>
      <c r="CH249" s="251"/>
    </row>
    <row r="250" spans="1:86" ht="15" customHeight="1">
      <c r="A250" s="265"/>
      <c r="B250" s="265"/>
      <c r="C250" s="265"/>
      <c r="D250" s="265"/>
      <c r="E250" s="265"/>
      <c r="F250" s="565"/>
      <c r="G250" s="381" t="str">
        <f>CONCATENATE(League!D172,"-",League!K172)</f>
        <v>WPO4-1/2</v>
      </c>
      <c r="H250" s="320" t="str">
        <f>CONCATENATE(IF(League!G172&gt;League!H172,1,IF(League!G172&lt;League!H172,2,IF(AND(League!G172=League!H172,League!G172&lt;&gt;"",League!H172&lt;&gt;""),"X",0))),"|",League!G172,"-",League!H172)</f>
        <v>0|-</v>
      </c>
      <c r="I250" s="219"/>
      <c r="J250" s="326"/>
      <c r="K250" s="322">
        <f t="shared" si="294"/>
        <v>0</v>
      </c>
      <c r="L250" s="251"/>
      <c r="M250" s="326"/>
      <c r="N250" s="322">
        <f t="shared" si="295"/>
        <v>0</v>
      </c>
      <c r="O250" s="251"/>
      <c r="P250" s="326"/>
      <c r="Q250" s="322">
        <f t="shared" si="295"/>
        <v>0</v>
      </c>
      <c r="R250" s="251"/>
      <c r="S250" s="326"/>
      <c r="T250" s="322">
        <f t="shared" si="295"/>
        <v>0</v>
      </c>
      <c r="U250" s="251"/>
      <c r="V250" s="326"/>
      <c r="W250" s="322">
        <f t="shared" si="295"/>
        <v>0</v>
      </c>
      <c r="X250" s="251"/>
      <c r="Y250" s="326"/>
      <c r="Z250" s="322">
        <f t="shared" si="295"/>
        <v>0</v>
      </c>
      <c r="AA250" s="251"/>
      <c r="AB250" s="326"/>
      <c r="AC250" s="322">
        <f t="shared" si="295"/>
        <v>0</v>
      </c>
      <c r="AD250" s="251"/>
      <c r="AE250" s="326"/>
      <c r="AF250" s="322">
        <f t="shared" si="295"/>
        <v>0</v>
      </c>
      <c r="AG250" s="251"/>
      <c r="AH250" s="326"/>
      <c r="AI250" s="322">
        <f t="shared" si="295"/>
        <v>0</v>
      </c>
      <c r="AJ250" s="251"/>
      <c r="AK250" s="326"/>
      <c r="AL250" s="322">
        <f t="shared" si="295"/>
        <v>0</v>
      </c>
      <c r="AM250" s="251"/>
      <c r="AN250" s="326"/>
      <c r="AO250" s="322">
        <f t="shared" si="295"/>
        <v>0</v>
      </c>
      <c r="AP250" s="251"/>
      <c r="AQ250" s="326"/>
      <c r="AR250" s="322">
        <f t="shared" si="295"/>
        <v>0</v>
      </c>
      <c r="AS250" s="251"/>
      <c r="AT250" s="326"/>
      <c r="AU250" s="322">
        <f t="shared" si="295"/>
        <v>0</v>
      </c>
      <c r="AV250" s="251"/>
      <c r="AW250" s="326"/>
      <c r="AX250" s="322">
        <f t="shared" si="295"/>
        <v>0</v>
      </c>
      <c r="AY250" s="251"/>
      <c r="AZ250" s="326"/>
      <c r="BA250" s="322">
        <f t="shared" si="295"/>
        <v>0</v>
      </c>
      <c r="BB250" s="251"/>
      <c r="BC250" s="326"/>
      <c r="BD250" s="322">
        <f t="shared" si="295"/>
        <v>0</v>
      </c>
      <c r="BE250" s="251"/>
      <c r="BF250" s="326"/>
      <c r="BG250" s="322">
        <f t="shared" si="295"/>
        <v>0</v>
      </c>
      <c r="BH250" s="251"/>
      <c r="BI250" s="326"/>
      <c r="BJ250" s="322">
        <f t="shared" si="295"/>
        <v>0</v>
      </c>
      <c r="BK250" s="251"/>
      <c r="BL250" s="326"/>
      <c r="BM250" s="322">
        <f t="shared" si="295"/>
        <v>0</v>
      </c>
      <c r="BN250" s="251"/>
      <c r="BO250" s="326"/>
      <c r="BP250" s="322">
        <f t="shared" si="295"/>
        <v>0</v>
      </c>
      <c r="BQ250" s="251"/>
      <c r="BR250" s="326"/>
      <c r="BS250" s="322">
        <f t="shared" si="295"/>
        <v>0</v>
      </c>
      <c r="BT250" s="251"/>
      <c r="BU250" s="326"/>
      <c r="BV250" s="322">
        <f t="shared" si="295"/>
        <v>0</v>
      </c>
      <c r="BW250" s="251"/>
      <c r="BX250" s="326"/>
      <c r="BY250" s="322">
        <f t="shared" si="295"/>
        <v>0</v>
      </c>
      <c r="BZ250" s="251"/>
      <c r="CA250" s="326"/>
      <c r="CB250" s="322">
        <f t="shared" si="296"/>
        <v>0</v>
      </c>
      <c r="CC250" s="251"/>
      <c r="CD250" s="326"/>
      <c r="CE250" s="322">
        <f t="shared" si="296"/>
        <v>0</v>
      </c>
      <c r="CF250" s="251"/>
      <c r="CG250" s="251"/>
      <c r="CH250" s="251"/>
    </row>
    <row r="251" spans="1:86" ht="15" customHeight="1">
      <c r="A251" s="265"/>
      <c r="B251" s="265"/>
      <c r="C251" s="265"/>
      <c r="D251" s="265"/>
      <c r="E251" s="265"/>
      <c r="F251" s="565"/>
      <c r="G251" s="381" t="str">
        <f>CONCATENATE(League!D174,"-",League!K174)</f>
        <v>WPO5-6/5</v>
      </c>
      <c r="H251" s="320" t="str">
        <f>CONCATENATE(IF(League!G174&gt;League!H174,1,IF(League!G174&lt;League!H174,2,IF(AND(League!G174=League!H174,League!G174&lt;&gt;"",League!H174&lt;&gt;""),"X",0))),"|",League!G174,"-",League!H174)</f>
        <v>0|-</v>
      </c>
      <c r="I251" s="219"/>
      <c r="J251" s="326"/>
      <c r="K251" s="322">
        <f t="shared" si="294"/>
        <v>0</v>
      </c>
      <c r="L251" s="251"/>
      <c r="M251" s="326"/>
      <c r="N251" s="322">
        <f t="shared" si="295"/>
        <v>0</v>
      </c>
      <c r="O251" s="251"/>
      <c r="P251" s="326"/>
      <c r="Q251" s="322">
        <f t="shared" si="295"/>
        <v>0</v>
      </c>
      <c r="R251" s="251"/>
      <c r="S251" s="326"/>
      <c r="T251" s="322">
        <f t="shared" si="295"/>
        <v>0</v>
      </c>
      <c r="U251" s="251"/>
      <c r="V251" s="326"/>
      <c r="W251" s="322">
        <f t="shared" si="295"/>
        <v>0</v>
      </c>
      <c r="X251" s="251"/>
      <c r="Y251" s="326"/>
      <c r="Z251" s="322">
        <f t="shared" si="295"/>
        <v>0</v>
      </c>
      <c r="AA251" s="251"/>
      <c r="AB251" s="326"/>
      <c r="AC251" s="322">
        <f t="shared" si="295"/>
        <v>0</v>
      </c>
      <c r="AD251" s="251"/>
      <c r="AE251" s="326"/>
      <c r="AF251" s="322">
        <f t="shared" si="295"/>
        <v>0</v>
      </c>
      <c r="AG251" s="251"/>
      <c r="AH251" s="326"/>
      <c r="AI251" s="322">
        <f t="shared" si="295"/>
        <v>0</v>
      </c>
      <c r="AJ251" s="251"/>
      <c r="AK251" s="326"/>
      <c r="AL251" s="322">
        <f t="shared" si="295"/>
        <v>0</v>
      </c>
      <c r="AM251" s="251"/>
      <c r="AN251" s="326"/>
      <c r="AO251" s="322">
        <f t="shared" si="295"/>
        <v>0</v>
      </c>
      <c r="AP251" s="251"/>
      <c r="AQ251" s="326"/>
      <c r="AR251" s="322">
        <f t="shared" si="295"/>
        <v>0</v>
      </c>
      <c r="AS251" s="251"/>
      <c r="AT251" s="326"/>
      <c r="AU251" s="322">
        <f t="shared" si="295"/>
        <v>0</v>
      </c>
      <c r="AV251" s="251"/>
      <c r="AW251" s="326"/>
      <c r="AX251" s="322">
        <f t="shared" si="295"/>
        <v>0</v>
      </c>
      <c r="AY251" s="251"/>
      <c r="AZ251" s="326"/>
      <c r="BA251" s="322">
        <f t="shared" si="295"/>
        <v>0</v>
      </c>
      <c r="BB251" s="251"/>
      <c r="BC251" s="326"/>
      <c r="BD251" s="322">
        <f t="shared" si="295"/>
        <v>0</v>
      </c>
      <c r="BE251" s="251"/>
      <c r="BF251" s="326"/>
      <c r="BG251" s="322">
        <f t="shared" si="295"/>
        <v>0</v>
      </c>
      <c r="BH251" s="251"/>
      <c r="BI251" s="326"/>
      <c r="BJ251" s="322">
        <f t="shared" si="295"/>
        <v>0</v>
      </c>
      <c r="BK251" s="251"/>
      <c r="BL251" s="326"/>
      <c r="BM251" s="322">
        <f t="shared" si="295"/>
        <v>0</v>
      </c>
      <c r="BN251" s="251"/>
      <c r="BO251" s="326"/>
      <c r="BP251" s="322">
        <f t="shared" si="295"/>
        <v>0</v>
      </c>
      <c r="BQ251" s="251"/>
      <c r="BR251" s="326"/>
      <c r="BS251" s="322">
        <f t="shared" si="295"/>
        <v>0</v>
      </c>
      <c r="BT251" s="251"/>
      <c r="BU251" s="326"/>
      <c r="BV251" s="322">
        <f t="shared" si="295"/>
        <v>0</v>
      </c>
      <c r="BW251" s="251"/>
      <c r="BX251" s="326"/>
      <c r="BY251" s="322">
        <f t="shared" si="295"/>
        <v>0</v>
      </c>
      <c r="BZ251" s="251"/>
      <c r="CA251" s="326"/>
      <c r="CB251" s="322">
        <f t="shared" si="296"/>
        <v>0</v>
      </c>
      <c r="CC251" s="251"/>
      <c r="CD251" s="326"/>
      <c r="CE251" s="322">
        <f t="shared" si="296"/>
        <v>0</v>
      </c>
      <c r="CF251" s="251"/>
      <c r="CG251" s="251"/>
      <c r="CH251" s="251"/>
    </row>
    <row r="252" spans="1:86" ht="15" customHeight="1">
      <c r="A252" s="265"/>
      <c r="B252" s="265"/>
      <c r="C252" s="265"/>
      <c r="D252" s="265"/>
      <c r="E252" s="265"/>
      <c r="F252" s="565"/>
      <c r="G252" s="382" t="str">
        <f>CONCATENATE(League!D176,"-",League!K176)</f>
        <v>WPO6-4/3</v>
      </c>
      <c r="H252" s="320" t="str">
        <f>CONCATENATE(IF(League!G176&gt;League!H176,1,IF(League!G176&lt;League!H176,2,IF(AND(League!G176=League!H176,League!G176&lt;&gt;"",League!H176&lt;&gt;""),"X",0))),"|",League!G176,"-",League!H176)</f>
        <v>0|-</v>
      </c>
      <c r="I252" s="219"/>
      <c r="J252" s="326"/>
      <c r="K252" s="322">
        <f t="shared" si="294"/>
        <v>0</v>
      </c>
      <c r="L252" s="251"/>
      <c r="M252" s="326"/>
      <c r="N252" s="322">
        <f t="shared" si="295"/>
        <v>0</v>
      </c>
      <c r="O252" s="251"/>
      <c r="P252" s="326"/>
      <c r="Q252" s="322">
        <f t="shared" si="295"/>
        <v>0</v>
      </c>
      <c r="R252" s="251"/>
      <c r="S252" s="326"/>
      <c r="T252" s="322">
        <f t="shared" si="295"/>
        <v>0</v>
      </c>
      <c r="U252" s="251"/>
      <c r="V252" s="326"/>
      <c r="W252" s="322">
        <f t="shared" si="295"/>
        <v>0</v>
      </c>
      <c r="X252" s="251"/>
      <c r="Y252" s="326"/>
      <c r="Z252" s="322">
        <f t="shared" si="295"/>
        <v>0</v>
      </c>
      <c r="AA252" s="251"/>
      <c r="AB252" s="326"/>
      <c r="AC252" s="322">
        <f t="shared" si="295"/>
        <v>0</v>
      </c>
      <c r="AD252" s="251"/>
      <c r="AE252" s="326"/>
      <c r="AF252" s="322">
        <f t="shared" si="295"/>
        <v>0</v>
      </c>
      <c r="AG252" s="251"/>
      <c r="AH252" s="326"/>
      <c r="AI252" s="322">
        <f t="shared" si="295"/>
        <v>0</v>
      </c>
      <c r="AJ252" s="251"/>
      <c r="AK252" s="326"/>
      <c r="AL252" s="322">
        <f t="shared" si="295"/>
        <v>0</v>
      </c>
      <c r="AM252" s="251"/>
      <c r="AN252" s="326"/>
      <c r="AO252" s="322">
        <f t="shared" si="295"/>
        <v>0</v>
      </c>
      <c r="AP252" s="251"/>
      <c r="AQ252" s="326"/>
      <c r="AR252" s="322">
        <f t="shared" si="295"/>
        <v>0</v>
      </c>
      <c r="AS252" s="251"/>
      <c r="AT252" s="326"/>
      <c r="AU252" s="322">
        <f t="shared" si="295"/>
        <v>0</v>
      </c>
      <c r="AV252" s="251"/>
      <c r="AW252" s="326"/>
      <c r="AX252" s="322">
        <f t="shared" si="295"/>
        <v>0</v>
      </c>
      <c r="AY252" s="251"/>
      <c r="AZ252" s="326"/>
      <c r="BA252" s="322">
        <f t="shared" si="295"/>
        <v>0</v>
      </c>
      <c r="BB252" s="251"/>
      <c r="BC252" s="326"/>
      <c r="BD252" s="322">
        <f t="shared" si="295"/>
        <v>0</v>
      </c>
      <c r="BE252" s="251"/>
      <c r="BF252" s="326"/>
      <c r="BG252" s="322">
        <f t="shared" si="295"/>
        <v>0</v>
      </c>
      <c r="BH252" s="251"/>
      <c r="BI252" s="326"/>
      <c r="BJ252" s="322">
        <f t="shared" si="295"/>
        <v>0</v>
      </c>
      <c r="BK252" s="251"/>
      <c r="BL252" s="326"/>
      <c r="BM252" s="322">
        <f t="shared" si="295"/>
        <v>0</v>
      </c>
      <c r="BN252" s="251"/>
      <c r="BO252" s="326"/>
      <c r="BP252" s="322">
        <f t="shared" si="295"/>
        <v>0</v>
      </c>
      <c r="BQ252" s="251"/>
      <c r="BR252" s="326"/>
      <c r="BS252" s="322">
        <f t="shared" si="295"/>
        <v>0</v>
      </c>
      <c r="BT252" s="251"/>
      <c r="BU252" s="326"/>
      <c r="BV252" s="322">
        <f t="shared" si="295"/>
        <v>0</v>
      </c>
      <c r="BW252" s="251"/>
      <c r="BX252" s="326"/>
      <c r="BY252" s="322">
        <f t="shared" si="295"/>
        <v>0</v>
      </c>
      <c r="BZ252" s="251"/>
      <c r="CA252" s="326"/>
      <c r="CB252" s="322">
        <f t="shared" si="296"/>
        <v>0</v>
      </c>
      <c r="CC252" s="251"/>
      <c r="CD252" s="326"/>
      <c r="CE252" s="322">
        <f t="shared" si="296"/>
        <v>0</v>
      </c>
      <c r="CF252" s="251"/>
      <c r="CG252" s="251"/>
      <c r="CH252" s="251"/>
    </row>
    <row r="253" spans="1:86" ht="15" customHeight="1">
      <c r="A253" s="265"/>
      <c r="B253" s="265"/>
      <c r="C253" s="265"/>
      <c r="D253" s="265"/>
      <c r="E253" s="265"/>
      <c r="F253" s="565"/>
      <c r="G253" s="383" t="str">
        <f>CONCATENATE(League!D178,"-",League!K178)</f>
        <v>WPO7-8/7</v>
      </c>
      <c r="H253" s="320" t="str">
        <f>CONCATENATE(IF(League!G178&gt;League!H178,1,IF(League!G178&lt;League!H178,2,IF(AND(League!G178=League!H178,League!G178&lt;&gt;"",League!H178&lt;&gt;""),"X",0))),"|",League!G178,"-",League!H178)</f>
        <v>0|-</v>
      </c>
      <c r="I253" s="219"/>
      <c r="J253" s="326"/>
      <c r="K253" s="322">
        <f t="shared" si="294"/>
        <v>0</v>
      </c>
      <c r="L253" s="251"/>
      <c r="M253" s="326"/>
      <c r="N253" s="322">
        <f t="shared" si="295"/>
        <v>0</v>
      </c>
      <c r="O253" s="251"/>
      <c r="P253" s="326"/>
      <c r="Q253" s="322">
        <f t="shared" si="295"/>
        <v>0</v>
      </c>
      <c r="R253" s="251"/>
      <c r="S253" s="326"/>
      <c r="T253" s="322">
        <f t="shared" si="295"/>
        <v>0</v>
      </c>
      <c r="U253" s="251"/>
      <c r="V253" s="326"/>
      <c r="W253" s="322">
        <f t="shared" si="295"/>
        <v>0</v>
      </c>
      <c r="X253" s="251"/>
      <c r="Y253" s="326"/>
      <c r="Z253" s="322">
        <f t="shared" si="295"/>
        <v>0</v>
      </c>
      <c r="AA253" s="251"/>
      <c r="AB253" s="326"/>
      <c r="AC253" s="322">
        <f t="shared" si="295"/>
        <v>0</v>
      </c>
      <c r="AD253" s="251"/>
      <c r="AE253" s="326"/>
      <c r="AF253" s="322">
        <f t="shared" si="295"/>
        <v>0</v>
      </c>
      <c r="AG253" s="251"/>
      <c r="AH253" s="326"/>
      <c r="AI253" s="322">
        <f t="shared" si="295"/>
        <v>0</v>
      </c>
      <c r="AJ253" s="251"/>
      <c r="AK253" s="326"/>
      <c r="AL253" s="322">
        <f t="shared" si="295"/>
        <v>0</v>
      </c>
      <c r="AM253" s="251"/>
      <c r="AN253" s="326"/>
      <c r="AO253" s="322">
        <f t="shared" si="295"/>
        <v>0</v>
      </c>
      <c r="AP253" s="251"/>
      <c r="AQ253" s="326"/>
      <c r="AR253" s="322">
        <f t="shared" si="295"/>
        <v>0</v>
      </c>
      <c r="AS253" s="251"/>
      <c r="AT253" s="326"/>
      <c r="AU253" s="322">
        <f t="shared" si="295"/>
        <v>0</v>
      </c>
      <c r="AV253" s="251"/>
      <c r="AW253" s="326"/>
      <c r="AX253" s="322">
        <f t="shared" si="295"/>
        <v>0</v>
      </c>
      <c r="AY253" s="251"/>
      <c r="AZ253" s="326"/>
      <c r="BA253" s="322">
        <f t="shared" si="295"/>
        <v>0</v>
      </c>
      <c r="BB253" s="251"/>
      <c r="BC253" s="326"/>
      <c r="BD253" s="322">
        <f t="shared" si="295"/>
        <v>0</v>
      </c>
      <c r="BE253" s="251"/>
      <c r="BF253" s="326"/>
      <c r="BG253" s="322">
        <f t="shared" si="295"/>
        <v>0</v>
      </c>
      <c r="BH253" s="251"/>
      <c r="BI253" s="326"/>
      <c r="BJ253" s="322">
        <f t="shared" si="295"/>
        <v>0</v>
      </c>
      <c r="BK253" s="251"/>
      <c r="BL253" s="326"/>
      <c r="BM253" s="322">
        <f t="shared" si="295"/>
        <v>0</v>
      </c>
      <c r="BN253" s="251"/>
      <c r="BO253" s="326"/>
      <c r="BP253" s="322">
        <f t="shared" si="295"/>
        <v>0</v>
      </c>
      <c r="BQ253" s="251"/>
      <c r="BR253" s="326"/>
      <c r="BS253" s="322">
        <f t="shared" si="295"/>
        <v>0</v>
      </c>
      <c r="BT253" s="251"/>
      <c r="BU253" s="326"/>
      <c r="BV253" s="322">
        <f t="shared" si="295"/>
        <v>0</v>
      </c>
      <c r="BW253" s="251"/>
      <c r="BX253" s="326"/>
      <c r="BY253" s="322">
        <f t="shared" si="295"/>
        <v>0</v>
      </c>
      <c r="BZ253" s="251"/>
      <c r="CA253" s="326"/>
      <c r="CB253" s="322">
        <f t="shared" si="296"/>
        <v>0</v>
      </c>
      <c r="CC253" s="251"/>
      <c r="CD253" s="326"/>
      <c r="CE253" s="322">
        <f t="shared" si="296"/>
        <v>0</v>
      </c>
      <c r="CF253" s="251"/>
      <c r="CG253" s="251"/>
      <c r="CH253" s="251"/>
    </row>
    <row r="254" spans="1:86" ht="15" customHeight="1">
      <c r="A254" s="265"/>
      <c r="B254" s="265"/>
      <c r="C254" s="265"/>
      <c r="D254" s="265"/>
      <c r="E254" s="265"/>
      <c r="F254" s="565"/>
      <c r="G254" s="384" t="str">
        <f>CONCATENATE(League!D180,"-",League!K180)</f>
        <v>WPO8-2/1</v>
      </c>
      <c r="H254" s="385" t="str">
        <f>CONCATENATE(IF(League!G180&gt;League!H180,1,IF(League!G180&lt;League!H180,2,IF(AND(League!G180=League!H180,League!G180&lt;&gt;"",League!H180&lt;&gt;""),"X",0))),"|",League!G180,"-",League!H180)</f>
        <v>0|-</v>
      </c>
      <c r="I254" s="219"/>
      <c r="J254" s="336"/>
      <c r="K254" s="337">
        <f t="shared" si="294"/>
        <v>0</v>
      </c>
      <c r="L254" s="251"/>
      <c r="M254" s="336"/>
      <c r="N254" s="337">
        <f t="shared" si="295"/>
        <v>0</v>
      </c>
      <c r="O254" s="251"/>
      <c r="P254" s="336"/>
      <c r="Q254" s="337">
        <f t="shared" si="295"/>
        <v>0</v>
      </c>
      <c r="R254" s="251"/>
      <c r="S254" s="336"/>
      <c r="T254" s="337">
        <f t="shared" si="295"/>
        <v>0</v>
      </c>
      <c r="U254" s="251"/>
      <c r="V254" s="336"/>
      <c r="W254" s="337">
        <f t="shared" si="295"/>
        <v>0</v>
      </c>
      <c r="X254" s="251"/>
      <c r="Y254" s="336"/>
      <c r="Z254" s="337">
        <f t="shared" si="295"/>
        <v>0</v>
      </c>
      <c r="AA254" s="251"/>
      <c r="AB254" s="336"/>
      <c r="AC254" s="337">
        <f t="shared" si="295"/>
        <v>0</v>
      </c>
      <c r="AD254" s="251"/>
      <c r="AE254" s="336"/>
      <c r="AF254" s="337">
        <f t="shared" si="295"/>
        <v>0</v>
      </c>
      <c r="AG254" s="251"/>
      <c r="AH254" s="336"/>
      <c r="AI254" s="337">
        <f t="shared" si="295"/>
        <v>0</v>
      </c>
      <c r="AJ254" s="251"/>
      <c r="AK254" s="336"/>
      <c r="AL254" s="337">
        <f t="shared" si="295"/>
        <v>0</v>
      </c>
      <c r="AM254" s="251"/>
      <c r="AN254" s="336"/>
      <c r="AO254" s="337">
        <f t="shared" si="295"/>
        <v>0</v>
      </c>
      <c r="AP254" s="251"/>
      <c r="AQ254" s="336"/>
      <c r="AR254" s="337">
        <f t="shared" si="295"/>
        <v>0</v>
      </c>
      <c r="AS254" s="251"/>
      <c r="AT254" s="336"/>
      <c r="AU254" s="337">
        <f t="shared" si="295"/>
        <v>0</v>
      </c>
      <c r="AV254" s="251"/>
      <c r="AW254" s="336"/>
      <c r="AX254" s="337">
        <f t="shared" si="295"/>
        <v>0</v>
      </c>
      <c r="AY254" s="251"/>
      <c r="AZ254" s="336"/>
      <c r="BA254" s="337">
        <f t="shared" si="295"/>
        <v>0</v>
      </c>
      <c r="BB254" s="251"/>
      <c r="BC254" s="336"/>
      <c r="BD254" s="337">
        <f t="shared" si="295"/>
        <v>0</v>
      </c>
      <c r="BE254" s="251"/>
      <c r="BF254" s="336"/>
      <c r="BG254" s="337">
        <f t="shared" si="295"/>
        <v>0</v>
      </c>
      <c r="BH254" s="251"/>
      <c r="BI254" s="336"/>
      <c r="BJ254" s="337">
        <f t="shared" si="295"/>
        <v>0</v>
      </c>
      <c r="BK254" s="251"/>
      <c r="BL254" s="336"/>
      <c r="BM254" s="337">
        <f t="shared" si="295"/>
        <v>0</v>
      </c>
      <c r="BN254" s="251"/>
      <c r="BO254" s="336"/>
      <c r="BP254" s="337">
        <f t="shared" si="295"/>
        <v>0</v>
      </c>
      <c r="BQ254" s="251"/>
      <c r="BR254" s="336"/>
      <c r="BS254" s="337">
        <f t="shared" si="295"/>
        <v>0</v>
      </c>
      <c r="BT254" s="251"/>
      <c r="BU254" s="336"/>
      <c r="BV254" s="337">
        <f t="shared" si="295"/>
        <v>0</v>
      </c>
      <c r="BW254" s="251"/>
      <c r="BX254" s="336"/>
      <c r="BY254" s="337">
        <f t="shared" si="295"/>
        <v>0</v>
      </c>
      <c r="BZ254" s="251"/>
      <c r="CA254" s="336"/>
      <c r="CB254" s="337">
        <f t="shared" si="296"/>
        <v>0</v>
      </c>
      <c r="CC254" s="251"/>
      <c r="CD254" s="336"/>
      <c r="CE254" s="337">
        <f t="shared" si="296"/>
        <v>0</v>
      </c>
      <c r="CF254" s="251"/>
      <c r="CG254" s="251"/>
      <c r="CH254" s="251"/>
    </row>
    <row r="255" spans="1:86" ht="15" customHeight="1">
      <c r="A255" s="265"/>
      <c r="B255" s="265"/>
      <c r="C255" s="265"/>
      <c r="D255" s="265"/>
      <c r="E255" s="265"/>
      <c r="F255" s="565"/>
      <c r="G255" s="374" t="str">
        <f>CONCATENATE(League!D167,"-",League!K167)</f>
        <v>5/6-WPO1</v>
      </c>
      <c r="H255" s="320" t="str">
        <f>CONCATENATE(IF(League!G167&gt;League!H167,1,IF(League!G167&lt;League!H167,2,IF(AND(League!G167=League!H167,League!G167&lt;&gt;"",League!H167&lt;&gt;""),"X",0))),"|",League!G167,"-",League!H167)</f>
        <v>0|-</v>
      </c>
      <c r="I255" s="219"/>
      <c r="J255" s="340"/>
      <c r="K255" s="341">
        <f t="shared" si="294"/>
        <v>0</v>
      </c>
      <c r="L255" s="251"/>
      <c r="M255" s="340"/>
      <c r="N255" s="341">
        <f t="shared" si="295"/>
        <v>0</v>
      </c>
      <c r="O255" s="251"/>
      <c r="P255" s="340"/>
      <c r="Q255" s="341">
        <f t="shared" si="295"/>
        <v>0</v>
      </c>
      <c r="R255" s="251"/>
      <c r="S255" s="340"/>
      <c r="T255" s="341">
        <f t="shared" si="295"/>
        <v>0</v>
      </c>
      <c r="U255" s="251"/>
      <c r="V255" s="340"/>
      <c r="W255" s="341">
        <f t="shared" si="295"/>
        <v>0</v>
      </c>
      <c r="X255" s="251"/>
      <c r="Y255" s="340"/>
      <c r="Z255" s="341">
        <f t="shared" si="295"/>
        <v>0</v>
      </c>
      <c r="AA255" s="251"/>
      <c r="AB255" s="340"/>
      <c r="AC255" s="341">
        <f t="shared" si="295"/>
        <v>0</v>
      </c>
      <c r="AD255" s="251"/>
      <c r="AE255" s="340"/>
      <c r="AF255" s="341">
        <f t="shared" si="295"/>
        <v>0</v>
      </c>
      <c r="AG255" s="251"/>
      <c r="AH255" s="340"/>
      <c r="AI255" s="341">
        <f t="shared" si="295"/>
        <v>0</v>
      </c>
      <c r="AJ255" s="251"/>
      <c r="AK255" s="340"/>
      <c r="AL255" s="341">
        <f t="shared" si="295"/>
        <v>0</v>
      </c>
      <c r="AM255" s="251"/>
      <c r="AN255" s="340"/>
      <c r="AO255" s="341">
        <f t="shared" si="295"/>
        <v>0</v>
      </c>
      <c r="AP255" s="251"/>
      <c r="AQ255" s="340"/>
      <c r="AR255" s="341">
        <f t="shared" si="295"/>
        <v>0</v>
      </c>
      <c r="AS255" s="251"/>
      <c r="AT255" s="340"/>
      <c r="AU255" s="341">
        <f t="shared" si="295"/>
        <v>0</v>
      </c>
      <c r="AV255" s="251"/>
      <c r="AW255" s="340"/>
      <c r="AX255" s="341">
        <f t="shared" si="295"/>
        <v>0</v>
      </c>
      <c r="AY255" s="251"/>
      <c r="AZ255" s="340"/>
      <c r="BA255" s="341">
        <f t="shared" si="295"/>
        <v>0</v>
      </c>
      <c r="BB255" s="251"/>
      <c r="BC255" s="340"/>
      <c r="BD255" s="341">
        <f t="shared" si="295"/>
        <v>0</v>
      </c>
      <c r="BE255" s="251"/>
      <c r="BF255" s="340"/>
      <c r="BG255" s="341">
        <f t="shared" si="295"/>
        <v>0</v>
      </c>
      <c r="BH255" s="251"/>
      <c r="BI255" s="340"/>
      <c r="BJ255" s="341">
        <f t="shared" si="295"/>
        <v>0</v>
      </c>
      <c r="BK255" s="251"/>
      <c r="BL255" s="340"/>
      <c r="BM255" s="341">
        <f t="shared" si="295"/>
        <v>0</v>
      </c>
      <c r="BN255" s="251"/>
      <c r="BO255" s="340"/>
      <c r="BP255" s="341">
        <f t="shared" si="295"/>
        <v>0</v>
      </c>
      <c r="BQ255" s="251"/>
      <c r="BR255" s="340"/>
      <c r="BS255" s="341">
        <f t="shared" si="295"/>
        <v>0</v>
      </c>
      <c r="BT255" s="251"/>
      <c r="BU255" s="340"/>
      <c r="BV255" s="341">
        <f t="shared" si="295"/>
        <v>0</v>
      </c>
      <c r="BW255" s="251"/>
      <c r="BX255" s="340"/>
      <c r="BY255" s="341">
        <f t="shared" si="295"/>
        <v>0</v>
      </c>
      <c r="BZ255" s="251"/>
      <c r="CA255" s="340"/>
      <c r="CB255" s="341">
        <f t="shared" si="296"/>
        <v>0</v>
      </c>
      <c r="CC255" s="251"/>
      <c r="CD255" s="340"/>
      <c r="CE255" s="341">
        <f t="shared" si="296"/>
        <v>0</v>
      </c>
      <c r="CF255" s="251"/>
      <c r="CG255" s="251"/>
      <c r="CH255" s="251"/>
    </row>
    <row r="256" spans="1:86" ht="15" customHeight="1">
      <c r="A256" s="265"/>
      <c r="B256" s="265"/>
      <c r="C256" s="265"/>
      <c r="D256" s="265"/>
      <c r="E256" s="265"/>
      <c r="F256" s="565"/>
      <c r="G256" s="381" t="str">
        <f>CONCATENATE(League!D169,"-",League!K169)</f>
        <v>3/4-WPO2</v>
      </c>
      <c r="H256" s="320" t="str">
        <f>CONCATENATE(IF(League!G169&gt;League!H169,1,IF(League!G169&lt;League!H169,2,IF(AND(League!G169=League!H169,League!G169&lt;&gt;"",League!H169&lt;&gt;""),"X",0))),"|",League!G169,"-",League!H169)</f>
        <v>0|-</v>
      </c>
      <c r="I256" s="219"/>
      <c r="J256" s="326"/>
      <c r="K256" s="322">
        <f t="shared" si="294"/>
        <v>0</v>
      </c>
      <c r="L256" s="251"/>
      <c r="M256" s="326"/>
      <c r="N256" s="322">
        <f t="shared" si="295"/>
        <v>0</v>
      </c>
      <c r="O256" s="251"/>
      <c r="P256" s="326"/>
      <c r="Q256" s="322">
        <f t="shared" si="295"/>
        <v>0</v>
      </c>
      <c r="R256" s="251"/>
      <c r="S256" s="326"/>
      <c r="T256" s="322">
        <f t="shared" si="295"/>
        <v>0</v>
      </c>
      <c r="U256" s="251"/>
      <c r="V256" s="326"/>
      <c r="W256" s="322">
        <f t="shared" si="295"/>
        <v>0</v>
      </c>
      <c r="X256" s="251"/>
      <c r="Y256" s="326"/>
      <c r="Z256" s="322">
        <f t="shared" si="295"/>
        <v>0</v>
      </c>
      <c r="AA256" s="251"/>
      <c r="AB256" s="326"/>
      <c r="AC256" s="322">
        <f t="shared" si="295"/>
        <v>0</v>
      </c>
      <c r="AD256" s="251"/>
      <c r="AE256" s="326"/>
      <c r="AF256" s="322">
        <f t="shared" si="295"/>
        <v>0</v>
      </c>
      <c r="AG256" s="251"/>
      <c r="AH256" s="326"/>
      <c r="AI256" s="322">
        <f t="shared" si="295"/>
        <v>0</v>
      </c>
      <c r="AJ256" s="251"/>
      <c r="AK256" s="326"/>
      <c r="AL256" s="322">
        <f t="shared" si="295"/>
        <v>0</v>
      </c>
      <c r="AM256" s="251"/>
      <c r="AN256" s="326"/>
      <c r="AO256" s="322">
        <f t="shared" si="295"/>
        <v>0</v>
      </c>
      <c r="AP256" s="251"/>
      <c r="AQ256" s="326"/>
      <c r="AR256" s="322">
        <f t="shared" si="295"/>
        <v>0</v>
      </c>
      <c r="AS256" s="251"/>
      <c r="AT256" s="326"/>
      <c r="AU256" s="322">
        <f t="shared" si="295"/>
        <v>0</v>
      </c>
      <c r="AV256" s="251"/>
      <c r="AW256" s="326"/>
      <c r="AX256" s="322">
        <f t="shared" si="295"/>
        <v>0</v>
      </c>
      <c r="AY256" s="251"/>
      <c r="AZ256" s="326"/>
      <c r="BA256" s="322">
        <f t="shared" si="295"/>
        <v>0</v>
      </c>
      <c r="BB256" s="251"/>
      <c r="BC256" s="326"/>
      <c r="BD256" s="322">
        <f t="shared" si="295"/>
        <v>0</v>
      </c>
      <c r="BE256" s="251"/>
      <c r="BF256" s="326"/>
      <c r="BG256" s="322">
        <f t="shared" si="295"/>
        <v>0</v>
      </c>
      <c r="BH256" s="251"/>
      <c r="BI256" s="326"/>
      <c r="BJ256" s="322">
        <f t="shared" si="295"/>
        <v>0</v>
      </c>
      <c r="BK256" s="251"/>
      <c r="BL256" s="326"/>
      <c r="BM256" s="322">
        <f t="shared" si="295"/>
        <v>0</v>
      </c>
      <c r="BN256" s="251"/>
      <c r="BO256" s="326"/>
      <c r="BP256" s="322">
        <f t="shared" si="295"/>
        <v>0</v>
      </c>
      <c r="BQ256" s="251"/>
      <c r="BR256" s="326"/>
      <c r="BS256" s="322">
        <f t="shared" si="295"/>
        <v>0</v>
      </c>
      <c r="BT256" s="251"/>
      <c r="BU256" s="326"/>
      <c r="BV256" s="322">
        <f t="shared" si="295"/>
        <v>0</v>
      </c>
      <c r="BW256" s="251"/>
      <c r="BX256" s="326"/>
      <c r="BY256" s="322">
        <f t="shared" si="295"/>
        <v>0</v>
      </c>
      <c r="BZ256" s="251"/>
      <c r="CA256" s="326"/>
      <c r="CB256" s="322">
        <f t="shared" si="296"/>
        <v>0</v>
      </c>
      <c r="CC256" s="251"/>
      <c r="CD256" s="326"/>
      <c r="CE256" s="322">
        <f t="shared" si="296"/>
        <v>0</v>
      </c>
      <c r="CF256" s="251"/>
      <c r="CG256" s="251"/>
      <c r="CH256" s="251"/>
    </row>
    <row r="257" spans="1:86" ht="15" customHeight="1">
      <c r="A257" s="265"/>
      <c r="B257" s="265"/>
      <c r="C257" s="265"/>
      <c r="D257" s="265"/>
      <c r="E257" s="265"/>
      <c r="F257" s="565"/>
      <c r="G257" s="381" t="str">
        <f>CONCATENATE(League!D171,"-",League!K171)</f>
        <v>7/8-WPO3</v>
      </c>
      <c r="H257" s="320" t="str">
        <f>CONCATENATE(IF(League!G171&gt;League!H171,1,IF(League!G171&lt;League!H171,2,IF(AND(League!G171=League!H171,League!G171&lt;&gt;"",League!H171&lt;&gt;""),"X",0))),"|",League!G171,"-",League!H171)</f>
        <v>0|-</v>
      </c>
      <c r="I257" s="219"/>
      <c r="J257" s="326"/>
      <c r="K257" s="322">
        <f t="shared" si="294"/>
        <v>0</v>
      </c>
      <c r="L257" s="251"/>
      <c r="M257" s="326"/>
      <c r="N257" s="322">
        <f t="shared" si="295"/>
        <v>0</v>
      </c>
      <c r="O257" s="251"/>
      <c r="P257" s="326"/>
      <c r="Q257" s="322">
        <f t="shared" si="295"/>
        <v>0</v>
      </c>
      <c r="R257" s="251"/>
      <c r="S257" s="326"/>
      <c r="T257" s="322">
        <f t="shared" si="295"/>
        <v>0</v>
      </c>
      <c r="U257" s="251"/>
      <c r="V257" s="326"/>
      <c r="W257" s="322">
        <f t="shared" si="295"/>
        <v>0</v>
      </c>
      <c r="X257" s="251"/>
      <c r="Y257" s="326"/>
      <c r="Z257" s="322">
        <f t="shared" si="295"/>
        <v>0</v>
      </c>
      <c r="AA257" s="251"/>
      <c r="AB257" s="326"/>
      <c r="AC257" s="322">
        <f t="shared" si="295"/>
        <v>0</v>
      </c>
      <c r="AD257" s="251"/>
      <c r="AE257" s="326"/>
      <c r="AF257" s="322">
        <f t="shared" si="295"/>
        <v>0</v>
      </c>
      <c r="AG257" s="251"/>
      <c r="AH257" s="326"/>
      <c r="AI257" s="322">
        <f t="shared" si="295"/>
        <v>0</v>
      </c>
      <c r="AJ257" s="251"/>
      <c r="AK257" s="326"/>
      <c r="AL257" s="322">
        <f t="shared" si="295"/>
        <v>0</v>
      </c>
      <c r="AM257" s="251"/>
      <c r="AN257" s="326"/>
      <c r="AO257" s="322">
        <f t="shared" si="295"/>
        <v>0</v>
      </c>
      <c r="AP257" s="251"/>
      <c r="AQ257" s="326"/>
      <c r="AR257" s="322">
        <f t="shared" si="295"/>
        <v>0</v>
      </c>
      <c r="AS257" s="251"/>
      <c r="AT257" s="326"/>
      <c r="AU257" s="322">
        <f t="shared" si="295"/>
        <v>0</v>
      </c>
      <c r="AV257" s="251"/>
      <c r="AW257" s="326"/>
      <c r="AX257" s="322">
        <f t="shared" si="295"/>
        <v>0</v>
      </c>
      <c r="AY257" s="251"/>
      <c r="AZ257" s="326"/>
      <c r="BA257" s="322">
        <f t="shared" si="295"/>
        <v>0</v>
      </c>
      <c r="BB257" s="251"/>
      <c r="BC257" s="326"/>
      <c r="BD257" s="322">
        <f t="shared" si="295"/>
        <v>0</v>
      </c>
      <c r="BE257" s="251"/>
      <c r="BF257" s="326"/>
      <c r="BG257" s="322">
        <f t="shared" si="295"/>
        <v>0</v>
      </c>
      <c r="BH257" s="251"/>
      <c r="BI257" s="326"/>
      <c r="BJ257" s="322">
        <f t="shared" si="295"/>
        <v>0</v>
      </c>
      <c r="BK257" s="251"/>
      <c r="BL257" s="326"/>
      <c r="BM257" s="322">
        <f t="shared" si="295"/>
        <v>0</v>
      </c>
      <c r="BN257" s="251"/>
      <c r="BO257" s="326"/>
      <c r="BP257" s="322">
        <f t="shared" si="295"/>
        <v>0</v>
      </c>
      <c r="BQ257" s="251"/>
      <c r="BR257" s="326"/>
      <c r="BS257" s="322">
        <f t="shared" si="295"/>
        <v>0</v>
      </c>
      <c r="BT257" s="251"/>
      <c r="BU257" s="326"/>
      <c r="BV257" s="322">
        <f t="shared" si="295"/>
        <v>0</v>
      </c>
      <c r="BW257" s="251"/>
      <c r="BX257" s="326"/>
      <c r="BY257" s="322">
        <f t="shared" si="295"/>
        <v>0</v>
      </c>
      <c r="BZ257" s="251"/>
      <c r="CA257" s="326"/>
      <c r="CB257" s="322">
        <f t="shared" si="296"/>
        <v>0</v>
      </c>
      <c r="CC257" s="251"/>
      <c r="CD257" s="326"/>
      <c r="CE257" s="322">
        <f t="shared" si="296"/>
        <v>0</v>
      </c>
      <c r="CF257" s="251"/>
      <c r="CG257" s="251"/>
      <c r="CH257" s="251"/>
    </row>
    <row r="258" spans="1:86" ht="15" customHeight="1">
      <c r="A258" s="265"/>
      <c r="B258" s="265"/>
      <c r="C258" s="265"/>
      <c r="D258" s="265"/>
      <c r="E258" s="265"/>
      <c r="F258" s="565"/>
      <c r="G258" s="381" t="str">
        <f>CONCATENATE(League!D173,"-",League!K173)</f>
        <v>1/2-WPO4</v>
      </c>
      <c r="H258" s="320" t="str">
        <f>CONCATENATE(IF(League!G173&gt;League!H173,1,IF(League!G173&lt;League!H173,2,IF(AND(League!G173=League!H173,League!G173&lt;&gt;"",League!H173&lt;&gt;""),"X",0))),"|",League!G173,"-",League!H173)</f>
        <v>0|-</v>
      </c>
      <c r="I258" s="219"/>
      <c r="J258" s="326"/>
      <c r="K258" s="322">
        <f t="shared" si="294"/>
        <v>0</v>
      </c>
      <c r="L258" s="251"/>
      <c r="M258" s="326"/>
      <c r="N258" s="322">
        <f t="shared" si="295"/>
        <v>0</v>
      </c>
      <c r="O258" s="251"/>
      <c r="P258" s="326"/>
      <c r="Q258" s="322">
        <f t="shared" si="295"/>
        <v>0</v>
      </c>
      <c r="R258" s="251"/>
      <c r="S258" s="326"/>
      <c r="T258" s="322">
        <f t="shared" si="295"/>
        <v>0</v>
      </c>
      <c r="U258" s="251"/>
      <c r="V258" s="326"/>
      <c r="W258" s="322">
        <f t="shared" si="295"/>
        <v>0</v>
      </c>
      <c r="X258" s="251"/>
      <c r="Y258" s="326"/>
      <c r="Z258" s="322">
        <f t="shared" si="295"/>
        <v>0</v>
      </c>
      <c r="AA258" s="251"/>
      <c r="AB258" s="326"/>
      <c r="AC258" s="322">
        <f t="shared" si="295"/>
        <v>0</v>
      </c>
      <c r="AD258" s="251"/>
      <c r="AE258" s="326"/>
      <c r="AF258" s="322">
        <f t="shared" si="295"/>
        <v>0</v>
      </c>
      <c r="AG258" s="251"/>
      <c r="AH258" s="326"/>
      <c r="AI258" s="322">
        <f t="shared" si="295"/>
        <v>0</v>
      </c>
      <c r="AJ258" s="251"/>
      <c r="AK258" s="326"/>
      <c r="AL258" s="322">
        <f t="shared" si="295"/>
        <v>0</v>
      </c>
      <c r="AM258" s="251"/>
      <c r="AN258" s="326"/>
      <c r="AO258" s="322">
        <f t="shared" si="295"/>
        <v>0</v>
      </c>
      <c r="AP258" s="251"/>
      <c r="AQ258" s="326"/>
      <c r="AR258" s="322">
        <f t="shared" si="295"/>
        <v>0</v>
      </c>
      <c r="AS258" s="251"/>
      <c r="AT258" s="326"/>
      <c r="AU258" s="322">
        <f t="shared" si="295"/>
        <v>0</v>
      </c>
      <c r="AV258" s="251"/>
      <c r="AW258" s="326"/>
      <c r="AX258" s="322">
        <f t="shared" si="295"/>
        <v>0</v>
      </c>
      <c r="AY258" s="251"/>
      <c r="AZ258" s="326"/>
      <c r="BA258" s="322">
        <f t="shared" ref="BA258:CE262" si="297">IFERROR(SUM(IF($H258=AZ258,$D$20),IF(LEFT($H258,1)=LEFT(AZ258,1),$D$18),IF(MID($H258,FIND("|",$H258)+1,FIND("-",$H258)-FIND("|",$H258)-1)-MID($H258,FIND("-",$H258)+1,11)=MID(AZ258,FIND("|",AZ258)+1,FIND("-",AZ258)-FIND("|",AZ258)-1)-MID(AZ258,FIND("-",AZ258)+1,11),$D$19)),)</f>
        <v>0</v>
      </c>
      <c r="BB258" s="251"/>
      <c r="BC258" s="326"/>
      <c r="BD258" s="322">
        <f t="shared" si="297"/>
        <v>0</v>
      </c>
      <c r="BE258" s="251"/>
      <c r="BF258" s="326"/>
      <c r="BG258" s="322">
        <f t="shared" si="297"/>
        <v>0</v>
      </c>
      <c r="BH258" s="251"/>
      <c r="BI258" s="326"/>
      <c r="BJ258" s="322">
        <f t="shared" si="297"/>
        <v>0</v>
      </c>
      <c r="BK258" s="251"/>
      <c r="BL258" s="326"/>
      <c r="BM258" s="322">
        <f t="shared" si="297"/>
        <v>0</v>
      </c>
      <c r="BN258" s="251"/>
      <c r="BO258" s="326"/>
      <c r="BP258" s="322">
        <f t="shared" si="297"/>
        <v>0</v>
      </c>
      <c r="BQ258" s="251"/>
      <c r="BR258" s="326"/>
      <c r="BS258" s="322">
        <f t="shared" si="297"/>
        <v>0</v>
      </c>
      <c r="BT258" s="251"/>
      <c r="BU258" s="326"/>
      <c r="BV258" s="322">
        <f t="shared" si="297"/>
        <v>0</v>
      </c>
      <c r="BW258" s="251"/>
      <c r="BX258" s="326"/>
      <c r="BY258" s="322">
        <f t="shared" si="297"/>
        <v>0</v>
      </c>
      <c r="BZ258" s="251"/>
      <c r="CA258" s="326"/>
      <c r="CB258" s="322">
        <f t="shared" si="297"/>
        <v>0</v>
      </c>
      <c r="CC258" s="251"/>
      <c r="CD258" s="326"/>
      <c r="CE258" s="322">
        <f t="shared" si="297"/>
        <v>0</v>
      </c>
      <c r="CF258" s="251"/>
      <c r="CG258" s="251"/>
      <c r="CH258" s="251"/>
    </row>
    <row r="259" spans="1:86" ht="15" customHeight="1">
      <c r="A259" s="265"/>
      <c r="B259" s="265"/>
      <c r="C259" s="265"/>
      <c r="D259" s="265"/>
      <c r="E259" s="265"/>
      <c r="F259" s="565"/>
      <c r="G259" s="381" t="str">
        <f>CONCATENATE(League!D175,"-",League!K175)</f>
        <v>6/5-WPO5</v>
      </c>
      <c r="H259" s="320" t="str">
        <f>CONCATENATE(IF(League!G175&gt;League!H175,1,IF(League!G175&lt;League!H175,2,IF(AND(League!G175=League!H175,League!G175&lt;&gt;"",League!H175&lt;&gt;""),"X",0))),"|",League!G175,"-",League!H175)</f>
        <v>0|-</v>
      </c>
      <c r="I259" s="219"/>
      <c r="J259" s="326"/>
      <c r="K259" s="322">
        <f t="shared" si="294"/>
        <v>0</v>
      </c>
      <c r="L259" s="251"/>
      <c r="M259" s="326"/>
      <c r="N259" s="322">
        <f t="shared" ref="N259:BY262" si="298">IFERROR(SUM(IF($H259=M259,$D$20),IF(LEFT($H259,1)=LEFT(M259,1),$D$18),IF(MID($H259,FIND("|",$H259)+1,FIND("-",$H259)-FIND("|",$H259)-1)-MID($H259,FIND("-",$H259)+1,11)=MID(M259,FIND("|",M259)+1,FIND("-",M259)-FIND("|",M259)-1)-MID(M259,FIND("-",M259)+1,11),$D$19)),)</f>
        <v>0</v>
      </c>
      <c r="O259" s="251"/>
      <c r="P259" s="326"/>
      <c r="Q259" s="322">
        <f t="shared" si="298"/>
        <v>0</v>
      </c>
      <c r="R259" s="251"/>
      <c r="S259" s="326"/>
      <c r="T259" s="322">
        <f t="shared" si="298"/>
        <v>0</v>
      </c>
      <c r="U259" s="251"/>
      <c r="V259" s="326"/>
      <c r="W259" s="322">
        <f t="shared" si="298"/>
        <v>0</v>
      </c>
      <c r="X259" s="251"/>
      <c r="Y259" s="326"/>
      <c r="Z259" s="322">
        <f t="shared" si="298"/>
        <v>0</v>
      </c>
      <c r="AA259" s="251"/>
      <c r="AB259" s="326"/>
      <c r="AC259" s="322">
        <f t="shared" si="298"/>
        <v>0</v>
      </c>
      <c r="AD259" s="251"/>
      <c r="AE259" s="326"/>
      <c r="AF259" s="322">
        <f t="shared" si="298"/>
        <v>0</v>
      </c>
      <c r="AG259" s="251"/>
      <c r="AH259" s="326"/>
      <c r="AI259" s="322">
        <f t="shared" si="298"/>
        <v>0</v>
      </c>
      <c r="AJ259" s="251"/>
      <c r="AK259" s="326"/>
      <c r="AL259" s="322">
        <f t="shared" si="298"/>
        <v>0</v>
      </c>
      <c r="AM259" s="251"/>
      <c r="AN259" s="326"/>
      <c r="AO259" s="322">
        <f t="shared" si="298"/>
        <v>0</v>
      </c>
      <c r="AP259" s="251"/>
      <c r="AQ259" s="326"/>
      <c r="AR259" s="322">
        <f t="shared" si="298"/>
        <v>0</v>
      </c>
      <c r="AS259" s="251"/>
      <c r="AT259" s="326"/>
      <c r="AU259" s="322">
        <f t="shared" si="298"/>
        <v>0</v>
      </c>
      <c r="AV259" s="251"/>
      <c r="AW259" s="326"/>
      <c r="AX259" s="322">
        <f t="shared" si="298"/>
        <v>0</v>
      </c>
      <c r="AY259" s="251"/>
      <c r="AZ259" s="326"/>
      <c r="BA259" s="322">
        <f t="shared" si="298"/>
        <v>0</v>
      </c>
      <c r="BB259" s="251"/>
      <c r="BC259" s="326"/>
      <c r="BD259" s="322">
        <f t="shared" si="298"/>
        <v>0</v>
      </c>
      <c r="BE259" s="251"/>
      <c r="BF259" s="326"/>
      <c r="BG259" s="322">
        <f t="shared" si="298"/>
        <v>0</v>
      </c>
      <c r="BH259" s="251"/>
      <c r="BI259" s="326"/>
      <c r="BJ259" s="322">
        <f t="shared" si="298"/>
        <v>0</v>
      </c>
      <c r="BK259" s="251"/>
      <c r="BL259" s="326"/>
      <c r="BM259" s="322">
        <f t="shared" si="298"/>
        <v>0</v>
      </c>
      <c r="BN259" s="251"/>
      <c r="BO259" s="326"/>
      <c r="BP259" s="322">
        <f t="shared" si="298"/>
        <v>0</v>
      </c>
      <c r="BQ259" s="251"/>
      <c r="BR259" s="326"/>
      <c r="BS259" s="322">
        <f t="shared" si="298"/>
        <v>0</v>
      </c>
      <c r="BT259" s="251"/>
      <c r="BU259" s="326"/>
      <c r="BV259" s="322">
        <f t="shared" si="298"/>
        <v>0</v>
      </c>
      <c r="BW259" s="251"/>
      <c r="BX259" s="326"/>
      <c r="BY259" s="322">
        <f t="shared" si="298"/>
        <v>0</v>
      </c>
      <c r="BZ259" s="251"/>
      <c r="CA259" s="326"/>
      <c r="CB259" s="322">
        <f t="shared" si="297"/>
        <v>0</v>
      </c>
      <c r="CC259" s="251"/>
      <c r="CD259" s="326"/>
      <c r="CE259" s="322">
        <f t="shared" si="297"/>
        <v>0</v>
      </c>
      <c r="CF259" s="251"/>
      <c r="CG259" s="251"/>
      <c r="CH259" s="251"/>
    </row>
    <row r="260" spans="1:86" ht="15" customHeight="1">
      <c r="A260" s="265"/>
      <c r="B260" s="265"/>
      <c r="C260" s="265"/>
      <c r="D260" s="265"/>
      <c r="E260" s="265"/>
      <c r="F260" s="565"/>
      <c r="G260" s="381" t="str">
        <f>CONCATENATE(League!D177,"-",League!K177)</f>
        <v>4/3-WPO6</v>
      </c>
      <c r="H260" s="320" t="str">
        <f>CONCATENATE(IF(League!G177&gt;League!H177,1,IF(League!G177&lt;League!H177,2,IF(AND(League!G177=League!H177,League!G177&lt;&gt;"",League!H177&lt;&gt;""),"X",0))),"|",League!G177,"-",League!H177)</f>
        <v>0|-</v>
      </c>
      <c r="I260" s="219"/>
      <c r="J260" s="326"/>
      <c r="K260" s="322">
        <f t="shared" si="294"/>
        <v>0</v>
      </c>
      <c r="L260" s="251"/>
      <c r="M260" s="326"/>
      <c r="N260" s="322">
        <f t="shared" si="298"/>
        <v>0</v>
      </c>
      <c r="O260" s="251"/>
      <c r="P260" s="326"/>
      <c r="Q260" s="322">
        <f t="shared" si="298"/>
        <v>0</v>
      </c>
      <c r="R260" s="251"/>
      <c r="S260" s="326"/>
      <c r="T260" s="322">
        <f t="shared" si="298"/>
        <v>0</v>
      </c>
      <c r="U260" s="251"/>
      <c r="V260" s="326"/>
      <c r="W260" s="322">
        <f t="shared" si="298"/>
        <v>0</v>
      </c>
      <c r="X260" s="251"/>
      <c r="Y260" s="326"/>
      <c r="Z260" s="322">
        <f t="shared" si="298"/>
        <v>0</v>
      </c>
      <c r="AA260" s="251"/>
      <c r="AB260" s="326"/>
      <c r="AC260" s="322">
        <f t="shared" si="298"/>
        <v>0</v>
      </c>
      <c r="AD260" s="251"/>
      <c r="AE260" s="326"/>
      <c r="AF260" s="322">
        <f t="shared" si="298"/>
        <v>0</v>
      </c>
      <c r="AG260" s="251"/>
      <c r="AH260" s="326"/>
      <c r="AI260" s="322">
        <f t="shared" si="298"/>
        <v>0</v>
      </c>
      <c r="AJ260" s="251"/>
      <c r="AK260" s="326"/>
      <c r="AL260" s="322">
        <f t="shared" si="298"/>
        <v>0</v>
      </c>
      <c r="AM260" s="251"/>
      <c r="AN260" s="326"/>
      <c r="AO260" s="322">
        <f t="shared" si="298"/>
        <v>0</v>
      </c>
      <c r="AP260" s="251"/>
      <c r="AQ260" s="326"/>
      <c r="AR260" s="322">
        <f t="shared" si="298"/>
        <v>0</v>
      </c>
      <c r="AS260" s="251"/>
      <c r="AT260" s="326"/>
      <c r="AU260" s="322">
        <f t="shared" si="298"/>
        <v>0</v>
      </c>
      <c r="AV260" s="251"/>
      <c r="AW260" s="326"/>
      <c r="AX260" s="322">
        <f t="shared" si="298"/>
        <v>0</v>
      </c>
      <c r="AY260" s="251"/>
      <c r="AZ260" s="326"/>
      <c r="BA260" s="322">
        <f t="shared" si="298"/>
        <v>0</v>
      </c>
      <c r="BB260" s="251"/>
      <c r="BC260" s="326"/>
      <c r="BD260" s="322">
        <f t="shared" si="298"/>
        <v>0</v>
      </c>
      <c r="BE260" s="251"/>
      <c r="BF260" s="326"/>
      <c r="BG260" s="322">
        <f t="shared" si="298"/>
        <v>0</v>
      </c>
      <c r="BH260" s="251"/>
      <c r="BI260" s="326"/>
      <c r="BJ260" s="322">
        <f t="shared" si="298"/>
        <v>0</v>
      </c>
      <c r="BK260" s="251"/>
      <c r="BL260" s="326"/>
      <c r="BM260" s="322">
        <f t="shared" si="298"/>
        <v>0</v>
      </c>
      <c r="BN260" s="251"/>
      <c r="BO260" s="326"/>
      <c r="BP260" s="322">
        <f t="shared" si="298"/>
        <v>0</v>
      </c>
      <c r="BQ260" s="251"/>
      <c r="BR260" s="326"/>
      <c r="BS260" s="322">
        <f t="shared" si="298"/>
        <v>0</v>
      </c>
      <c r="BT260" s="251"/>
      <c r="BU260" s="326"/>
      <c r="BV260" s="322">
        <f t="shared" si="298"/>
        <v>0</v>
      </c>
      <c r="BW260" s="251"/>
      <c r="BX260" s="326"/>
      <c r="BY260" s="322">
        <f t="shared" si="298"/>
        <v>0</v>
      </c>
      <c r="BZ260" s="251"/>
      <c r="CA260" s="326"/>
      <c r="CB260" s="322">
        <f t="shared" si="297"/>
        <v>0</v>
      </c>
      <c r="CC260" s="251"/>
      <c r="CD260" s="326"/>
      <c r="CE260" s="322">
        <f t="shared" si="297"/>
        <v>0</v>
      </c>
      <c r="CF260" s="251"/>
      <c r="CG260" s="251"/>
      <c r="CH260" s="251"/>
    </row>
    <row r="261" spans="1:86" ht="15" customHeight="1">
      <c r="A261" s="265"/>
      <c r="B261" s="265"/>
      <c r="C261" s="265"/>
      <c r="D261" s="265"/>
      <c r="E261" s="265"/>
      <c r="F261" s="565"/>
      <c r="G261" s="381" t="str">
        <f>CONCATENATE(League!D179,"-",League!K179)</f>
        <v>8/7-WPO7</v>
      </c>
      <c r="H261" s="320" t="str">
        <f>CONCATENATE(IF(League!G179&gt;League!H179,1,IF(League!G179&lt;League!H179,2,IF(AND(League!G179=League!H179,League!G179&lt;&gt;"",League!H179&lt;&gt;""),"X",0))),"|",League!G179,"-",League!H179)</f>
        <v>0|-</v>
      </c>
      <c r="I261" s="219"/>
      <c r="J261" s="326"/>
      <c r="K261" s="322">
        <f t="shared" si="294"/>
        <v>0</v>
      </c>
      <c r="L261" s="251"/>
      <c r="M261" s="326"/>
      <c r="N261" s="322">
        <f t="shared" si="298"/>
        <v>0</v>
      </c>
      <c r="O261" s="251"/>
      <c r="P261" s="326"/>
      <c r="Q261" s="322">
        <f t="shared" si="298"/>
        <v>0</v>
      </c>
      <c r="R261" s="251"/>
      <c r="S261" s="326"/>
      <c r="T261" s="322">
        <f t="shared" si="298"/>
        <v>0</v>
      </c>
      <c r="U261" s="251"/>
      <c r="V261" s="326"/>
      <c r="W261" s="322">
        <f t="shared" si="298"/>
        <v>0</v>
      </c>
      <c r="X261" s="251"/>
      <c r="Y261" s="326"/>
      <c r="Z261" s="322">
        <f t="shared" si="298"/>
        <v>0</v>
      </c>
      <c r="AA261" s="251"/>
      <c r="AB261" s="326"/>
      <c r="AC261" s="322">
        <f t="shared" si="298"/>
        <v>0</v>
      </c>
      <c r="AD261" s="251"/>
      <c r="AE261" s="326"/>
      <c r="AF261" s="322">
        <f t="shared" si="298"/>
        <v>0</v>
      </c>
      <c r="AG261" s="251"/>
      <c r="AH261" s="326"/>
      <c r="AI261" s="322">
        <f t="shared" si="298"/>
        <v>0</v>
      </c>
      <c r="AJ261" s="251"/>
      <c r="AK261" s="326"/>
      <c r="AL261" s="322">
        <f t="shared" si="298"/>
        <v>0</v>
      </c>
      <c r="AM261" s="251"/>
      <c r="AN261" s="326"/>
      <c r="AO261" s="322">
        <f t="shared" si="298"/>
        <v>0</v>
      </c>
      <c r="AP261" s="251"/>
      <c r="AQ261" s="326"/>
      <c r="AR261" s="322">
        <f t="shared" si="298"/>
        <v>0</v>
      </c>
      <c r="AS261" s="251"/>
      <c r="AT261" s="326"/>
      <c r="AU261" s="322">
        <f t="shared" si="298"/>
        <v>0</v>
      </c>
      <c r="AV261" s="251"/>
      <c r="AW261" s="326"/>
      <c r="AX261" s="322">
        <f t="shared" si="298"/>
        <v>0</v>
      </c>
      <c r="AY261" s="251"/>
      <c r="AZ261" s="326"/>
      <c r="BA261" s="322">
        <f t="shared" si="298"/>
        <v>0</v>
      </c>
      <c r="BB261" s="251"/>
      <c r="BC261" s="326"/>
      <c r="BD261" s="322">
        <f t="shared" si="298"/>
        <v>0</v>
      </c>
      <c r="BE261" s="251"/>
      <c r="BF261" s="326"/>
      <c r="BG261" s="322">
        <f t="shared" si="298"/>
        <v>0</v>
      </c>
      <c r="BH261" s="251"/>
      <c r="BI261" s="326"/>
      <c r="BJ261" s="322">
        <f t="shared" si="298"/>
        <v>0</v>
      </c>
      <c r="BK261" s="251"/>
      <c r="BL261" s="326"/>
      <c r="BM261" s="322">
        <f t="shared" si="298"/>
        <v>0</v>
      </c>
      <c r="BN261" s="251"/>
      <c r="BO261" s="326"/>
      <c r="BP261" s="322">
        <f t="shared" si="298"/>
        <v>0</v>
      </c>
      <c r="BQ261" s="251"/>
      <c r="BR261" s="326"/>
      <c r="BS261" s="322">
        <f t="shared" si="298"/>
        <v>0</v>
      </c>
      <c r="BT261" s="251"/>
      <c r="BU261" s="326"/>
      <c r="BV261" s="322">
        <f t="shared" si="298"/>
        <v>0</v>
      </c>
      <c r="BW261" s="251"/>
      <c r="BX261" s="326"/>
      <c r="BY261" s="322">
        <f t="shared" si="298"/>
        <v>0</v>
      </c>
      <c r="BZ261" s="251"/>
      <c r="CA261" s="326"/>
      <c r="CB261" s="322">
        <f t="shared" si="297"/>
        <v>0</v>
      </c>
      <c r="CC261" s="251"/>
      <c r="CD261" s="326"/>
      <c r="CE261" s="322">
        <f t="shared" si="297"/>
        <v>0</v>
      </c>
      <c r="CF261" s="251"/>
      <c r="CG261" s="251"/>
      <c r="CH261" s="251"/>
    </row>
    <row r="262" spans="1:86" ht="15" customHeight="1">
      <c r="A262" s="265"/>
      <c r="B262" s="265"/>
      <c r="C262" s="265"/>
      <c r="D262" s="265"/>
      <c r="E262" s="265"/>
      <c r="F262" s="565"/>
      <c r="G262" s="382" t="str">
        <f>CONCATENATE(League!D181,"-",League!K181)</f>
        <v>2/1-WPO8</v>
      </c>
      <c r="H262" s="386" t="str">
        <f>CONCATENATE(IF(League!G181&gt;League!H181,1,IF(League!G181&lt;League!H181,2,IF(AND(League!G181=League!H181,League!G181&lt;&gt;"",League!H181&lt;&gt;""),"X",0))),"|",League!G181,"-",League!H181)</f>
        <v>0|-</v>
      </c>
      <c r="I262" s="219"/>
      <c r="J262" s="326"/>
      <c r="K262" s="322">
        <f t="shared" si="294"/>
        <v>0</v>
      </c>
      <c r="L262" s="251"/>
      <c r="M262" s="326"/>
      <c r="N262" s="322">
        <f t="shared" si="298"/>
        <v>0</v>
      </c>
      <c r="O262" s="251"/>
      <c r="P262" s="326"/>
      <c r="Q262" s="322">
        <f t="shared" si="298"/>
        <v>0</v>
      </c>
      <c r="R262" s="251"/>
      <c r="S262" s="326"/>
      <c r="T262" s="322">
        <f t="shared" si="298"/>
        <v>0</v>
      </c>
      <c r="U262" s="251"/>
      <c r="V262" s="326"/>
      <c r="W262" s="322">
        <f t="shared" si="298"/>
        <v>0</v>
      </c>
      <c r="X262" s="251"/>
      <c r="Y262" s="326"/>
      <c r="Z262" s="322">
        <f t="shared" si="298"/>
        <v>0</v>
      </c>
      <c r="AA262" s="251"/>
      <c r="AB262" s="326"/>
      <c r="AC262" s="322">
        <f t="shared" si="298"/>
        <v>0</v>
      </c>
      <c r="AD262" s="251"/>
      <c r="AE262" s="326"/>
      <c r="AF262" s="322">
        <f t="shared" si="298"/>
        <v>0</v>
      </c>
      <c r="AG262" s="251"/>
      <c r="AH262" s="326"/>
      <c r="AI262" s="322">
        <f t="shared" si="298"/>
        <v>0</v>
      </c>
      <c r="AJ262" s="251"/>
      <c r="AK262" s="326"/>
      <c r="AL262" s="322">
        <f t="shared" si="298"/>
        <v>0</v>
      </c>
      <c r="AM262" s="251"/>
      <c r="AN262" s="326"/>
      <c r="AO262" s="322">
        <f t="shared" si="298"/>
        <v>0</v>
      </c>
      <c r="AP262" s="251"/>
      <c r="AQ262" s="326"/>
      <c r="AR262" s="322">
        <f t="shared" si="298"/>
        <v>0</v>
      </c>
      <c r="AS262" s="251"/>
      <c r="AT262" s="326"/>
      <c r="AU262" s="322">
        <f t="shared" si="298"/>
        <v>0</v>
      </c>
      <c r="AV262" s="251"/>
      <c r="AW262" s="326"/>
      <c r="AX262" s="322">
        <f t="shared" si="298"/>
        <v>0</v>
      </c>
      <c r="AY262" s="251"/>
      <c r="AZ262" s="326"/>
      <c r="BA262" s="322">
        <f t="shared" si="298"/>
        <v>0</v>
      </c>
      <c r="BB262" s="251"/>
      <c r="BC262" s="326"/>
      <c r="BD262" s="322">
        <f t="shared" si="298"/>
        <v>0</v>
      </c>
      <c r="BE262" s="251"/>
      <c r="BF262" s="326"/>
      <c r="BG262" s="322">
        <f t="shared" si="298"/>
        <v>0</v>
      </c>
      <c r="BH262" s="251"/>
      <c r="BI262" s="326"/>
      <c r="BJ262" s="322">
        <f t="shared" si="298"/>
        <v>0</v>
      </c>
      <c r="BK262" s="251"/>
      <c r="BL262" s="326"/>
      <c r="BM262" s="322">
        <f t="shared" si="298"/>
        <v>0</v>
      </c>
      <c r="BN262" s="251"/>
      <c r="BO262" s="326"/>
      <c r="BP262" s="322">
        <f t="shared" si="298"/>
        <v>0</v>
      </c>
      <c r="BQ262" s="251"/>
      <c r="BR262" s="326"/>
      <c r="BS262" s="322">
        <f t="shared" si="298"/>
        <v>0</v>
      </c>
      <c r="BT262" s="251"/>
      <c r="BU262" s="326"/>
      <c r="BV262" s="322">
        <f t="shared" si="298"/>
        <v>0</v>
      </c>
      <c r="BW262" s="251"/>
      <c r="BX262" s="326"/>
      <c r="BY262" s="322">
        <f t="shared" si="298"/>
        <v>0</v>
      </c>
      <c r="BZ262" s="251"/>
      <c r="CA262" s="326"/>
      <c r="CB262" s="322">
        <f t="shared" si="297"/>
        <v>0</v>
      </c>
      <c r="CC262" s="251"/>
      <c r="CD262" s="326"/>
      <c r="CE262" s="322">
        <f t="shared" si="297"/>
        <v>0</v>
      </c>
      <c r="CF262" s="251"/>
      <c r="CG262" s="251"/>
      <c r="CH262" s="251"/>
    </row>
    <row r="263" spans="1:86" s="369" customFormat="1">
      <c r="A263" s="265"/>
      <c r="B263" s="265"/>
      <c r="C263" s="265"/>
      <c r="D263" s="265"/>
      <c r="E263" s="265"/>
      <c r="F263" s="265"/>
      <c r="G263" s="265"/>
      <c r="H263" s="265"/>
      <c r="I263" s="265"/>
      <c r="J263" s="368"/>
      <c r="K263" s="265" t="str">
        <f>CONCATENATE(SUM(K247:K262),"/",SUM($D$18:$D$20)*COUNT(K247:K262))</f>
        <v>0/0</v>
      </c>
      <c r="L263" s="265"/>
      <c r="M263" s="368"/>
      <c r="N263" s="265" t="str">
        <f t="shared" ref="N263" si="299">CONCATENATE(SUM(N247:N262),"/",SUM($D$18:$D$20)*COUNT(N247:N262))</f>
        <v>0/0</v>
      </c>
      <c r="O263" s="265"/>
      <c r="P263" s="368"/>
      <c r="Q263" s="265" t="str">
        <f t="shared" ref="Q263" si="300">CONCATENATE(SUM(Q247:Q262),"/",SUM($D$18:$D$20)*COUNT(Q247:Q262))</f>
        <v>0/0</v>
      </c>
      <c r="R263" s="265"/>
      <c r="S263" s="368"/>
      <c r="T263" s="265" t="str">
        <f t="shared" ref="T263" si="301">CONCATENATE(SUM(T247:T262),"/",SUM($D$18:$D$20)*COUNT(T247:T262))</f>
        <v>0/0</v>
      </c>
      <c r="U263" s="265"/>
      <c r="V263" s="368"/>
      <c r="W263" s="265" t="str">
        <f t="shared" ref="W263" si="302">CONCATENATE(SUM(W247:W262),"/",SUM($D$18:$D$20)*COUNT(W247:W262))</f>
        <v>0/0</v>
      </c>
      <c r="X263" s="265"/>
      <c r="Y263" s="368"/>
      <c r="Z263" s="265" t="str">
        <f t="shared" ref="Z263" si="303">CONCATENATE(SUM(Z247:Z262),"/",SUM($D$18:$D$20)*COUNT(Z247:Z262))</f>
        <v>0/0</v>
      </c>
      <c r="AA263" s="265"/>
      <c r="AB263" s="368"/>
      <c r="AC263" s="265" t="str">
        <f t="shared" ref="AC263" si="304">CONCATENATE(SUM(AC247:AC262),"/",SUM($D$18:$D$20)*COUNT(AC247:AC262))</f>
        <v>0/0</v>
      </c>
      <c r="AD263" s="265"/>
      <c r="AE263" s="368"/>
      <c r="AF263" s="265" t="str">
        <f t="shared" ref="AF263" si="305">CONCATENATE(SUM(AF247:AF262),"/",SUM($D$18:$D$20)*COUNT(AF247:AF262))</f>
        <v>0/0</v>
      </c>
      <c r="AG263" s="265"/>
      <c r="AH263" s="368"/>
      <c r="AI263" s="265" t="str">
        <f t="shared" ref="AI263" si="306">CONCATENATE(SUM(AI247:AI262),"/",SUM($D$18:$D$20)*COUNT(AI247:AI262))</f>
        <v>0/0</v>
      </c>
      <c r="AJ263" s="265"/>
      <c r="AK263" s="368"/>
      <c r="AL263" s="265" t="str">
        <f t="shared" ref="AL263" si="307">CONCATENATE(SUM(AL247:AL262),"/",SUM($D$18:$D$20)*COUNT(AL247:AL262))</f>
        <v>0/0</v>
      </c>
      <c r="AM263" s="265"/>
      <c r="AN263" s="368"/>
      <c r="AO263" s="265" t="str">
        <f t="shared" ref="AO263" si="308">CONCATENATE(SUM(AO247:AO262),"/",SUM($D$18:$D$20)*COUNT(AO247:AO262))</f>
        <v>0/0</v>
      </c>
      <c r="AP263" s="265"/>
      <c r="AQ263" s="368"/>
      <c r="AR263" s="265" t="str">
        <f t="shared" ref="AR263" si="309">CONCATENATE(SUM(AR247:AR262),"/",SUM($D$18:$D$20)*COUNT(AR247:AR262))</f>
        <v>0/0</v>
      </c>
      <c r="AS263" s="265"/>
      <c r="AT263" s="368"/>
      <c r="AU263" s="265" t="str">
        <f t="shared" ref="AU263" si="310">CONCATENATE(SUM(AU247:AU262),"/",SUM($D$18:$D$20)*COUNT(AU247:AU262))</f>
        <v>0/0</v>
      </c>
      <c r="AV263" s="265"/>
      <c r="AW263" s="368"/>
      <c r="AX263" s="265" t="str">
        <f t="shared" ref="AX263" si="311">CONCATENATE(SUM(AX247:AX262),"/",SUM($D$18:$D$20)*COUNT(AX247:AX262))</f>
        <v>0/0</v>
      </c>
      <c r="AY263" s="265"/>
      <c r="AZ263" s="368"/>
      <c r="BA263" s="265" t="str">
        <f t="shared" ref="BA263" si="312">CONCATENATE(SUM(BA247:BA262),"/",SUM($D$18:$D$20)*COUNT(BA247:BA262))</f>
        <v>0/0</v>
      </c>
      <c r="BB263" s="265"/>
      <c r="BC263" s="368"/>
      <c r="BD263" s="265" t="str">
        <f t="shared" ref="BD263" si="313">CONCATENATE(SUM(BD247:BD262),"/",SUM($D$18:$D$20)*COUNT(BD247:BD262))</f>
        <v>0/0</v>
      </c>
      <c r="BE263" s="265"/>
      <c r="BF263" s="368"/>
      <c r="BG263" s="265" t="str">
        <f t="shared" ref="BG263" si="314">CONCATENATE(SUM(BG247:BG262),"/",SUM($D$18:$D$20)*COUNT(BG247:BG262))</f>
        <v>0/0</v>
      </c>
      <c r="BH263" s="265"/>
      <c r="BI263" s="368"/>
      <c r="BJ263" s="265" t="str">
        <f t="shared" ref="BJ263" si="315">CONCATENATE(SUM(BJ247:BJ262),"/",SUM($D$18:$D$20)*COUNT(BJ247:BJ262))</f>
        <v>0/0</v>
      </c>
      <c r="BK263" s="265"/>
      <c r="BL263" s="368"/>
      <c r="BM263" s="265" t="str">
        <f t="shared" ref="BM263" si="316">CONCATENATE(SUM(BM247:BM262),"/",SUM($D$18:$D$20)*COUNT(BM247:BM262))</f>
        <v>0/0</v>
      </c>
      <c r="BN263" s="265"/>
      <c r="BO263" s="368"/>
      <c r="BP263" s="265" t="str">
        <f t="shared" ref="BP263" si="317">CONCATENATE(SUM(BP247:BP262),"/",SUM($D$18:$D$20)*COUNT(BP247:BP262))</f>
        <v>0/0</v>
      </c>
      <c r="BQ263" s="265"/>
      <c r="BR263" s="368"/>
      <c r="BS263" s="265" t="str">
        <f t="shared" ref="BS263" si="318">CONCATENATE(SUM(BS247:BS262),"/",SUM($D$18:$D$20)*COUNT(BS247:BS262))</f>
        <v>0/0</v>
      </c>
      <c r="BT263" s="265"/>
      <c r="BU263" s="368"/>
      <c r="BV263" s="265" t="str">
        <f t="shared" ref="BV263" si="319">CONCATENATE(SUM(BV247:BV262),"/",SUM($D$18:$D$20)*COUNT(BV247:BV262))</f>
        <v>0/0</v>
      </c>
      <c r="BW263" s="265"/>
      <c r="BX263" s="368"/>
      <c r="BY263" s="265" t="str">
        <f t="shared" ref="BY263" si="320">CONCATENATE(SUM(BY247:BY262),"/",SUM($D$18:$D$20)*COUNT(BY247:BY262))</f>
        <v>0/0</v>
      </c>
      <c r="BZ263" s="265"/>
      <c r="CA263" s="368"/>
      <c r="CB263" s="265" t="str">
        <f t="shared" ref="CB263" si="321">CONCATENATE(SUM(CB247:CB262),"/",SUM($D$18:$D$20)*COUNT(CB247:CB262))</f>
        <v>0/0</v>
      </c>
      <c r="CC263" s="265"/>
      <c r="CD263" s="368"/>
      <c r="CE263" s="265" t="str">
        <f t="shared" ref="CE263" si="322">CONCATENATE(SUM(CE247:CE262),"/",SUM($D$18:$D$20)*COUNT(CE247:CE262))</f>
        <v>0/0</v>
      </c>
      <c r="CF263" s="265"/>
      <c r="CG263" s="265"/>
      <c r="CH263" s="265"/>
    </row>
    <row r="264" spans="1:86" ht="15.95" customHeight="1">
      <c r="A264" s="265"/>
      <c r="B264" s="265"/>
      <c r="C264" s="265"/>
      <c r="D264" s="265"/>
      <c r="E264" s="265"/>
      <c r="F264" s="265"/>
      <c r="G264" s="316" t="str">
        <f>+UPPER(Idiomas!D225)</f>
        <v>CLASIFICADOS PARA CUARTOS DE FINAL</v>
      </c>
      <c r="H264" s="370"/>
      <c r="I264" s="219"/>
      <c r="J264" s="371"/>
      <c r="K264" s="219"/>
      <c r="L264" s="251"/>
      <c r="M264" s="371"/>
      <c r="N264" s="219"/>
      <c r="O264" s="251"/>
      <c r="P264" s="371"/>
      <c r="Q264" s="219"/>
      <c r="R264" s="251"/>
      <c r="S264" s="371"/>
      <c r="T264" s="219"/>
      <c r="U264" s="251"/>
      <c r="V264" s="371"/>
      <c r="W264" s="219"/>
      <c r="X264" s="251"/>
      <c r="Y264" s="371"/>
      <c r="Z264" s="219"/>
      <c r="AA264" s="251"/>
      <c r="AB264" s="371"/>
      <c r="AC264" s="219"/>
      <c r="AD264" s="251"/>
      <c r="AE264" s="371"/>
      <c r="AF264" s="219"/>
      <c r="AG264" s="251"/>
      <c r="AH264" s="371"/>
      <c r="AI264" s="219"/>
      <c r="AJ264" s="251"/>
      <c r="AK264" s="371"/>
      <c r="AL264" s="219"/>
      <c r="AM264" s="251"/>
      <c r="AN264" s="371"/>
      <c r="AO264" s="219"/>
      <c r="AP264" s="251"/>
      <c r="AQ264" s="371"/>
      <c r="AR264" s="219"/>
      <c r="AS264" s="251"/>
      <c r="AT264" s="371"/>
      <c r="AU264" s="219"/>
      <c r="AV264" s="251"/>
      <c r="AW264" s="371"/>
      <c r="AX264" s="219"/>
      <c r="AY264" s="251"/>
      <c r="AZ264" s="371"/>
      <c r="BA264" s="219"/>
      <c r="BB264" s="251"/>
      <c r="BC264" s="371"/>
      <c r="BD264" s="219"/>
      <c r="BE264" s="251"/>
      <c r="BF264" s="371"/>
      <c r="BG264" s="219"/>
      <c r="BH264" s="251"/>
      <c r="BI264" s="371"/>
      <c r="BJ264" s="219"/>
      <c r="BK264" s="251"/>
      <c r="BL264" s="371"/>
      <c r="BM264" s="219"/>
      <c r="BN264" s="251"/>
      <c r="BO264" s="371"/>
      <c r="BP264" s="219"/>
      <c r="BQ264" s="251"/>
      <c r="BR264" s="371"/>
      <c r="BS264" s="219"/>
      <c r="BT264" s="251"/>
      <c r="BU264" s="371"/>
      <c r="BV264" s="219"/>
      <c r="BW264" s="251"/>
      <c r="BX264" s="371"/>
      <c r="BY264" s="219"/>
      <c r="BZ264" s="251"/>
      <c r="CA264" s="371"/>
      <c r="CB264" s="219"/>
      <c r="CC264" s="251"/>
      <c r="CD264" s="371"/>
      <c r="CE264" s="219"/>
      <c r="CF264" s="251"/>
      <c r="CG264" s="251"/>
      <c r="CH264" s="251"/>
    </row>
    <row r="265" spans="1:86" ht="15" customHeight="1">
      <c r="A265" s="265"/>
      <c r="B265" s="265"/>
      <c r="C265" s="265"/>
      <c r="D265" s="265"/>
      <c r="E265" s="265"/>
      <c r="F265" s="565" t="s">
        <v>201</v>
      </c>
      <c r="G265" s="374" t="str">
        <f>+Idiomas!$D$277</f>
        <v>Cuartofinalista</v>
      </c>
      <c r="H265" s="320" t="str">
        <f>+League!P167</f>
        <v>WO1</v>
      </c>
      <c r="I265" s="219"/>
      <c r="J265" s="326"/>
      <c r="K265" s="322">
        <f t="shared" ref="K265:K272" si="323">COUNTIF($H$265:$H$272,J265)*$D$21</f>
        <v>0</v>
      </c>
      <c r="L265" s="251"/>
      <c r="M265" s="326"/>
      <c r="N265" s="322">
        <f t="shared" ref="N265:BY272" si="324">COUNTIF($H$265:$H$272,M265)*$D$21</f>
        <v>0</v>
      </c>
      <c r="O265" s="251"/>
      <c r="P265" s="326"/>
      <c r="Q265" s="322">
        <f t="shared" si="324"/>
        <v>0</v>
      </c>
      <c r="R265" s="251"/>
      <c r="S265" s="326"/>
      <c r="T265" s="322">
        <f t="shared" si="324"/>
        <v>0</v>
      </c>
      <c r="U265" s="251"/>
      <c r="V265" s="326"/>
      <c r="W265" s="322">
        <f t="shared" si="324"/>
        <v>0</v>
      </c>
      <c r="X265" s="251"/>
      <c r="Y265" s="326"/>
      <c r="Z265" s="322">
        <f t="shared" si="324"/>
        <v>0</v>
      </c>
      <c r="AA265" s="251"/>
      <c r="AB265" s="326"/>
      <c r="AC265" s="322">
        <f t="shared" si="324"/>
        <v>0</v>
      </c>
      <c r="AD265" s="251"/>
      <c r="AE265" s="326"/>
      <c r="AF265" s="322">
        <f t="shared" si="324"/>
        <v>0</v>
      </c>
      <c r="AG265" s="251"/>
      <c r="AH265" s="326"/>
      <c r="AI265" s="322">
        <f t="shared" si="324"/>
        <v>0</v>
      </c>
      <c r="AJ265" s="251"/>
      <c r="AK265" s="326"/>
      <c r="AL265" s="322">
        <f t="shared" si="324"/>
        <v>0</v>
      </c>
      <c r="AM265" s="251"/>
      <c r="AN265" s="326"/>
      <c r="AO265" s="322">
        <f t="shared" si="324"/>
        <v>0</v>
      </c>
      <c r="AP265" s="251"/>
      <c r="AQ265" s="326"/>
      <c r="AR265" s="322">
        <f t="shared" si="324"/>
        <v>0</v>
      </c>
      <c r="AS265" s="251"/>
      <c r="AT265" s="326"/>
      <c r="AU265" s="322">
        <f t="shared" si="324"/>
        <v>0</v>
      </c>
      <c r="AV265" s="251"/>
      <c r="AW265" s="326"/>
      <c r="AX265" s="322">
        <f t="shared" si="324"/>
        <v>0</v>
      </c>
      <c r="AY265" s="251"/>
      <c r="AZ265" s="326"/>
      <c r="BA265" s="322">
        <f t="shared" si="324"/>
        <v>0</v>
      </c>
      <c r="BB265" s="251"/>
      <c r="BC265" s="326"/>
      <c r="BD265" s="322">
        <f t="shared" si="324"/>
        <v>0</v>
      </c>
      <c r="BE265" s="251"/>
      <c r="BF265" s="326"/>
      <c r="BG265" s="322">
        <f t="shared" si="324"/>
        <v>0</v>
      </c>
      <c r="BH265" s="251"/>
      <c r="BI265" s="326"/>
      <c r="BJ265" s="322">
        <f t="shared" si="324"/>
        <v>0</v>
      </c>
      <c r="BK265" s="251"/>
      <c r="BL265" s="326"/>
      <c r="BM265" s="322">
        <f t="shared" si="324"/>
        <v>0</v>
      </c>
      <c r="BN265" s="251"/>
      <c r="BO265" s="326"/>
      <c r="BP265" s="322">
        <f t="shared" si="324"/>
        <v>0</v>
      </c>
      <c r="BQ265" s="251"/>
      <c r="BR265" s="326"/>
      <c r="BS265" s="322">
        <f t="shared" si="324"/>
        <v>0</v>
      </c>
      <c r="BT265" s="251"/>
      <c r="BU265" s="326"/>
      <c r="BV265" s="322">
        <f t="shared" si="324"/>
        <v>0</v>
      </c>
      <c r="BW265" s="251"/>
      <c r="BX265" s="326"/>
      <c r="BY265" s="322">
        <f t="shared" si="324"/>
        <v>0</v>
      </c>
      <c r="BZ265" s="251"/>
      <c r="CA265" s="326"/>
      <c r="CB265" s="322">
        <f t="shared" ref="CB265:CE272" si="325">COUNTIF($H$265:$H$272,CA265)*$D$21</f>
        <v>0</v>
      </c>
      <c r="CC265" s="251"/>
      <c r="CD265" s="326"/>
      <c r="CE265" s="322">
        <f t="shared" si="325"/>
        <v>0</v>
      </c>
      <c r="CF265" s="251"/>
      <c r="CG265" s="251"/>
      <c r="CH265" s="251"/>
    </row>
    <row r="266" spans="1:86" ht="15" customHeight="1">
      <c r="A266" s="265"/>
      <c r="B266" s="265"/>
      <c r="C266" s="265"/>
      <c r="D266" s="265"/>
      <c r="E266" s="265"/>
      <c r="F266" s="565"/>
      <c r="G266" s="374" t="str">
        <f>+Idiomas!$D$277</f>
        <v>Cuartofinalista</v>
      </c>
      <c r="H266" s="320" t="str">
        <f>+League!P169</f>
        <v>WO2</v>
      </c>
      <c r="I266" s="219"/>
      <c r="J266" s="326"/>
      <c r="K266" s="322">
        <f t="shared" si="323"/>
        <v>0</v>
      </c>
      <c r="L266" s="251"/>
      <c r="M266" s="326"/>
      <c r="N266" s="322">
        <f t="shared" si="324"/>
        <v>0</v>
      </c>
      <c r="O266" s="251"/>
      <c r="P266" s="326"/>
      <c r="Q266" s="322">
        <f t="shared" si="324"/>
        <v>0</v>
      </c>
      <c r="R266" s="251"/>
      <c r="S266" s="326"/>
      <c r="T266" s="322">
        <f t="shared" si="324"/>
        <v>0</v>
      </c>
      <c r="U266" s="251"/>
      <c r="V266" s="326"/>
      <c r="W266" s="322">
        <f t="shared" si="324"/>
        <v>0</v>
      </c>
      <c r="X266" s="251"/>
      <c r="Y266" s="326"/>
      <c r="Z266" s="322">
        <f t="shared" si="324"/>
        <v>0</v>
      </c>
      <c r="AA266" s="251"/>
      <c r="AB266" s="326"/>
      <c r="AC266" s="322">
        <f t="shared" si="324"/>
        <v>0</v>
      </c>
      <c r="AD266" s="251"/>
      <c r="AE266" s="326"/>
      <c r="AF266" s="322">
        <f t="shared" si="324"/>
        <v>0</v>
      </c>
      <c r="AG266" s="251"/>
      <c r="AH266" s="326"/>
      <c r="AI266" s="322">
        <f t="shared" si="324"/>
        <v>0</v>
      </c>
      <c r="AJ266" s="251"/>
      <c r="AK266" s="326"/>
      <c r="AL266" s="322">
        <f t="shared" si="324"/>
        <v>0</v>
      </c>
      <c r="AM266" s="251"/>
      <c r="AN266" s="326"/>
      <c r="AO266" s="322">
        <f t="shared" si="324"/>
        <v>0</v>
      </c>
      <c r="AP266" s="251"/>
      <c r="AQ266" s="326"/>
      <c r="AR266" s="322">
        <f t="shared" si="324"/>
        <v>0</v>
      </c>
      <c r="AS266" s="251"/>
      <c r="AT266" s="326"/>
      <c r="AU266" s="322">
        <f t="shared" si="324"/>
        <v>0</v>
      </c>
      <c r="AV266" s="251"/>
      <c r="AW266" s="326"/>
      <c r="AX266" s="322">
        <f t="shared" si="324"/>
        <v>0</v>
      </c>
      <c r="AY266" s="251"/>
      <c r="AZ266" s="326"/>
      <c r="BA266" s="322">
        <f t="shared" si="324"/>
        <v>0</v>
      </c>
      <c r="BB266" s="251"/>
      <c r="BC266" s="326"/>
      <c r="BD266" s="322">
        <f t="shared" si="324"/>
        <v>0</v>
      </c>
      <c r="BE266" s="251"/>
      <c r="BF266" s="326"/>
      <c r="BG266" s="322">
        <f t="shared" si="324"/>
        <v>0</v>
      </c>
      <c r="BH266" s="251"/>
      <c r="BI266" s="326"/>
      <c r="BJ266" s="322">
        <f t="shared" si="324"/>
        <v>0</v>
      </c>
      <c r="BK266" s="251"/>
      <c r="BL266" s="326"/>
      <c r="BM266" s="322">
        <f t="shared" si="324"/>
        <v>0</v>
      </c>
      <c r="BN266" s="251"/>
      <c r="BO266" s="326"/>
      <c r="BP266" s="322">
        <f t="shared" si="324"/>
        <v>0</v>
      </c>
      <c r="BQ266" s="251"/>
      <c r="BR266" s="326"/>
      <c r="BS266" s="322">
        <f t="shared" si="324"/>
        <v>0</v>
      </c>
      <c r="BT266" s="251"/>
      <c r="BU266" s="326"/>
      <c r="BV266" s="322">
        <f t="shared" si="324"/>
        <v>0</v>
      </c>
      <c r="BW266" s="251"/>
      <c r="BX266" s="326"/>
      <c r="BY266" s="322">
        <f t="shared" si="324"/>
        <v>0</v>
      </c>
      <c r="BZ266" s="251"/>
      <c r="CA266" s="326"/>
      <c r="CB266" s="322">
        <f t="shared" si="325"/>
        <v>0</v>
      </c>
      <c r="CC266" s="251"/>
      <c r="CD266" s="326"/>
      <c r="CE266" s="322">
        <f t="shared" si="325"/>
        <v>0</v>
      </c>
      <c r="CF266" s="251"/>
      <c r="CG266" s="251"/>
      <c r="CH266" s="251"/>
    </row>
    <row r="267" spans="1:86" ht="15" customHeight="1">
      <c r="A267" s="265"/>
      <c r="B267" s="265"/>
      <c r="C267" s="265"/>
      <c r="D267" s="265"/>
      <c r="E267" s="265"/>
      <c r="F267" s="565"/>
      <c r="G267" s="374" t="str">
        <f>+Idiomas!$D$277</f>
        <v>Cuartofinalista</v>
      </c>
      <c r="H267" s="320" t="str">
        <f>+League!P171</f>
        <v>WO3</v>
      </c>
      <c r="I267" s="219"/>
      <c r="J267" s="326"/>
      <c r="K267" s="322">
        <f t="shared" si="323"/>
        <v>0</v>
      </c>
      <c r="L267" s="251"/>
      <c r="M267" s="326"/>
      <c r="N267" s="322">
        <f t="shared" si="324"/>
        <v>0</v>
      </c>
      <c r="O267" s="251"/>
      <c r="P267" s="326"/>
      <c r="Q267" s="322">
        <f t="shared" si="324"/>
        <v>0</v>
      </c>
      <c r="R267" s="251"/>
      <c r="S267" s="326"/>
      <c r="T267" s="322">
        <f t="shared" si="324"/>
        <v>0</v>
      </c>
      <c r="U267" s="251"/>
      <c r="V267" s="326"/>
      <c r="W267" s="322">
        <f t="shared" si="324"/>
        <v>0</v>
      </c>
      <c r="X267" s="251"/>
      <c r="Y267" s="326"/>
      <c r="Z267" s="322">
        <f t="shared" si="324"/>
        <v>0</v>
      </c>
      <c r="AA267" s="251"/>
      <c r="AB267" s="326"/>
      <c r="AC267" s="322">
        <f t="shared" si="324"/>
        <v>0</v>
      </c>
      <c r="AD267" s="251"/>
      <c r="AE267" s="326"/>
      <c r="AF267" s="322">
        <f t="shared" si="324"/>
        <v>0</v>
      </c>
      <c r="AG267" s="251"/>
      <c r="AH267" s="326"/>
      <c r="AI267" s="322">
        <f t="shared" si="324"/>
        <v>0</v>
      </c>
      <c r="AJ267" s="251"/>
      <c r="AK267" s="326"/>
      <c r="AL267" s="322">
        <f t="shared" si="324"/>
        <v>0</v>
      </c>
      <c r="AM267" s="251"/>
      <c r="AN267" s="326"/>
      <c r="AO267" s="322">
        <f t="shared" si="324"/>
        <v>0</v>
      </c>
      <c r="AP267" s="251"/>
      <c r="AQ267" s="326"/>
      <c r="AR267" s="322">
        <f t="shared" si="324"/>
        <v>0</v>
      </c>
      <c r="AS267" s="251"/>
      <c r="AT267" s="326"/>
      <c r="AU267" s="322">
        <f t="shared" si="324"/>
        <v>0</v>
      </c>
      <c r="AV267" s="251"/>
      <c r="AW267" s="326"/>
      <c r="AX267" s="322">
        <f t="shared" si="324"/>
        <v>0</v>
      </c>
      <c r="AY267" s="251"/>
      <c r="AZ267" s="326"/>
      <c r="BA267" s="322">
        <f t="shared" si="324"/>
        <v>0</v>
      </c>
      <c r="BB267" s="251"/>
      <c r="BC267" s="326"/>
      <c r="BD267" s="322">
        <f t="shared" si="324"/>
        <v>0</v>
      </c>
      <c r="BE267" s="251"/>
      <c r="BF267" s="326"/>
      <c r="BG267" s="322">
        <f t="shared" si="324"/>
        <v>0</v>
      </c>
      <c r="BH267" s="251"/>
      <c r="BI267" s="326"/>
      <c r="BJ267" s="322">
        <f t="shared" si="324"/>
        <v>0</v>
      </c>
      <c r="BK267" s="251"/>
      <c r="BL267" s="326"/>
      <c r="BM267" s="322">
        <f t="shared" si="324"/>
        <v>0</v>
      </c>
      <c r="BN267" s="251"/>
      <c r="BO267" s="326"/>
      <c r="BP267" s="322">
        <f t="shared" si="324"/>
        <v>0</v>
      </c>
      <c r="BQ267" s="251"/>
      <c r="BR267" s="326"/>
      <c r="BS267" s="322">
        <f t="shared" si="324"/>
        <v>0</v>
      </c>
      <c r="BT267" s="251"/>
      <c r="BU267" s="326"/>
      <c r="BV267" s="322">
        <f t="shared" si="324"/>
        <v>0</v>
      </c>
      <c r="BW267" s="251"/>
      <c r="BX267" s="326"/>
      <c r="BY267" s="322">
        <f t="shared" si="324"/>
        <v>0</v>
      </c>
      <c r="BZ267" s="251"/>
      <c r="CA267" s="326"/>
      <c r="CB267" s="322">
        <f t="shared" si="325"/>
        <v>0</v>
      </c>
      <c r="CC267" s="251"/>
      <c r="CD267" s="326"/>
      <c r="CE267" s="322">
        <f t="shared" si="325"/>
        <v>0</v>
      </c>
      <c r="CF267" s="251"/>
      <c r="CG267" s="251"/>
      <c r="CH267" s="251"/>
    </row>
    <row r="268" spans="1:86" ht="15" customHeight="1">
      <c r="A268" s="265"/>
      <c r="B268" s="265"/>
      <c r="C268" s="265"/>
      <c r="D268" s="265"/>
      <c r="E268" s="265"/>
      <c r="F268" s="565"/>
      <c r="G268" s="374" t="str">
        <f>+Idiomas!$D$277</f>
        <v>Cuartofinalista</v>
      </c>
      <c r="H268" s="320" t="str">
        <f>+League!P173</f>
        <v>WO4</v>
      </c>
      <c r="I268" s="219"/>
      <c r="J268" s="326"/>
      <c r="K268" s="322">
        <f t="shared" si="323"/>
        <v>0</v>
      </c>
      <c r="L268" s="251"/>
      <c r="M268" s="326"/>
      <c r="N268" s="322">
        <f t="shared" si="324"/>
        <v>0</v>
      </c>
      <c r="O268" s="251"/>
      <c r="P268" s="326"/>
      <c r="Q268" s="322">
        <f t="shared" si="324"/>
        <v>0</v>
      </c>
      <c r="R268" s="251"/>
      <c r="S268" s="326"/>
      <c r="T268" s="322">
        <f t="shared" si="324"/>
        <v>0</v>
      </c>
      <c r="U268" s="251"/>
      <c r="V268" s="326"/>
      <c r="W268" s="322">
        <f t="shared" si="324"/>
        <v>0</v>
      </c>
      <c r="X268" s="251"/>
      <c r="Y268" s="326"/>
      <c r="Z268" s="322">
        <f t="shared" si="324"/>
        <v>0</v>
      </c>
      <c r="AA268" s="251"/>
      <c r="AB268" s="326"/>
      <c r="AC268" s="322">
        <f t="shared" si="324"/>
        <v>0</v>
      </c>
      <c r="AD268" s="251"/>
      <c r="AE268" s="326"/>
      <c r="AF268" s="322">
        <f t="shared" si="324"/>
        <v>0</v>
      </c>
      <c r="AG268" s="251"/>
      <c r="AH268" s="326"/>
      <c r="AI268" s="322">
        <f t="shared" si="324"/>
        <v>0</v>
      </c>
      <c r="AJ268" s="251"/>
      <c r="AK268" s="326"/>
      <c r="AL268" s="322">
        <f t="shared" si="324"/>
        <v>0</v>
      </c>
      <c r="AM268" s="251"/>
      <c r="AN268" s="326"/>
      <c r="AO268" s="322">
        <f t="shared" si="324"/>
        <v>0</v>
      </c>
      <c r="AP268" s="251"/>
      <c r="AQ268" s="326"/>
      <c r="AR268" s="322">
        <f t="shared" si="324"/>
        <v>0</v>
      </c>
      <c r="AS268" s="251"/>
      <c r="AT268" s="326"/>
      <c r="AU268" s="322">
        <f t="shared" si="324"/>
        <v>0</v>
      </c>
      <c r="AV268" s="251"/>
      <c r="AW268" s="326"/>
      <c r="AX268" s="322">
        <f t="shared" si="324"/>
        <v>0</v>
      </c>
      <c r="AY268" s="251"/>
      <c r="AZ268" s="326"/>
      <c r="BA268" s="322">
        <f t="shared" si="324"/>
        <v>0</v>
      </c>
      <c r="BB268" s="251"/>
      <c r="BC268" s="326"/>
      <c r="BD268" s="322">
        <f t="shared" si="324"/>
        <v>0</v>
      </c>
      <c r="BE268" s="251"/>
      <c r="BF268" s="326"/>
      <c r="BG268" s="322">
        <f t="shared" si="324"/>
        <v>0</v>
      </c>
      <c r="BH268" s="251"/>
      <c r="BI268" s="326"/>
      <c r="BJ268" s="322">
        <f t="shared" si="324"/>
        <v>0</v>
      </c>
      <c r="BK268" s="251"/>
      <c r="BL268" s="326"/>
      <c r="BM268" s="322">
        <f t="shared" si="324"/>
        <v>0</v>
      </c>
      <c r="BN268" s="251"/>
      <c r="BO268" s="326"/>
      <c r="BP268" s="322">
        <f t="shared" si="324"/>
        <v>0</v>
      </c>
      <c r="BQ268" s="251"/>
      <c r="BR268" s="326"/>
      <c r="BS268" s="322">
        <f t="shared" si="324"/>
        <v>0</v>
      </c>
      <c r="BT268" s="251"/>
      <c r="BU268" s="326"/>
      <c r="BV268" s="322">
        <f t="shared" si="324"/>
        <v>0</v>
      </c>
      <c r="BW268" s="251"/>
      <c r="BX268" s="326"/>
      <c r="BY268" s="322">
        <f t="shared" si="324"/>
        <v>0</v>
      </c>
      <c r="BZ268" s="251"/>
      <c r="CA268" s="326"/>
      <c r="CB268" s="322">
        <f t="shared" si="325"/>
        <v>0</v>
      </c>
      <c r="CC268" s="251"/>
      <c r="CD268" s="326"/>
      <c r="CE268" s="322">
        <f t="shared" si="325"/>
        <v>0</v>
      </c>
      <c r="CF268" s="251"/>
      <c r="CG268" s="251"/>
      <c r="CH268" s="251"/>
    </row>
    <row r="269" spans="1:86" ht="15" customHeight="1">
      <c r="A269" s="265"/>
      <c r="B269" s="265"/>
      <c r="C269" s="265"/>
      <c r="D269" s="265"/>
      <c r="E269" s="265"/>
      <c r="F269" s="565"/>
      <c r="G269" s="374" t="str">
        <f>+Idiomas!$D$277</f>
        <v>Cuartofinalista</v>
      </c>
      <c r="H269" s="320" t="str">
        <f>+League!P175</f>
        <v>WO5</v>
      </c>
      <c r="I269" s="219"/>
      <c r="J269" s="326"/>
      <c r="K269" s="322">
        <f t="shared" si="323"/>
        <v>0</v>
      </c>
      <c r="L269" s="251"/>
      <c r="M269" s="326"/>
      <c r="N269" s="322">
        <f t="shared" si="324"/>
        <v>0</v>
      </c>
      <c r="O269" s="251"/>
      <c r="P269" s="326"/>
      <c r="Q269" s="322">
        <f t="shared" si="324"/>
        <v>0</v>
      </c>
      <c r="R269" s="251"/>
      <c r="S269" s="326"/>
      <c r="T269" s="322">
        <f t="shared" si="324"/>
        <v>0</v>
      </c>
      <c r="U269" s="251"/>
      <c r="V269" s="326"/>
      <c r="W269" s="322">
        <f t="shared" si="324"/>
        <v>0</v>
      </c>
      <c r="X269" s="251"/>
      <c r="Y269" s="326"/>
      <c r="Z269" s="322">
        <f t="shared" si="324"/>
        <v>0</v>
      </c>
      <c r="AA269" s="251"/>
      <c r="AB269" s="326"/>
      <c r="AC269" s="322">
        <f t="shared" si="324"/>
        <v>0</v>
      </c>
      <c r="AD269" s="251"/>
      <c r="AE269" s="326"/>
      <c r="AF269" s="322">
        <f t="shared" si="324"/>
        <v>0</v>
      </c>
      <c r="AG269" s="251"/>
      <c r="AH269" s="326"/>
      <c r="AI269" s="322">
        <f t="shared" si="324"/>
        <v>0</v>
      </c>
      <c r="AJ269" s="251"/>
      <c r="AK269" s="326"/>
      <c r="AL269" s="322">
        <f t="shared" si="324"/>
        <v>0</v>
      </c>
      <c r="AM269" s="251"/>
      <c r="AN269" s="326"/>
      <c r="AO269" s="322">
        <f t="shared" si="324"/>
        <v>0</v>
      </c>
      <c r="AP269" s="251"/>
      <c r="AQ269" s="326"/>
      <c r="AR269" s="322">
        <f t="shared" si="324"/>
        <v>0</v>
      </c>
      <c r="AS269" s="251"/>
      <c r="AT269" s="326"/>
      <c r="AU269" s="322">
        <f t="shared" si="324"/>
        <v>0</v>
      </c>
      <c r="AV269" s="251"/>
      <c r="AW269" s="326"/>
      <c r="AX269" s="322">
        <f t="shared" si="324"/>
        <v>0</v>
      </c>
      <c r="AY269" s="251"/>
      <c r="AZ269" s="326"/>
      <c r="BA269" s="322">
        <f t="shared" si="324"/>
        <v>0</v>
      </c>
      <c r="BB269" s="251"/>
      <c r="BC269" s="326"/>
      <c r="BD269" s="322">
        <f t="shared" si="324"/>
        <v>0</v>
      </c>
      <c r="BE269" s="251"/>
      <c r="BF269" s="326"/>
      <c r="BG269" s="322">
        <f t="shared" si="324"/>
        <v>0</v>
      </c>
      <c r="BH269" s="251"/>
      <c r="BI269" s="326"/>
      <c r="BJ269" s="322">
        <f t="shared" si="324"/>
        <v>0</v>
      </c>
      <c r="BK269" s="251"/>
      <c r="BL269" s="326"/>
      <c r="BM269" s="322">
        <f t="shared" si="324"/>
        <v>0</v>
      </c>
      <c r="BN269" s="251"/>
      <c r="BO269" s="326"/>
      <c r="BP269" s="322">
        <f t="shared" si="324"/>
        <v>0</v>
      </c>
      <c r="BQ269" s="251"/>
      <c r="BR269" s="326"/>
      <c r="BS269" s="322">
        <f t="shared" si="324"/>
        <v>0</v>
      </c>
      <c r="BT269" s="251"/>
      <c r="BU269" s="326"/>
      <c r="BV269" s="322">
        <f t="shared" si="324"/>
        <v>0</v>
      </c>
      <c r="BW269" s="251"/>
      <c r="BX269" s="326"/>
      <c r="BY269" s="322">
        <f t="shared" si="324"/>
        <v>0</v>
      </c>
      <c r="BZ269" s="251"/>
      <c r="CA269" s="326"/>
      <c r="CB269" s="322">
        <f t="shared" si="325"/>
        <v>0</v>
      </c>
      <c r="CC269" s="251"/>
      <c r="CD269" s="326"/>
      <c r="CE269" s="322">
        <f t="shared" si="325"/>
        <v>0</v>
      </c>
      <c r="CF269" s="251"/>
      <c r="CG269" s="251"/>
      <c r="CH269" s="251"/>
    </row>
    <row r="270" spans="1:86" ht="15" customHeight="1">
      <c r="A270" s="265"/>
      <c r="B270" s="265"/>
      <c r="C270" s="265"/>
      <c r="D270" s="265"/>
      <c r="E270" s="265"/>
      <c r="F270" s="565"/>
      <c r="G270" s="374" t="str">
        <f>+Idiomas!$D$277</f>
        <v>Cuartofinalista</v>
      </c>
      <c r="H270" s="320" t="str">
        <f>+League!P177</f>
        <v>WO6</v>
      </c>
      <c r="I270" s="219"/>
      <c r="J270" s="326"/>
      <c r="K270" s="322">
        <f t="shared" si="323"/>
        <v>0</v>
      </c>
      <c r="L270" s="251"/>
      <c r="M270" s="326"/>
      <c r="N270" s="322">
        <f t="shared" si="324"/>
        <v>0</v>
      </c>
      <c r="O270" s="251"/>
      <c r="P270" s="326"/>
      <c r="Q270" s="322">
        <f t="shared" si="324"/>
        <v>0</v>
      </c>
      <c r="R270" s="251"/>
      <c r="S270" s="326"/>
      <c r="T270" s="322">
        <f t="shared" si="324"/>
        <v>0</v>
      </c>
      <c r="U270" s="251"/>
      <c r="V270" s="326"/>
      <c r="W270" s="322">
        <f t="shared" si="324"/>
        <v>0</v>
      </c>
      <c r="X270" s="251"/>
      <c r="Y270" s="326"/>
      <c r="Z270" s="322">
        <f t="shared" si="324"/>
        <v>0</v>
      </c>
      <c r="AA270" s="251"/>
      <c r="AB270" s="326"/>
      <c r="AC270" s="322">
        <f t="shared" si="324"/>
        <v>0</v>
      </c>
      <c r="AD270" s="251"/>
      <c r="AE270" s="326"/>
      <c r="AF270" s="322">
        <f t="shared" si="324"/>
        <v>0</v>
      </c>
      <c r="AG270" s="251"/>
      <c r="AH270" s="326"/>
      <c r="AI270" s="322">
        <f t="shared" si="324"/>
        <v>0</v>
      </c>
      <c r="AJ270" s="251"/>
      <c r="AK270" s="326"/>
      <c r="AL270" s="322">
        <f t="shared" si="324"/>
        <v>0</v>
      </c>
      <c r="AM270" s="251"/>
      <c r="AN270" s="326"/>
      <c r="AO270" s="322">
        <f t="shared" si="324"/>
        <v>0</v>
      </c>
      <c r="AP270" s="251"/>
      <c r="AQ270" s="326"/>
      <c r="AR270" s="322">
        <f t="shared" si="324"/>
        <v>0</v>
      </c>
      <c r="AS270" s="251"/>
      <c r="AT270" s="326"/>
      <c r="AU270" s="322">
        <f t="shared" si="324"/>
        <v>0</v>
      </c>
      <c r="AV270" s="251"/>
      <c r="AW270" s="326"/>
      <c r="AX270" s="322">
        <f t="shared" si="324"/>
        <v>0</v>
      </c>
      <c r="AY270" s="251"/>
      <c r="AZ270" s="326"/>
      <c r="BA270" s="322">
        <f t="shared" si="324"/>
        <v>0</v>
      </c>
      <c r="BB270" s="251"/>
      <c r="BC270" s="326"/>
      <c r="BD270" s="322">
        <f t="shared" si="324"/>
        <v>0</v>
      </c>
      <c r="BE270" s="251"/>
      <c r="BF270" s="326"/>
      <c r="BG270" s="322">
        <f t="shared" si="324"/>
        <v>0</v>
      </c>
      <c r="BH270" s="251"/>
      <c r="BI270" s="326"/>
      <c r="BJ270" s="322">
        <f t="shared" si="324"/>
        <v>0</v>
      </c>
      <c r="BK270" s="251"/>
      <c r="BL270" s="326"/>
      <c r="BM270" s="322">
        <f t="shared" si="324"/>
        <v>0</v>
      </c>
      <c r="BN270" s="251"/>
      <c r="BO270" s="326"/>
      <c r="BP270" s="322">
        <f t="shared" si="324"/>
        <v>0</v>
      </c>
      <c r="BQ270" s="251"/>
      <c r="BR270" s="326"/>
      <c r="BS270" s="322">
        <f t="shared" si="324"/>
        <v>0</v>
      </c>
      <c r="BT270" s="251"/>
      <c r="BU270" s="326"/>
      <c r="BV270" s="322">
        <f t="shared" si="324"/>
        <v>0</v>
      </c>
      <c r="BW270" s="251"/>
      <c r="BX270" s="326"/>
      <c r="BY270" s="322">
        <f t="shared" si="324"/>
        <v>0</v>
      </c>
      <c r="BZ270" s="251"/>
      <c r="CA270" s="326"/>
      <c r="CB270" s="322">
        <f t="shared" si="325"/>
        <v>0</v>
      </c>
      <c r="CC270" s="251"/>
      <c r="CD270" s="326"/>
      <c r="CE270" s="322">
        <f t="shared" si="325"/>
        <v>0</v>
      </c>
      <c r="CF270" s="251"/>
      <c r="CG270" s="251"/>
      <c r="CH270" s="251"/>
    </row>
    <row r="271" spans="1:86" ht="15" customHeight="1">
      <c r="A271" s="265"/>
      <c r="B271" s="265"/>
      <c r="C271" s="265"/>
      <c r="D271" s="265"/>
      <c r="E271" s="265"/>
      <c r="F271" s="565"/>
      <c r="G271" s="374" t="str">
        <f>+Idiomas!$D$277</f>
        <v>Cuartofinalista</v>
      </c>
      <c r="H271" s="320" t="str">
        <f>+League!P179</f>
        <v>WO7</v>
      </c>
      <c r="I271" s="219"/>
      <c r="J271" s="326"/>
      <c r="K271" s="322">
        <f t="shared" si="323"/>
        <v>0</v>
      </c>
      <c r="L271" s="251"/>
      <c r="M271" s="326"/>
      <c r="N271" s="322">
        <f t="shared" si="324"/>
        <v>0</v>
      </c>
      <c r="O271" s="251"/>
      <c r="P271" s="326"/>
      <c r="Q271" s="322">
        <f t="shared" si="324"/>
        <v>0</v>
      </c>
      <c r="R271" s="251"/>
      <c r="S271" s="326"/>
      <c r="T271" s="322">
        <f t="shared" si="324"/>
        <v>0</v>
      </c>
      <c r="U271" s="251"/>
      <c r="V271" s="326"/>
      <c r="W271" s="322">
        <f t="shared" si="324"/>
        <v>0</v>
      </c>
      <c r="X271" s="251"/>
      <c r="Y271" s="326"/>
      <c r="Z271" s="322">
        <f t="shared" si="324"/>
        <v>0</v>
      </c>
      <c r="AA271" s="251"/>
      <c r="AB271" s="326"/>
      <c r="AC271" s="322">
        <f t="shared" si="324"/>
        <v>0</v>
      </c>
      <c r="AD271" s="251"/>
      <c r="AE271" s="326"/>
      <c r="AF271" s="322">
        <f t="shared" si="324"/>
        <v>0</v>
      </c>
      <c r="AG271" s="251"/>
      <c r="AH271" s="326"/>
      <c r="AI271" s="322">
        <f t="shared" si="324"/>
        <v>0</v>
      </c>
      <c r="AJ271" s="251"/>
      <c r="AK271" s="326"/>
      <c r="AL271" s="322">
        <f t="shared" si="324"/>
        <v>0</v>
      </c>
      <c r="AM271" s="251"/>
      <c r="AN271" s="326"/>
      <c r="AO271" s="322">
        <f t="shared" si="324"/>
        <v>0</v>
      </c>
      <c r="AP271" s="251"/>
      <c r="AQ271" s="326"/>
      <c r="AR271" s="322">
        <f t="shared" si="324"/>
        <v>0</v>
      </c>
      <c r="AS271" s="251"/>
      <c r="AT271" s="326"/>
      <c r="AU271" s="322">
        <f t="shared" si="324"/>
        <v>0</v>
      </c>
      <c r="AV271" s="251"/>
      <c r="AW271" s="326"/>
      <c r="AX271" s="322">
        <f t="shared" si="324"/>
        <v>0</v>
      </c>
      <c r="AY271" s="251"/>
      <c r="AZ271" s="326"/>
      <c r="BA271" s="322">
        <f t="shared" si="324"/>
        <v>0</v>
      </c>
      <c r="BB271" s="251"/>
      <c r="BC271" s="326"/>
      <c r="BD271" s="322">
        <f t="shared" si="324"/>
        <v>0</v>
      </c>
      <c r="BE271" s="251"/>
      <c r="BF271" s="326"/>
      <c r="BG271" s="322">
        <f t="shared" si="324"/>
        <v>0</v>
      </c>
      <c r="BH271" s="251"/>
      <c r="BI271" s="326"/>
      <c r="BJ271" s="322">
        <f t="shared" si="324"/>
        <v>0</v>
      </c>
      <c r="BK271" s="251"/>
      <c r="BL271" s="326"/>
      <c r="BM271" s="322">
        <f t="shared" si="324"/>
        <v>0</v>
      </c>
      <c r="BN271" s="251"/>
      <c r="BO271" s="326"/>
      <c r="BP271" s="322">
        <f t="shared" si="324"/>
        <v>0</v>
      </c>
      <c r="BQ271" s="251"/>
      <c r="BR271" s="326"/>
      <c r="BS271" s="322">
        <f t="shared" si="324"/>
        <v>0</v>
      </c>
      <c r="BT271" s="251"/>
      <c r="BU271" s="326"/>
      <c r="BV271" s="322">
        <f t="shared" si="324"/>
        <v>0</v>
      </c>
      <c r="BW271" s="251"/>
      <c r="BX271" s="326"/>
      <c r="BY271" s="322">
        <f t="shared" si="324"/>
        <v>0</v>
      </c>
      <c r="BZ271" s="251"/>
      <c r="CA271" s="326"/>
      <c r="CB271" s="322">
        <f t="shared" si="325"/>
        <v>0</v>
      </c>
      <c r="CC271" s="251"/>
      <c r="CD271" s="326"/>
      <c r="CE271" s="322">
        <f t="shared" si="325"/>
        <v>0</v>
      </c>
      <c r="CF271" s="251"/>
      <c r="CG271" s="251"/>
      <c r="CH271" s="251"/>
    </row>
    <row r="272" spans="1:86" ht="15" customHeight="1">
      <c r="A272" s="265"/>
      <c r="B272" s="265"/>
      <c r="C272" s="265"/>
      <c r="D272" s="265"/>
      <c r="E272" s="265"/>
      <c r="F272" s="565"/>
      <c r="G272" s="374" t="str">
        <f>+Idiomas!$D$277</f>
        <v>Cuartofinalista</v>
      </c>
      <c r="H272" s="320" t="str">
        <f>+League!P181</f>
        <v>WO8</v>
      </c>
      <c r="I272" s="219"/>
      <c r="J272" s="375"/>
      <c r="K272" s="322">
        <f t="shared" si="323"/>
        <v>0</v>
      </c>
      <c r="L272" s="251"/>
      <c r="M272" s="375"/>
      <c r="N272" s="322">
        <f t="shared" si="324"/>
        <v>0</v>
      </c>
      <c r="O272" s="251"/>
      <c r="P272" s="375"/>
      <c r="Q272" s="322">
        <f t="shared" si="324"/>
        <v>0</v>
      </c>
      <c r="R272" s="251"/>
      <c r="S272" s="375"/>
      <c r="T272" s="322">
        <f t="shared" si="324"/>
        <v>0</v>
      </c>
      <c r="U272" s="251"/>
      <c r="V272" s="375"/>
      <c r="W272" s="322">
        <f t="shared" si="324"/>
        <v>0</v>
      </c>
      <c r="X272" s="251"/>
      <c r="Y272" s="375"/>
      <c r="Z272" s="322">
        <f t="shared" si="324"/>
        <v>0</v>
      </c>
      <c r="AA272" s="251"/>
      <c r="AB272" s="375"/>
      <c r="AC272" s="322">
        <f t="shared" si="324"/>
        <v>0</v>
      </c>
      <c r="AD272" s="251"/>
      <c r="AE272" s="375"/>
      <c r="AF272" s="322">
        <f t="shared" si="324"/>
        <v>0</v>
      </c>
      <c r="AG272" s="251"/>
      <c r="AH272" s="375"/>
      <c r="AI272" s="322">
        <f t="shared" si="324"/>
        <v>0</v>
      </c>
      <c r="AJ272" s="251"/>
      <c r="AK272" s="375"/>
      <c r="AL272" s="322">
        <f t="shared" si="324"/>
        <v>0</v>
      </c>
      <c r="AM272" s="251"/>
      <c r="AN272" s="375"/>
      <c r="AO272" s="322">
        <f t="shared" si="324"/>
        <v>0</v>
      </c>
      <c r="AP272" s="251"/>
      <c r="AQ272" s="375"/>
      <c r="AR272" s="322">
        <f t="shared" si="324"/>
        <v>0</v>
      </c>
      <c r="AS272" s="251"/>
      <c r="AT272" s="375"/>
      <c r="AU272" s="322">
        <f t="shared" si="324"/>
        <v>0</v>
      </c>
      <c r="AV272" s="251"/>
      <c r="AW272" s="375"/>
      <c r="AX272" s="322">
        <f t="shared" si="324"/>
        <v>0</v>
      </c>
      <c r="AY272" s="251"/>
      <c r="AZ272" s="375"/>
      <c r="BA272" s="322">
        <f t="shared" si="324"/>
        <v>0</v>
      </c>
      <c r="BB272" s="251"/>
      <c r="BC272" s="375"/>
      <c r="BD272" s="322">
        <f t="shared" si="324"/>
        <v>0</v>
      </c>
      <c r="BE272" s="251"/>
      <c r="BF272" s="375"/>
      <c r="BG272" s="322">
        <f t="shared" si="324"/>
        <v>0</v>
      </c>
      <c r="BH272" s="251"/>
      <c r="BI272" s="375"/>
      <c r="BJ272" s="322">
        <f t="shared" si="324"/>
        <v>0</v>
      </c>
      <c r="BK272" s="251"/>
      <c r="BL272" s="375"/>
      <c r="BM272" s="322">
        <f t="shared" si="324"/>
        <v>0</v>
      </c>
      <c r="BN272" s="251"/>
      <c r="BO272" s="375"/>
      <c r="BP272" s="322">
        <f t="shared" si="324"/>
        <v>0</v>
      </c>
      <c r="BQ272" s="251"/>
      <c r="BR272" s="375"/>
      <c r="BS272" s="322">
        <f t="shared" si="324"/>
        <v>0</v>
      </c>
      <c r="BT272" s="251"/>
      <c r="BU272" s="375"/>
      <c r="BV272" s="322">
        <f t="shared" si="324"/>
        <v>0</v>
      </c>
      <c r="BW272" s="251"/>
      <c r="BX272" s="375"/>
      <c r="BY272" s="322">
        <f t="shared" si="324"/>
        <v>0</v>
      </c>
      <c r="BZ272" s="251"/>
      <c r="CA272" s="375"/>
      <c r="CB272" s="322">
        <f t="shared" si="325"/>
        <v>0</v>
      </c>
      <c r="CC272" s="251"/>
      <c r="CD272" s="375"/>
      <c r="CE272" s="322">
        <f t="shared" si="325"/>
        <v>0</v>
      </c>
      <c r="CF272" s="251"/>
      <c r="CG272" s="251"/>
      <c r="CH272" s="251"/>
    </row>
    <row r="273" spans="1:86" ht="15" customHeight="1">
      <c r="A273" s="265"/>
      <c r="B273" s="265"/>
      <c r="C273" s="265"/>
      <c r="D273" s="265"/>
      <c r="E273" s="265"/>
      <c r="F273" s="265"/>
      <c r="G273" s="265"/>
      <c r="H273" s="265"/>
      <c r="I273" s="265"/>
      <c r="J273" s="368"/>
      <c r="K273" s="265" t="str">
        <f>CONCATENATE(SUM(K265:K272),"/",$D$21*8)</f>
        <v>0/0</v>
      </c>
      <c r="L273" s="265"/>
      <c r="M273" s="368"/>
      <c r="N273" s="265" t="str">
        <f t="shared" ref="N273" si="326">CONCATENATE(SUM(N265:N272),"/",$D$21*8)</f>
        <v>0/0</v>
      </c>
      <c r="O273" s="265"/>
      <c r="P273" s="368"/>
      <c r="Q273" s="265" t="str">
        <f t="shared" ref="Q273" si="327">CONCATENATE(SUM(Q265:Q272),"/",$D$21*8)</f>
        <v>0/0</v>
      </c>
      <c r="R273" s="265"/>
      <c r="S273" s="368"/>
      <c r="T273" s="265" t="str">
        <f t="shared" ref="T273" si="328">CONCATENATE(SUM(T265:T272),"/",$D$21*8)</f>
        <v>0/0</v>
      </c>
      <c r="U273" s="265"/>
      <c r="V273" s="368"/>
      <c r="W273" s="265" t="str">
        <f t="shared" ref="W273" si="329">CONCATENATE(SUM(W265:W272),"/",$D$21*8)</f>
        <v>0/0</v>
      </c>
      <c r="X273" s="265"/>
      <c r="Y273" s="368"/>
      <c r="Z273" s="265" t="str">
        <f t="shared" ref="Z273" si="330">CONCATENATE(SUM(Z265:Z272),"/",$D$21*8)</f>
        <v>0/0</v>
      </c>
      <c r="AA273" s="265"/>
      <c r="AB273" s="368"/>
      <c r="AC273" s="265" t="str">
        <f t="shared" ref="AC273" si="331">CONCATENATE(SUM(AC265:AC272),"/",$D$21*8)</f>
        <v>0/0</v>
      </c>
      <c r="AD273" s="265"/>
      <c r="AE273" s="368"/>
      <c r="AF273" s="265" t="str">
        <f t="shared" ref="AF273" si="332">CONCATENATE(SUM(AF265:AF272),"/",$D$21*8)</f>
        <v>0/0</v>
      </c>
      <c r="AG273" s="265"/>
      <c r="AH273" s="368"/>
      <c r="AI273" s="265" t="str">
        <f t="shared" ref="AI273" si="333">CONCATENATE(SUM(AI265:AI272),"/",$D$21*8)</f>
        <v>0/0</v>
      </c>
      <c r="AJ273" s="265"/>
      <c r="AK273" s="368"/>
      <c r="AL273" s="265" t="str">
        <f t="shared" ref="AL273" si="334">CONCATENATE(SUM(AL265:AL272),"/",$D$21*8)</f>
        <v>0/0</v>
      </c>
      <c r="AM273" s="265"/>
      <c r="AN273" s="368"/>
      <c r="AO273" s="265" t="str">
        <f t="shared" ref="AO273" si="335">CONCATENATE(SUM(AO265:AO272),"/",$D$21*8)</f>
        <v>0/0</v>
      </c>
      <c r="AP273" s="265"/>
      <c r="AQ273" s="368"/>
      <c r="AR273" s="265" t="str">
        <f t="shared" ref="AR273" si="336">CONCATENATE(SUM(AR265:AR272),"/",$D$21*8)</f>
        <v>0/0</v>
      </c>
      <c r="AS273" s="265"/>
      <c r="AT273" s="368"/>
      <c r="AU273" s="265" t="str">
        <f t="shared" ref="AU273" si="337">CONCATENATE(SUM(AU265:AU272),"/",$D$21*8)</f>
        <v>0/0</v>
      </c>
      <c r="AV273" s="265"/>
      <c r="AW273" s="368"/>
      <c r="AX273" s="265" t="str">
        <f t="shared" ref="AX273" si="338">CONCATENATE(SUM(AX265:AX272),"/",$D$21*8)</f>
        <v>0/0</v>
      </c>
      <c r="AY273" s="265"/>
      <c r="AZ273" s="368"/>
      <c r="BA273" s="265" t="str">
        <f t="shared" ref="BA273" si="339">CONCATENATE(SUM(BA265:BA272),"/",$D$21*8)</f>
        <v>0/0</v>
      </c>
      <c r="BB273" s="265"/>
      <c r="BC273" s="368"/>
      <c r="BD273" s="265" t="str">
        <f t="shared" ref="BD273" si="340">CONCATENATE(SUM(BD265:BD272),"/",$D$21*8)</f>
        <v>0/0</v>
      </c>
      <c r="BE273" s="265"/>
      <c r="BF273" s="368"/>
      <c r="BG273" s="265" t="str">
        <f t="shared" ref="BG273" si="341">CONCATENATE(SUM(BG265:BG272),"/",$D$21*8)</f>
        <v>0/0</v>
      </c>
      <c r="BH273" s="265"/>
      <c r="BI273" s="368"/>
      <c r="BJ273" s="265" t="str">
        <f t="shared" ref="BJ273" si="342">CONCATENATE(SUM(BJ265:BJ272),"/",$D$21*8)</f>
        <v>0/0</v>
      </c>
      <c r="BK273" s="265"/>
      <c r="BL273" s="368"/>
      <c r="BM273" s="265" t="str">
        <f t="shared" ref="BM273" si="343">CONCATENATE(SUM(BM265:BM272),"/",$D$21*8)</f>
        <v>0/0</v>
      </c>
      <c r="BN273" s="265"/>
      <c r="BO273" s="368"/>
      <c r="BP273" s="265" t="str">
        <f t="shared" ref="BP273" si="344">CONCATENATE(SUM(BP265:BP272),"/",$D$21*8)</f>
        <v>0/0</v>
      </c>
      <c r="BQ273" s="265"/>
      <c r="BR273" s="368"/>
      <c r="BS273" s="265" t="str">
        <f t="shared" ref="BS273" si="345">CONCATENATE(SUM(BS265:BS272),"/",$D$21*8)</f>
        <v>0/0</v>
      </c>
      <c r="BT273" s="265"/>
      <c r="BU273" s="368"/>
      <c r="BV273" s="265" t="str">
        <f t="shared" ref="BV273" si="346">CONCATENATE(SUM(BV265:BV272),"/",$D$21*8)</f>
        <v>0/0</v>
      </c>
      <c r="BW273" s="265"/>
      <c r="BX273" s="368"/>
      <c r="BY273" s="265" t="str">
        <f t="shared" ref="BY273" si="347">CONCATENATE(SUM(BY265:BY272),"/",$D$21*8)</f>
        <v>0/0</v>
      </c>
      <c r="BZ273" s="265"/>
      <c r="CA273" s="368"/>
      <c r="CB273" s="265" t="str">
        <f t="shared" ref="CB273" si="348">CONCATENATE(SUM(CB265:CB272),"/",$D$21*8)</f>
        <v>0/0</v>
      </c>
      <c r="CC273" s="265"/>
      <c r="CD273" s="368"/>
      <c r="CE273" s="265" t="str">
        <f t="shared" ref="CE273" si="349">CONCATENATE(SUM(CE265:CE272),"/",$D$21*8)</f>
        <v>0/0</v>
      </c>
      <c r="CF273" s="265"/>
      <c r="CG273" s="265"/>
      <c r="CH273" s="265"/>
    </row>
    <row r="274" spans="1:86" ht="15.95">
      <c r="A274" s="219"/>
      <c r="B274" s="219"/>
      <c r="C274" s="219"/>
      <c r="D274" s="219"/>
      <c r="E274" s="219"/>
      <c r="F274" s="265"/>
      <c r="G274" s="316" t="str">
        <f>+Idiomas!D112</f>
        <v>CUARTOS DE FINAL</v>
      </c>
      <c r="H274" s="370"/>
      <c r="I274" s="219"/>
      <c r="J274" s="371"/>
      <c r="K274" s="219"/>
      <c r="L274" s="251"/>
      <c r="M274" s="371"/>
      <c r="N274" s="219"/>
      <c r="O274" s="251"/>
      <c r="P274" s="371"/>
      <c r="Q274" s="219"/>
      <c r="R274" s="251"/>
      <c r="S274" s="371"/>
      <c r="T274" s="219"/>
      <c r="U274" s="251"/>
      <c r="V274" s="371"/>
      <c r="W274" s="219"/>
      <c r="X274" s="251"/>
      <c r="Y274" s="371"/>
      <c r="Z274" s="219"/>
      <c r="AA274" s="251"/>
      <c r="AB274" s="371"/>
      <c r="AC274" s="219"/>
      <c r="AD274" s="251"/>
      <c r="AE274" s="371"/>
      <c r="AF274" s="219"/>
      <c r="AG274" s="251"/>
      <c r="AH274" s="371"/>
      <c r="AI274" s="219"/>
      <c r="AJ274" s="251"/>
      <c r="AK274" s="371"/>
      <c r="AL274" s="219"/>
      <c r="AM274" s="251"/>
      <c r="AN274" s="371"/>
      <c r="AO274" s="219"/>
      <c r="AP274" s="251"/>
      <c r="AQ274" s="371"/>
      <c r="AR274" s="219"/>
      <c r="AS274" s="251"/>
      <c r="AT274" s="371"/>
      <c r="AU274" s="219"/>
      <c r="AV274" s="251"/>
      <c r="AW274" s="371"/>
      <c r="AX274" s="219"/>
      <c r="AY274" s="251"/>
      <c r="AZ274" s="371"/>
      <c r="BA274" s="219"/>
      <c r="BB274" s="251"/>
      <c r="BC274" s="371"/>
      <c r="BD274" s="219"/>
      <c r="BE274" s="251"/>
      <c r="BF274" s="371"/>
      <c r="BG274" s="219"/>
      <c r="BH274" s="251"/>
      <c r="BI274" s="371"/>
      <c r="BJ274" s="219"/>
      <c r="BK274" s="251"/>
      <c r="BL274" s="371"/>
      <c r="BM274" s="219"/>
      <c r="BN274" s="251"/>
      <c r="BO274" s="371"/>
      <c r="BP274" s="219"/>
      <c r="BQ274" s="251"/>
      <c r="BR274" s="371"/>
      <c r="BS274" s="219"/>
      <c r="BT274" s="251"/>
      <c r="BU274" s="371"/>
      <c r="BV274" s="219"/>
      <c r="BW274" s="251"/>
      <c r="BX274" s="371"/>
      <c r="BY274" s="219"/>
      <c r="BZ274" s="251"/>
      <c r="CA274" s="371"/>
      <c r="CB274" s="219"/>
      <c r="CC274" s="251"/>
      <c r="CD274" s="371"/>
      <c r="CE274" s="219"/>
      <c r="CF274" s="251"/>
      <c r="CG274" s="251"/>
      <c r="CH274" s="251"/>
    </row>
    <row r="275" spans="1:86" ht="15" customHeight="1">
      <c r="A275" s="219"/>
      <c r="B275" s="219"/>
      <c r="C275" s="219"/>
      <c r="D275" s="219"/>
      <c r="E275" s="219"/>
      <c r="F275" s="565" t="s">
        <v>201</v>
      </c>
      <c r="G275" s="381" t="str">
        <f>CONCATENATE(League!D184,"-",League!K184)</f>
        <v>WO1-WO2</v>
      </c>
      <c r="H275" s="320" t="str">
        <f>CONCATENATE(IF(League!G184&gt;League!H184,1,IF(League!G184&lt;League!H184,2,IF(AND(League!G184=League!H184,League!G184&lt;&gt;"",League!H184&lt;&gt;""),"X",0))),"|",League!G184,"-",League!H184)</f>
        <v>0|-</v>
      </c>
      <c r="I275" s="219"/>
      <c r="J275" s="326" t="str">
        <f>+Idiomas!$D$248</f>
        <v>Pegar valores Cuartos</v>
      </c>
      <c r="K275" s="322">
        <f t="shared" ref="K275:K282" si="350">IFERROR(SUM(IF($H275=J275,$D$24),IF(LEFT($H275,1)=LEFT(J275,1),$D$22),IF(MID($H275,FIND("|",$H275)+1,FIND("-",$H275)-FIND("|",$H275)-1)-MID($H275,FIND("-",$H275)+1,11)=MID(J275,FIND("|",J275)+1,FIND("-",J275)-FIND("|",J275)-1)-MID(J275,FIND("-",J275)+1,11),$D$23)),)</f>
        <v>0</v>
      </c>
      <c r="L275" s="251"/>
      <c r="M275" s="326" t="str">
        <f>+Idiomas!$D$248</f>
        <v>Pegar valores Cuartos</v>
      </c>
      <c r="N275" s="322">
        <f t="shared" ref="N275:BY282" si="351">IFERROR(SUM(IF($H275=M275,$D$24),IF(LEFT($H275,1)=LEFT(M275,1),$D$22),IF(MID($H275,FIND("|",$H275)+1,FIND("-",$H275)-FIND("|",$H275)-1)-MID($H275,FIND("-",$H275)+1,11)=MID(M275,FIND("|",M275)+1,FIND("-",M275)-FIND("|",M275)-1)-MID(M275,FIND("-",M275)+1,11),$D$23)),)</f>
        <v>0</v>
      </c>
      <c r="O275" s="251"/>
      <c r="P275" s="326" t="str">
        <f>+Idiomas!$D$248</f>
        <v>Pegar valores Cuartos</v>
      </c>
      <c r="Q275" s="322">
        <f t="shared" si="351"/>
        <v>0</v>
      </c>
      <c r="R275" s="251"/>
      <c r="S275" s="326" t="str">
        <f>+Idiomas!$D$248</f>
        <v>Pegar valores Cuartos</v>
      </c>
      <c r="T275" s="322">
        <f t="shared" si="351"/>
        <v>0</v>
      </c>
      <c r="U275" s="251"/>
      <c r="V275" s="326" t="str">
        <f>+Idiomas!$D$248</f>
        <v>Pegar valores Cuartos</v>
      </c>
      <c r="W275" s="322">
        <f t="shared" si="351"/>
        <v>0</v>
      </c>
      <c r="X275" s="251"/>
      <c r="Y275" s="326" t="str">
        <f>+Idiomas!$D$248</f>
        <v>Pegar valores Cuartos</v>
      </c>
      <c r="Z275" s="322">
        <f t="shared" si="351"/>
        <v>0</v>
      </c>
      <c r="AA275" s="251"/>
      <c r="AB275" s="326" t="str">
        <f>+Idiomas!$D$248</f>
        <v>Pegar valores Cuartos</v>
      </c>
      <c r="AC275" s="322">
        <f t="shared" si="351"/>
        <v>0</v>
      </c>
      <c r="AD275" s="251"/>
      <c r="AE275" s="326" t="str">
        <f>+Idiomas!$D$248</f>
        <v>Pegar valores Cuartos</v>
      </c>
      <c r="AF275" s="322">
        <f t="shared" si="351"/>
        <v>0</v>
      </c>
      <c r="AG275" s="251"/>
      <c r="AH275" s="326" t="str">
        <f>+Idiomas!$D$248</f>
        <v>Pegar valores Cuartos</v>
      </c>
      <c r="AI275" s="322">
        <f t="shared" si="351"/>
        <v>0</v>
      </c>
      <c r="AJ275" s="251"/>
      <c r="AK275" s="326" t="str">
        <f>+Idiomas!$D$248</f>
        <v>Pegar valores Cuartos</v>
      </c>
      <c r="AL275" s="322">
        <f t="shared" si="351"/>
        <v>0</v>
      </c>
      <c r="AM275" s="251"/>
      <c r="AN275" s="326" t="str">
        <f>+Idiomas!$D$248</f>
        <v>Pegar valores Cuartos</v>
      </c>
      <c r="AO275" s="322">
        <f t="shared" si="351"/>
        <v>0</v>
      </c>
      <c r="AP275" s="251"/>
      <c r="AQ275" s="326" t="str">
        <f>+Idiomas!$D$248</f>
        <v>Pegar valores Cuartos</v>
      </c>
      <c r="AR275" s="322">
        <f t="shared" si="351"/>
        <v>0</v>
      </c>
      <c r="AS275" s="251"/>
      <c r="AT275" s="326" t="str">
        <f>+Idiomas!$D$248</f>
        <v>Pegar valores Cuartos</v>
      </c>
      <c r="AU275" s="322">
        <f t="shared" si="351"/>
        <v>0</v>
      </c>
      <c r="AV275" s="251"/>
      <c r="AW275" s="326" t="str">
        <f>+Idiomas!$D$248</f>
        <v>Pegar valores Cuartos</v>
      </c>
      <c r="AX275" s="322">
        <f t="shared" si="351"/>
        <v>0</v>
      </c>
      <c r="AY275" s="251"/>
      <c r="AZ275" s="326" t="str">
        <f>+Idiomas!$D$248</f>
        <v>Pegar valores Cuartos</v>
      </c>
      <c r="BA275" s="322">
        <f t="shared" si="351"/>
        <v>0</v>
      </c>
      <c r="BB275" s="251"/>
      <c r="BC275" s="326" t="str">
        <f>+Idiomas!$D$248</f>
        <v>Pegar valores Cuartos</v>
      </c>
      <c r="BD275" s="322">
        <f t="shared" si="351"/>
        <v>0</v>
      </c>
      <c r="BE275" s="251"/>
      <c r="BF275" s="326" t="str">
        <f>+Idiomas!$D$248</f>
        <v>Pegar valores Cuartos</v>
      </c>
      <c r="BG275" s="322">
        <f t="shared" si="351"/>
        <v>0</v>
      </c>
      <c r="BH275" s="251"/>
      <c r="BI275" s="326" t="str">
        <f>+Idiomas!$D$248</f>
        <v>Pegar valores Cuartos</v>
      </c>
      <c r="BJ275" s="322">
        <f t="shared" si="351"/>
        <v>0</v>
      </c>
      <c r="BK275" s="251"/>
      <c r="BL275" s="326" t="str">
        <f>+Idiomas!$D$248</f>
        <v>Pegar valores Cuartos</v>
      </c>
      <c r="BM275" s="322">
        <f t="shared" si="351"/>
        <v>0</v>
      </c>
      <c r="BN275" s="251"/>
      <c r="BO275" s="326" t="str">
        <f>+Idiomas!$D$248</f>
        <v>Pegar valores Cuartos</v>
      </c>
      <c r="BP275" s="322">
        <f t="shared" si="351"/>
        <v>0</v>
      </c>
      <c r="BQ275" s="251"/>
      <c r="BR275" s="326" t="str">
        <f>+Idiomas!$D$248</f>
        <v>Pegar valores Cuartos</v>
      </c>
      <c r="BS275" s="322">
        <f t="shared" si="351"/>
        <v>0</v>
      </c>
      <c r="BT275" s="251"/>
      <c r="BU275" s="326" t="str">
        <f>+Idiomas!$D$248</f>
        <v>Pegar valores Cuartos</v>
      </c>
      <c r="BV275" s="322">
        <f t="shared" si="351"/>
        <v>0</v>
      </c>
      <c r="BW275" s="251"/>
      <c r="BX275" s="326" t="str">
        <f>+Idiomas!$D$248</f>
        <v>Pegar valores Cuartos</v>
      </c>
      <c r="BY275" s="322">
        <f t="shared" si="351"/>
        <v>0</v>
      </c>
      <c r="BZ275" s="251"/>
      <c r="CA275" s="326" t="str">
        <f>+Idiomas!$D$248</f>
        <v>Pegar valores Cuartos</v>
      </c>
      <c r="CB275" s="322">
        <f t="shared" ref="CB275:CE282" si="352">IFERROR(SUM(IF($H275=CA275,$D$24),IF(LEFT($H275,1)=LEFT(CA275,1),$D$22),IF(MID($H275,FIND("|",$H275)+1,FIND("-",$H275)-FIND("|",$H275)-1)-MID($H275,FIND("-",$H275)+1,11)=MID(CA275,FIND("|",CA275)+1,FIND("-",CA275)-FIND("|",CA275)-1)-MID(CA275,FIND("-",CA275)+1,11),$D$23)),)</f>
        <v>0</v>
      </c>
      <c r="CC275" s="251"/>
      <c r="CD275" s="326" t="str">
        <f>+Idiomas!$D$248</f>
        <v>Pegar valores Cuartos</v>
      </c>
      <c r="CE275" s="322">
        <f t="shared" si="352"/>
        <v>0</v>
      </c>
      <c r="CF275" s="251"/>
      <c r="CG275" s="251"/>
      <c r="CH275" s="251"/>
    </row>
    <row r="276" spans="1:86" ht="15" customHeight="1">
      <c r="A276" s="219"/>
      <c r="B276" s="219"/>
      <c r="C276" s="219"/>
      <c r="D276" s="219"/>
      <c r="E276" s="219"/>
      <c r="F276" s="565"/>
      <c r="G276" s="382" t="str">
        <f>CONCATENATE(League!D186,"-",League!K186)</f>
        <v>WO3-WO4</v>
      </c>
      <c r="H276" s="320" t="str">
        <f>CONCATENATE(IF(League!G186&gt;League!H186,1,IF(League!G186&lt;League!H186,2,IF(AND(League!G186=League!H186,League!G186&lt;&gt;"",League!H186&lt;&gt;""),"X",0))),"|",League!G186,"-",League!H186)</f>
        <v>0|-</v>
      </c>
      <c r="I276" s="219"/>
      <c r="J276" s="326"/>
      <c r="K276" s="322">
        <f t="shared" si="350"/>
        <v>0</v>
      </c>
      <c r="L276" s="251"/>
      <c r="M276" s="326"/>
      <c r="N276" s="322">
        <f t="shared" si="351"/>
        <v>0</v>
      </c>
      <c r="O276" s="251"/>
      <c r="P276" s="326"/>
      <c r="Q276" s="322">
        <f t="shared" si="351"/>
        <v>0</v>
      </c>
      <c r="R276" s="251"/>
      <c r="S276" s="326"/>
      <c r="T276" s="322">
        <f t="shared" si="351"/>
        <v>0</v>
      </c>
      <c r="U276" s="251"/>
      <c r="V276" s="326"/>
      <c r="W276" s="322">
        <f t="shared" si="351"/>
        <v>0</v>
      </c>
      <c r="X276" s="251"/>
      <c r="Y276" s="326"/>
      <c r="Z276" s="322">
        <f t="shared" si="351"/>
        <v>0</v>
      </c>
      <c r="AA276" s="251"/>
      <c r="AB276" s="326"/>
      <c r="AC276" s="322">
        <f t="shared" si="351"/>
        <v>0</v>
      </c>
      <c r="AD276" s="251"/>
      <c r="AE276" s="326"/>
      <c r="AF276" s="322">
        <f t="shared" si="351"/>
        <v>0</v>
      </c>
      <c r="AG276" s="251"/>
      <c r="AH276" s="326"/>
      <c r="AI276" s="322">
        <f t="shared" si="351"/>
        <v>0</v>
      </c>
      <c r="AJ276" s="251"/>
      <c r="AK276" s="326"/>
      <c r="AL276" s="322">
        <f t="shared" si="351"/>
        <v>0</v>
      </c>
      <c r="AM276" s="251"/>
      <c r="AN276" s="326"/>
      <c r="AO276" s="322">
        <f t="shared" si="351"/>
        <v>0</v>
      </c>
      <c r="AP276" s="251"/>
      <c r="AQ276" s="326"/>
      <c r="AR276" s="322">
        <f t="shared" si="351"/>
        <v>0</v>
      </c>
      <c r="AS276" s="251"/>
      <c r="AT276" s="326"/>
      <c r="AU276" s="322">
        <f t="shared" si="351"/>
        <v>0</v>
      </c>
      <c r="AV276" s="251"/>
      <c r="AW276" s="326"/>
      <c r="AX276" s="322">
        <f t="shared" si="351"/>
        <v>0</v>
      </c>
      <c r="AY276" s="251"/>
      <c r="AZ276" s="326"/>
      <c r="BA276" s="322">
        <f t="shared" si="351"/>
        <v>0</v>
      </c>
      <c r="BB276" s="251"/>
      <c r="BC276" s="326"/>
      <c r="BD276" s="322">
        <f t="shared" si="351"/>
        <v>0</v>
      </c>
      <c r="BE276" s="251"/>
      <c r="BF276" s="326"/>
      <c r="BG276" s="322">
        <f t="shared" si="351"/>
        <v>0</v>
      </c>
      <c r="BH276" s="251"/>
      <c r="BI276" s="326"/>
      <c r="BJ276" s="322">
        <f t="shared" si="351"/>
        <v>0</v>
      </c>
      <c r="BK276" s="251"/>
      <c r="BL276" s="326"/>
      <c r="BM276" s="322">
        <f t="shared" si="351"/>
        <v>0</v>
      </c>
      <c r="BN276" s="251"/>
      <c r="BO276" s="326"/>
      <c r="BP276" s="322">
        <f t="shared" si="351"/>
        <v>0</v>
      </c>
      <c r="BQ276" s="251"/>
      <c r="BR276" s="326"/>
      <c r="BS276" s="322">
        <f t="shared" si="351"/>
        <v>0</v>
      </c>
      <c r="BT276" s="251"/>
      <c r="BU276" s="326"/>
      <c r="BV276" s="322">
        <f t="shared" si="351"/>
        <v>0</v>
      </c>
      <c r="BW276" s="251"/>
      <c r="BX276" s="326"/>
      <c r="BY276" s="322">
        <f t="shared" si="351"/>
        <v>0</v>
      </c>
      <c r="BZ276" s="251"/>
      <c r="CA276" s="326"/>
      <c r="CB276" s="322">
        <f t="shared" si="352"/>
        <v>0</v>
      </c>
      <c r="CC276" s="251"/>
      <c r="CD276" s="326"/>
      <c r="CE276" s="322">
        <f t="shared" si="352"/>
        <v>0</v>
      </c>
      <c r="CF276" s="251"/>
      <c r="CG276" s="251"/>
      <c r="CH276" s="251"/>
    </row>
    <row r="277" spans="1:86" ht="15" customHeight="1">
      <c r="A277" s="219"/>
      <c r="B277" s="219"/>
      <c r="C277" s="219"/>
      <c r="D277" s="219"/>
      <c r="E277" s="219"/>
      <c r="F277" s="565"/>
      <c r="G277" s="383" t="str">
        <f>CONCATENATE(League!D188,"-",League!K188)</f>
        <v>WO5-WO6</v>
      </c>
      <c r="H277" s="320" t="str">
        <f>CONCATENATE(IF(League!G188&gt;League!H188,1,IF(League!G188&lt;League!H188,2,IF(AND(League!G188=League!H188,League!G188&lt;&gt;"",League!H188&lt;&gt;""),"X",0))),"|",League!G188,"-",League!H188)</f>
        <v>0|-</v>
      </c>
      <c r="I277" s="219"/>
      <c r="J277" s="326"/>
      <c r="K277" s="322">
        <f t="shared" si="350"/>
        <v>0</v>
      </c>
      <c r="L277" s="251"/>
      <c r="M277" s="326"/>
      <c r="N277" s="322">
        <f t="shared" si="351"/>
        <v>0</v>
      </c>
      <c r="O277" s="251"/>
      <c r="P277" s="326"/>
      <c r="Q277" s="322">
        <f t="shared" si="351"/>
        <v>0</v>
      </c>
      <c r="R277" s="251"/>
      <c r="S277" s="326"/>
      <c r="T277" s="322">
        <f t="shared" si="351"/>
        <v>0</v>
      </c>
      <c r="U277" s="251"/>
      <c r="V277" s="326"/>
      <c r="W277" s="322">
        <f t="shared" si="351"/>
        <v>0</v>
      </c>
      <c r="X277" s="251"/>
      <c r="Y277" s="326"/>
      <c r="Z277" s="322">
        <f t="shared" si="351"/>
        <v>0</v>
      </c>
      <c r="AA277" s="251"/>
      <c r="AB277" s="326"/>
      <c r="AC277" s="322">
        <f t="shared" si="351"/>
        <v>0</v>
      </c>
      <c r="AD277" s="251"/>
      <c r="AE277" s="326"/>
      <c r="AF277" s="322">
        <f t="shared" si="351"/>
        <v>0</v>
      </c>
      <c r="AG277" s="251"/>
      <c r="AH277" s="326"/>
      <c r="AI277" s="322">
        <f t="shared" si="351"/>
        <v>0</v>
      </c>
      <c r="AJ277" s="251"/>
      <c r="AK277" s="326"/>
      <c r="AL277" s="322">
        <f t="shared" si="351"/>
        <v>0</v>
      </c>
      <c r="AM277" s="251"/>
      <c r="AN277" s="326"/>
      <c r="AO277" s="322">
        <f t="shared" si="351"/>
        <v>0</v>
      </c>
      <c r="AP277" s="251"/>
      <c r="AQ277" s="326"/>
      <c r="AR277" s="322">
        <f t="shared" si="351"/>
        <v>0</v>
      </c>
      <c r="AS277" s="251"/>
      <c r="AT277" s="326"/>
      <c r="AU277" s="322">
        <f t="shared" si="351"/>
        <v>0</v>
      </c>
      <c r="AV277" s="251"/>
      <c r="AW277" s="326"/>
      <c r="AX277" s="322">
        <f t="shared" si="351"/>
        <v>0</v>
      </c>
      <c r="AY277" s="251"/>
      <c r="AZ277" s="326"/>
      <c r="BA277" s="322">
        <f t="shared" si="351"/>
        <v>0</v>
      </c>
      <c r="BB277" s="251"/>
      <c r="BC277" s="326"/>
      <c r="BD277" s="322">
        <f t="shared" si="351"/>
        <v>0</v>
      </c>
      <c r="BE277" s="251"/>
      <c r="BF277" s="326"/>
      <c r="BG277" s="322">
        <f t="shared" si="351"/>
        <v>0</v>
      </c>
      <c r="BH277" s="251"/>
      <c r="BI277" s="326"/>
      <c r="BJ277" s="322">
        <f t="shared" si="351"/>
        <v>0</v>
      </c>
      <c r="BK277" s="251"/>
      <c r="BL277" s="326"/>
      <c r="BM277" s="322">
        <f t="shared" si="351"/>
        <v>0</v>
      </c>
      <c r="BN277" s="251"/>
      <c r="BO277" s="326"/>
      <c r="BP277" s="322">
        <f t="shared" si="351"/>
        <v>0</v>
      </c>
      <c r="BQ277" s="251"/>
      <c r="BR277" s="326"/>
      <c r="BS277" s="322">
        <f t="shared" si="351"/>
        <v>0</v>
      </c>
      <c r="BT277" s="251"/>
      <c r="BU277" s="326"/>
      <c r="BV277" s="322">
        <f t="shared" si="351"/>
        <v>0</v>
      </c>
      <c r="BW277" s="251"/>
      <c r="BX277" s="326"/>
      <c r="BY277" s="322">
        <f t="shared" si="351"/>
        <v>0</v>
      </c>
      <c r="BZ277" s="251"/>
      <c r="CA277" s="326"/>
      <c r="CB277" s="322">
        <f t="shared" si="352"/>
        <v>0</v>
      </c>
      <c r="CC277" s="251"/>
      <c r="CD277" s="326"/>
      <c r="CE277" s="322">
        <f t="shared" si="352"/>
        <v>0</v>
      </c>
      <c r="CF277" s="251"/>
      <c r="CG277" s="251"/>
      <c r="CH277" s="251"/>
    </row>
    <row r="278" spans="1:86" ht="15" customHeight="1">
      <c r="A278" s="219"/>
      <c r="B278" s="219"/>
      <c r="C278" s="219"/>
      <c r="D278" s="219"/>
      <c r="E278" s="219"/>
      <c r="F278" s="565"/>
      <c r="G278" s="384" t="str">
        <f>CONCATENATE(League!D190,"-",League!K190)</f>
        <v>WO7-WO8</v>
      </c>
      <c r="H278" s="385" t="str">
        <f>CONCATENATE(IF(League!G190&gt;League!H190,1,IF(League!G190&lt;League!H190,2,IF(AND(League!G190=League!H190,League!G190&lt;&gt;"",League!H190&lt;&gt;""),"X",0))),"|",League!G190,"-",League!H190)</f>
        <v>0|-</v>
      </c>
      <c r="I278" s="219"/>
      <c r="J278" s="336"/>
      <c r="K278" s="337">
        <f t="shared" si="350"/>
        <v>0</v>
      </c>
      <c r="L278" s="251"/>
      <c r="M278" s="336"/>
      <c r="N278" s="337">
        <f t="shared" si="351"/>
        <v>0</v>
      </c>
      <c r="O278" s="251"/>
      <c r="P278" s="336"/>
      <c r="Q278" s="337">
        <f t="shared" si="351"/>
        <v>0</v>
      </c>
      <c r="R278" s="251"/>
      <c r="S278" s="336"/>
      <c r="T278" s="337">
        <f t="shared" si="351"/>
        <v>0</v>
      </c>
      <c r="U278" s="251"/>
      <c r="V278" s="336"/>
      <c r="W278" s="337">
        <f t="shared" si="351"/>
        <v>0</v>
      </c>
      <c r="X278" s="251"/>
      <c r="Y278" s="336"/>
      <c r="Z278" s="337">
        <f t="shared" si="351"/>
        <v>0</v>
      </c>
      <c r="AA278" s="251"/>
      <c r="AB278" s="336"/>
      <c r="AC278" s="337">
        <f t="shared" si="351"/>
        <v>0</v>
      </c>
      <c r="AD278" s="251"/>
      <c r="AE278" s="336"/>
      <c r="AF278" s="337">
        <f t="shared" si="351"/>
        <v>0</v>
      </c>
      <c r="AG278" s="251"/>
      <c r="AH278" s="336"/>
      <c r="AI278" s="337">
        <f t="shared" si="351"/>
        <v>0</v>
      </c>
      <c r="AJ278" s="251"/>
      <c r="AK278" s="336"/>
      <c r="AL278" s="337">
        <f t="shared" si="351"/>
        <v>0</v>
      </c>
      <c r="AM278" s="251"/>
      <c r="AN278" s="336"/>
      <c r="AO278" s="337">
        <f t="shared" si="351"/>
        <v>0</v>
      </c>
      <c r="AP278" s="251"/>
      <c r="AQ278" s="336"/>
      <c r="AR278" s="337">
        <f t="shared" si="351"/>
        <v>0</v>
      </c>
      <c r="AS278" s="251"/>
      <c r="AT278" s="336"/>
      <c r="AU278" s="337">
        <f t="shared" si="351"/>
        <v>0</v>
      </c>
      <c r="AV278" s="251"/>
      <c r="AW278" s="336"/>
      <c r="AX278" s="337">
        <f t="shared" si="351"/>
        <v>0</v>
      </c>
      <c r="AY278" s="251"/>
      <c r="AZ278" s="336"/>
      <c r="BA278" s="337">
        <f t="shared" si="351"/>
        <v>0</v>
      </c>
      <c r="BB278" s="251"/>
      <c r="BC278" s="336"/>
      <c r="BD278" s="337">
        <f t="shared" si="351"/>
        <v>0</v>
      </c>
      <c r="BE278" s="251"/>
      <c r="BF278" s="336"/>
      <c r="BG278" s="337">
        <f t="shared" si="351"/>
        <v>0</v>
      </c>
      <c r="BH278" s="251"/>
      <c r="BI278" s="336"/>
      <c r="BJ278" s="337">
        <f t="shared" si="351"/>
        <v>0</v>
      </c>
      <c r="BK278" s="251"/>
      <c r="BL278" s="336"/>
      <c r="BM278" s="337">
        <f t="shared" si="351"/>
        <v>0</v>
      </c>
      <c r="BN278" s="251"/>
      <c r="BO278" s="336"/>
      <c r="BP278" s="337">
        <f t="shared" si="351"/>
        <v>0</v>
      </c>
      <c r="BQ278" s="251"/>
      <c r="BR278" s="336"/>
      <c r="BS278" s="337">
        <f t="shared" si="351"/>
        <v>0</v>
      </c>
      <c r="BT278" s="251"/>
      <c r="BU278" s="336"/>
      <c r="BV278" s="337">
        <f t="shared" si="351"/>
        <v>0</v>
      </c>
      <c r="BW278" s="251"/>
      <c r="BX278" s="336"/>
      <c r="BY278" s="337">
        <f t="shared" si="351"/>
        <v>0</v>
      </c>
      <c r="BZ278" s="251"/>
      <c r="CA278" s="336"/>
      <c r="CB278" s="337">
        <f t="shared" si="352"/>
        <v>0</v>
      </c>
      <c r="CC278" s="251"/>
      <c r="CD278" s="336"/>
      <c r="CE278" s="337">
        <f t="shared" si="352"/>
        <v>0</v>
      </c>
      <c r="CF278" s="251"/>
      <c r="CG278" s="251"/>
      <c r="CH278" s="251"/>
    </row>
    <row r="279" spans="1:86" ht="15" customHeight="1">
      <c r="A279" s="219"/>
      <c r="B279" s="219"/>
      <c r="C279" s="219"/>
      <c r="D279" s="219"/>
      <c r="E279" s="219"/>
      <c r="F279" s="565"/>
      <c r="G279" s="374" t="str">
        <f>CONCATENATE(League!D185,"-",League!K185)</f>
        <v>WO2-WO1</v>
      </c>
      <c r="H279" s="320" t="str">
        <f>CONCATENATE(IF(League!G185&gt;League!H185,1,IF(League!G185&lt;League!H185,2,IF(AND(League!G185=League!H185,League!G185&lt;&gt;"",League!H185&lt;&gt;""),"X",0))),"|",League!G185,"-",League!H185)</f>
        <v>0|-</v>
      </c>
      <c r="I279" s="219"/>
      <c r="J279" s="340"/>
      <c r="K279" s="341">
        <f t="shared" si="350"/>
        <v>0</v>
      </c>
      <c r="L279" s="251"/>
      <c r="M279" s="340"/>
      <c r="N279" s="341">
        <f t="shared" si="351"/>
        <v>0</v>
      </c>
      <c r="O279" s="251"/>
      <c r="P279" s="340"/>
      <c r="Q279" s="341">
        <f t="shared" si="351"/>
        <v>0</v>
      </c>
      <c r="R279" s="251"/>
      <c r="S279" s="340"/>
      <c r="T279" s="341">
        <f t="shared" si="351"/>
        <v>0</v>
      </c>
      <c r="U279" s="251"/>
      <c r="V279" s="340"/>
      <c r="W279" s="341">
        <f t="shared" si="351"/>
        <v>0</v>
      </c>
      <c r="X279" s="251"/>
      <c r="Y279" s="340"/>
      <c r="Z279" s="341">
        <f t="shared" si="351"/>
        <v>0</v>
      </c>
      <c r="AA279" s="251"/>
      <c r="AB279" s="340"/>
      <c r="AC279" s="341">
        <f t="shared" si="351"/>
        <v>0</v>
      </c>
      <c r="AD279" s="251"/>
      <c r="AE279" s="340"/>
      <c r="AF279" s="341">
        <f t="shared" si="351"/>
        <v>0</v>
      </c>
      <c r="AG279" s="251"/>
      <c r="AH279" s="340"/>
      <c r="AI279" s="341">
        <f t="shared" si="351"/>
        <v>0</v>
      </c>
      <c r="AJ279" s="251"/>
      <c r="AK279" s="340"/>
      <c r="AL279" s="341">
        <f t="shared" si="351"/>
        <v>0</v>
      </c>
      <c r="AM279" s="251"/>
      <c r="AN279" s="340"/>
      <c r="AO279" s="341">
        <f t="shared" si="351"/>
        <v>0</v>
      </c>
      <c r="AP279" s="251"/>
      <c r="AQ279" s="340"/>
      <c r="AR279" s="341">
        <f t="shared" si="351"/>
        <v>0</v>
      </c>
      <c r="AS279" s="251"/>
      <c r="AT279" s="340"/>
      <c r="AU279" s="341">
        <f t="shared" si="351"/>
        <v>0</v>
      </c>
      <c r="AV279" s="251"/>
      <c r="AW279" s="340"/>
      <c r="AX279" s="341">
        <f t="shared" si="351"/>
        <v>0</v>
      </c>
      <c r="AY279" s="251"/>
      <c r="AZ279" s="340"/>
      <c r="BA279" s="341">
        <f t="shared" si="351"/>
        <v>0</v>
      </c>
      <c r="BB279" s="251"/>
      <c r="BC279" s="340"/>
      <c r="BD279" s="341">
        <f t="shared" si="351"/>
        <v>0</v>
      </c>
      <c r="BE279" s="251"/>
      <c r="BF279" s="340"/>
      <c r="BG279" s="341">
        <f t="shared" si="351"/>
        <v>0</v>
      </c>
      <c r="BH279" s="251"/>
      <c r="BI279" s="340"/>
      <c r="BJ279" s="341">
        <f t="shared" si="351"/>
        <v>0</v>
      </c>
      <c r="BK279" s="251"/>
      <c r="BL279" s="340"/>
      <c r="BM279" s="341">
        <f t="shared" si="351"/>
        <v>0</v>
      </c>
      <c r="BN279" s="251"/>
      <c r="BO279" s="340"/>
      <c r="BP279" s="341">
        <f t="shared" si="351"/>
        <v>0</v>
      </c>
      <c r="BQ279" s="251"/>
      <c r="BR279" s="340"/>
      <c r="BS279" s="341">
        <f t="shared" si="351"/>
        <v>0</v>
      </c>
      <c r="BT279" s="251"/>
      <c r="BU279" s="340"/>
      <c r="BV279" s="341">
        <f t="shared" si="351"/>
        <v>0</v>
      </c>
      <c r="BW279" s="251"/>
      <c r="BX279" s="340"/>
      <c r="BY279" s="341">
        <f t="shared" si="351"/>
        <v>0</v>
      </c>
      <c r="BZ279" s="251"/>
      <c r="CA279" s="340"/>
      <c r="CB279" s="341">
        <f t="shared" si="352"/>
        <v>0</v>
      </c>
      <c r="CC279" s="251"/>
      <c r="CD279" s="340"/>
      <c r="CE279" s="341">
        <f t="shared" si="352"/>
        <v>0</v>
      </c>
      <c r="CF279" s="251"/>
      <c r="CG279" s="251"/>
      <c r="CH279" s="251"/>
    </row>
    <row r="280" spans="1:86" ht="15" customHeight="1">
      <c r="A280" s="219"/>
      <c r="B280" s="219"/>
      <c r="C280" s="219"/>
      <c r="D280" s="219"/>
      <c r="E280" s="219"/>
      <c r="F280" s="565"/>
      <c r="G280" s="381" t="str">
        <f>CONCATENATE(League!D187,"-",League!K187)</f>
        <v>WO4-WO3</v>
      </c>
      <c r="H280" s="320" t="str">
        <f>CONCATENATE(IF(League!G187&gt;League!H187,1,IF(League!G187&lt;League!H187,2,IF(AND(League!G187=League!H187,League!G187&lt;&gt;"",League!H187&lt;&gt;""),"X",0))),"|",League!G187,"-",League!H187)</f>
        <v>0|-</v>
      </c>
      <c r="I280" s="219"/>
      <c r="J280" s="326"/>
      <c r="K280" s="322">
        <f t="shared" si="350"/>
        <v>0</v>
      </c>
      <c r="L280" s="251"/>
      <c r="M280" s="326"/>
      <c r="N280" s="322">
        <f t="shared" si="351"/>
        <v>0</v>
      </c>
      <c r="O280" s="251"/>
      <c r="P280" s="326"/>
      <c r="Q280" s="322">
        <f t="shared" si="351"/>
        <v>0</v>
      </c>
      <c r="R280" s="251"/>
      <c r="S280" s="326"/>
      <c r="T280" s="322">
        <f t="shared" si="351"/>
        <v>0</v>
      </c>
      <c r="U280" s="251"/>
      <c r="V280" s="326"/>
      <c r="W280" s="322">
        <f t="shared" si="351"/>
        <v>0</v>
      </c>
      <c r="X280" s="251"/>
      <c r="Y280" s="326"/>
      <c r="Z280" s="322">
        <f t="shared" si="351"/>
        <v>0</v>
      </c>
      <c r="AA280" s="251"/>
      <c r="AB280" s="326"/>
      <c r="AC280" s="322">
        <f t="shared" si="351"/>
        <v>0</v>
      </c>
      <c r="AD280" s="251"/>
      <c r="AE280" s="326"/>
      <c r="AF280" s="322">
        <f t="shared" si="351"/>
        <v>0</v>
      </c>
      <c r="AG280" s="251"/>
      <c r="AH280" s="326"/>
      <c r="AI280" s="322">
        <f t="shared" si="351"/>
        <v>0</v>
      </c>
      <c r="AJ280" s="251"/>
      <c r="AK280" s="326"/>
      <c r="AL280" s="322">
        <f t="shared" si="351"/>
        <v>0</v>
      </c>
      <c r="AM280" s="251"/>
      <c r="AN280" s="326"/>
      <c r="AO280" s="322">
        <f t="shared" si="351"/>
        <v>0</v>
      </c>
      <c r="AP280" s="251"/>
      <c r="AQ280" s="326"/>
      <c r="AR280" s="322">
        <f t="shared" si="351"/>
        <v>0</v>
      </c>
      <c r="AS280" s="251"/>
      <c r="AT280" s="326"/>
      <c r="AU280" s="322">
        <f t="shared" si="351"/>
        <v>0</v>
      </c>
      <c r="AV280" s="251"/>
      <c r="AW280" s="326"/>
      <c r="AX280" s="322">
        <f t="shared" si="351"/>
        <v>0</v>
      </c>
      <c r="AY280" s="251"/>
      <c r="AZ280" s="326"/>
      <c r="BA280" s="322">
        <f t="shared" si="351"/>
        <v>0</v>
      </c>
      <c r="BB280" s="251"/>
      <c r="BC280" s="326"/>
      <c r="BD280" s="322">
        <f t="shared" si="351"/>
        <v>0</v>
      </c>
      <c r="BE280" s="251"/>
      <c r="BF280" s="326"/>
      <c r="BG280" s="322">
        <f t="shared" si="351"/>
        <v>0</v>
      </c>
      <c r="BH280" s="251"/>
      <c r="BI280" s="326"/>
      <c r="BJ280" s="322">
        <f t="shared" si="351"/>
        <v>0</v>
      </c>
      <c r="BK280" s="251"/>
      <c r="BL280" s="326"/>
      <c r="BM280" s="322">
        <f t="shared" si="351"/>
        <v>0</v>
      </c>
      <c r="BN280" s="251"/>
      <c r="BO280" s="326"/>
      <c r="BP280" s="322">
        <f t="shared" si="351"/>
        <v>0</v>
      </c>
      <c r="BQ280" s="251"/>
      <c r="BR280" s="326"/>
      <c r="BS280" s="322">
        <f t="shared" si="351"/>
        <v>0</v>
      </c>
      <c r="BT280" s="251"/>
      <c r="BU280" s="326"/>
      <c r="BV280" s="322">
        <f t="shared" si="351"/>
        <v>0</v>
      </c>
      <c r="BW280" s="251"/>
      <c r="BX280" s="326"/>
      <c r="BY280" s="322">
        <f t="shared" si="351"/>
        <v>0</v>
      </c>
      <c r="BZ280" s="251"/>
      <c r="CA280" s="326"/>
      <c r="CB280" s="322">
        <f t="shared" si="352"/>
        <v>0</v>
      </c>
      <c r="CC280" s="251"/>
      <c r="CD280" s="326"/>
      <c r="CE280" s="322">
        <f t="shared" si="352"/>
        <v>0</v>
      </c>
      <c r="CF280" s="251"/>
      <c r="CG280" s="251"/>
      <c r="CH280" s="251"/>
    </row>
    <row r="281" spans="1:86" ht="15" customHeight="1">
      <c r="A281" s="219"/>
      <c r="B281" s="219"/>
      <c r="C281" s="219"/>
      <c r="D281" s="219"/>
      <c r="E281" s="219"/>
      <c r="F281" s="565"/>
      <c r="G281" s="381" t="str">
        <f>CONCATENATE(League!D189,"-",League!K189)</f>
        <v>WO6-WO5</v>
      </c>
      <c r="H281" s="320" t="str">
        <f>CONCATENATE(IF(League!G189&gt;League!H189,1,IF(League!G189&lt;League!H189,2,IF(AND(League!G189=League!H189,League!G189&lt;&gt;"",League!H189&lt;&gt;""),"X",0))),"|",League!G189,"-",League!H189)</f>
        <v>0|-</v>
      </c>
      <c r="I281" s="219"/>
      <c r="J281" s="326"/>
      <c r="K281" s="322">
        <f t="shared" si="350"/>
        <v>0</v>
      </c>
      <c r="L281" s="251"/>
      <c r="M281" s="326"/>
      <c r="N281" s="322">
        <f t="shared" si="351"/>
        <v>0</v>
      </c>
      <c r="O281" s="251"/>
      <c r="P281" s="326"/>
      <c r="Q281" s="322">
        <f t="shared" si="351"/>
        <v>0</v>
      </c>
      <c r="R281" s="251"/>
      <c r="S281" s="326"/>
      <c r="T281" s="322">
        <f t="shared" si="351"/>
        <v>0</v>
      </c>
      <c r="U281" s="251"/>
      <c r="V281" s="326"/>
      <c r="W281" s="322">
        <f t="shared" si="351"/>
        <v>0</v>
      </c>
      <c r="X281" s="251"/>
      <c r="Y281" s="326"/>
      <c r="Z281" s="322">
        <f t="shared" si="351"/>
        <v>0</v>
      </c>
      <c r="AA281" s="251"/>
      <c r="AB281" s="326"/>
      <c r="AC281" s="322">
        <f t="shared" si="351"/>
        <v>0</v>
      </c>
      <c r="AD281" s="251"/>
      <c r="AE281" s="326"/>
      <c r="AF281" s="322">
        <f t="shared" si="351"/>
        <v>0</v>
      </c>
      <c r="AG281" s="251"/>
      <c r="AH281" s="326"/>
      <c r="AI281" s="322">
        <f t="shared" si="351"/>
        <v>0</v>
      </c>
      <c r="AJ281" s="251"/>
      <c r="AK281" s="326"/>
      <c r="AL281" s="322">
        <f t="shared" si="351"/>
        <v>0</v>
      </c>
      <c r="AM281" s="251"/>
      <c r="AN281" s="326"/>
      <c r="AO281" s="322">
        <f t="shared" si="351"/>
        <v>0</v>
      </c>
      <c r="AP281" s="251"/>
      <c r="AQ281" s="326"/>
      <c r="AR281" s="322">
        <f t="shared" si="351"/>
        <v>0</v>
      </c>
      <c r="AS281" s="251"/>
      <c r="AT281" s="326"/>
      <c r="AU281" s="322">
        <f t="shared" si="351"/>
        <v>0</v>
      </c>
      <c r="AV281" s="251"/>
      <c r="AW281" s="326"/>
      <c r="AX281" s="322">
        <f t="shared" si="351"/>
        <v>0</v>
      </c>
      <c r="AY281" s="251"/>
      <c r="AZ281" s="326"/>
      <c r="BA281" s="322">
        <f t="shared" si="351"/>
        <v>0</v>
      </c>
      <c r="BB281" s="251"/>
      <c r="BC281" s="326"/>
      <c r="BD281" s="322">
        <f t="shared" si="351"/>
        <v>0</v>
      </c>
      <c r="BE281" s="251"/>
      <c r="BF281" s="326"/>
      <c r="BG281" s="322">
        <f t="shared" si="351"/>
        <v>0</v>
      </c>
      <c r="BH281" s="251"/>
      <c r="BI281" s="326"/>
      <c r="BJ281" s="322">
        <f t="shared" si="351"/>
        <v>0</v>
      </c>
      <c r="BK281" s="251"/>
      <c r="BL281" s="326"/>
      <c r="BM281" s="322">
        <f t="shared" si="351"/>
        <v>0</v>
      </c>
      <c r="BN281" s="251"/>
      <c r="BO281" s="326"/>
      <c r="BP281" s="322">
        <f t="shared" si="351"/>
        <v>0</v>
      </c>
      <c r="BQ281" s="251"/>
      <c r="BR281" s="326"/>
      <c r="BS281" s="322">
        <f t="shared" si="351"/>
        <v>0</v>
      </c>
      <c r="BT281" s="251"/>
      <c r="BU281" s="326"/>
      <c r="BV281" s="322">
        <f t="shared" si="351"/>
        <v>0</v>
      </c>
      <c r="BW281" s="251"/>
      <c r="BX281" s="326"/>
      <c r="BY281" s="322">
        <f t="shared" si="351"/>
        <v>0</v>
      </c>
      <c r="BZ281" s="251"/>
      <c r="CA281" s="326"/>
      <c r="CB281" s="322">
        <f t="shared" si="352"/>
        <v>0</v>
      </c>
      <c r="CC281" s="251"/>
      <c r="CD281" s="326"/>
      <c r="CE281" s="322">
        <f t="shared" si="352"/>
        <v>0</v>
      </c>
      <c r="CF281" s="251"/>
      <c r="CG281" s="251"/>
      <c r="CH281" s="251"/>
    </row>
    <row r="282" spans="1:86" ht="15" customHeight="1">
      <c r="A282" s="219"/>
      <c r="B282" s="219"/>
      <c r="C282" s="219"/>
      <c r="D282" s="219"/>
      <c r="E282" s="219"/>
      <c r="F282" s="565"/>
      <c r="G282" s="381" t="str">
        <f>CONCATENATE(League!D191,"-",League!K191)</f>
        <v>WO8-WO7</v>
      </c>
      <c r="H282" s="320" t="str">
        <f>CONCATENATE(IF(League!G191&gt;League!H191,1,IF(League!G191&lt;League!H191,2,IF(AND(League!G191=League!H191,League!G191&lt;&gt;"",League!H191&lt;&gt;""),"X",0))),"|",League!G191,"-",League!H191)</f>
        <v>0|-</v>
      </c>
      <c r="I282" s="219"/>
      <c r="J282" s="326"/>
      <c r="K282" s="322">
        <f t="shared" si="350"/>
        <v>0</v>
      </c>
      <c r="L282" s="251"/>
      <c r="M282" s="326"/>
      <c r="N282" s="322">
        <f t="shared" si="351"/>
        <v>0</v>
      </c>
      <c r="O282" s="251"/>
      <c r="P282" s="326"/>
      <c r="Q282" s="322">
        <f t="shared" si="351"/>
        <v>0</v>
      </c>
      <c r="R282" s="251"/>
      <c r="S282" s="326"/>
      <c r="T282" s="322">
        <f t="shared" si="351"/>
        <v>0</v>
      </c>
      <c r="U282" s="251"/>
      <c r="V282" s="326"/>
      <c r="W282" s="322">
        <f t="shared" si="351"/>
        <v>0</v>
      </c>
      <c r="X282" s="251"/>
      <c r="Y282" s="326"/>
      <c r="Z282" s="322">
        <f t="shared" si="351"/>
        <v>0</v>
      </c>
      <c r="AA282" s="251"/>
      <c r="AB282" s="326"/>
      <c r="AC282" s="322">
        <f t="shared" si="351"/>
        <v>0</v>
      </c>
      <c r="AD282" s="251"/>
      <c r="AE282" s="326"/>
      <c r="AF282" s="322">
        <f t="shared" si="351"/>
        <v>0</v>
      </c>
      <c r="AG282" s="251"/>
      <c r="AH282" s="326"/>
      <c r="AI282" s="322">
        <f t="shared" si="351"/>
        <v>0</v>
      </c>
      <c r="AJ282" s="251"/>
      <c r="AK282" s="326"/>
      <c r="AL282" s="322">
        <f t="shared" si="351"/>
        <v>0</v>
      </c>
      <c r="AM282" s="251"/>
      <c r="AN282" s="326"/>
      <c r="AO282" s="322">
        <f t="shared" si="351"/>
        <v>0</v>
      </c>
      <c r="AP282" s="251"/>
      <c r="AQ282" s="326"/>
      <c r="AR282" s="322">
        <f t="shared" si="351"/>
        <v>0</v>
      </c>
      <c r="AS282" s="251"/>
      <c r="AT282" s="326"/>
      <c r="AU282" s="322">
        <f t="shared" si="351"/>
        <v>0</v>
      </c>
      <c r="AV282" s="251"/>
      <c r="AW282" s="326"/>
      <c r="AX282" s="322">
        <f t="shared" si="351"/>
        <v>0</v>
      </c>
      <c r="AY282" s="251"/>
      <c r="AZ282" s="326"/>
      <c r="BA282" s="322">
        <f t="shared" si="351"/>
        <v>0</v>
      </c>
      <c r="BB282" s="251"/>
      <c r="BC282" s="326"/>
      <c r="BD282" s="322">
        <f t="shared" si="351"/>
        <v>0</v>
      </c>
      <c r="BE282" s="251"/>
      <c r="BF282" s="326"/>
      <c r="BG282" s="322">
        <f t="shared" si="351"/>
        <v>0</v>
      </c>
      <c r="BH282" s="251"/>
      <c r="BI282" s="326"/>
      <c r="BJ282" s="322">
        <f t="shared" si="351"/>
        <v>0</v>
      </c>
      <c r="BK282" s="251"/>
      <c r="BL282" s="326"/>
      <c r="BM282" s="322">
        <f t="shared" si="351"/>
        <v>0</v>
      </c>
      <c r="BN282" s="251"/>
      <c r="BO282" s="326"/>
      <c r="BP282" s="322">
        <f t="shared" si="351"/>
        <v>0</v>
      </c>
      <c r="BQ282" s="251"/>
      <c r="BR282" s="326"/>
      <c r="BS282" s="322">
        <f t="shared" si="351"/>
        <v>0</v>
      </c>
      <c r="BT282" s="251"/>
      <c r="BU282" s="326"/>
      <c r="BV282" s="322">
        <f t="shared" si="351"/>
        <v>0</v>
      </c>
      <c r="BW282" s="251"/>
      <c r="BX282" s="326"/>
      <c r="BY282" s="322">
        <f t="shared" si="351"/>
        <v>0</v>
      </c>
      <c r="BZ282" s="251"/>
      <c r="CA282" s="326"/>
      <c r="CB282" s="322">
        <f t="shared" si="352"/>
        <v>0</v>
      </c>
      <c r="CC282" s="251"/>
      <c r="CD282" s="326"/>
      <c r="CE282" s="322">
        <f t="shared" si="352"/>
        <v>0</v>
      </c>
      <c r="CF282" s="251"/>
      <c r="CG282" s="251"/>
      <c r="CH282" s="251"/>
    </row>
    <row r="283" spans="1:86" s="369" customFormat="1">
      <c r="A283" s="265"/>
      <c r="B283" s="265"/>
      <c r="C283" s="265"/>
      <c r="D283" s="265"/>
      <c r="E283" s="265"/>
      <c r="F283" s="265"/>
      <c r="G283" s="265"/>
      <c r="H283" s="265"/>
      <c r="I283" s="265"/>
      <c r="J283" s="368"/>
      <c r="K283" s="265" t="str">
        <f>CONCATENATE(SUM(K275:K282),"/",SUM($D$22:$D$24)*COUNT(K275:K282))</f>
        <v>0/0</v>
      </c>
      <c r="L283" s="265"/>
      <c r="M283" s="368"/>
      <c r="N283" s="265" t="str">
        <f t="shared" ref="N283" si="353">CONCATENATE(SUM(N275:N282),"/",SUM($D$22:$D$24)*COUNT(N275:N282))</f>
        <v>0/0</v>
      </c>
      <c r="O283" s="265"/>
      <c r="P283" s="368"/>
      <c r="Q283" s="265" t="str">
        <f t="shared" ref="Q283" si="354">CONCATENATE(SUM(Q275:Q282),"/",SUM($D$22:$D$24)*COUNT(Q275:Q282))</f>
        <v>0/0</v>
      </c>
      <c r="R283" s="265"/>
      <c r="S283" s="368"/>
      <c r="T283" s="265" t="str">
        <f t="shared" ref="T283" si="355">CONCATENATE(SUM(T275:T282),"/",SUM($D$22:$D$24)*COUNT(T275:T282))</f>
        <v>0/0</v>
      </c>
      <c r="U283" s="265"/>
      <c r="V283" s="368"/>
      <c r="W283" s="265" t="str">
        <f t="shared" ref="W283" si="356">CONCATENATE(SUM(W275:W282),"/",SUM($D$22:$D$24)*COUNT(W275:W282))</f>
        <v>0/0</v>
      </c>
      <c r="X283" s="265"/>
      <c r="Y283" s="368"/>
      <c r="Z283" s="265" t="str">
        <f t="shared" ref="Z283" si="357">CONCATENATE(SUM(Z275:Z282),"/",SUM($D$22:$D$24)*COUNT(Z275:Z282))</f>
        <v>0/0</v>
      </c>
      <c r="AA283" s="265"/>
      <c r="AB283" s="368"/>
      <c r="AC283" s="265" t="str">
        <f t="shared" ref="AC283" si="358">CONCATENATE(SUM(AC275:AC282),"/",SUM($D$22:$D$24)*COUNT(AC275:AC282))</f>
        <v>0/0</v>
      </c>
      <c r="AD283" s="265"/>
      <c r="AE283" s="368"/>
      <c r="AF283" s="265" t="str">
        <f t="shared" ref="AF283" si="359">CONCATENATE(SUM(AF275:AF282),"/",SUM($D$22:$D$24)*COUNT(AF275:AF282))</f>
        <v>0/0</v>
      </c>
      <c r="AG283" s="265"/>
      <c r="AH283" s="368"/>
      <c r="AI283" s="265" t="str">
        <f t="shared" ref="AI283" si="360">CONCATENATE(SUM(AI275:AI282),"/",SUM($D$22:$D$24)*COUNT(AI275:AI282))</f>
        <v>0/0</v>
      </c>
      <c r="AJ283" s="265"/>
      <c r="AK283" s="368"/>
      <c r="AL283" s="265" t="str">
        <f t="shared" ref="AL283" si="361">CONCATENATE(SUM(AL275:AL282),"/",SUM($D$22:$D$24)*COUNT(AL275:AL282))</f>
        <v>0/0</v>
      </c>
      <c r="AM283" s="265"/>
      <c r="AN283" s="368"/>
      <c r="AO283" s="265" t="str">
        <f t="shared" ref="AO283" si="362">CONCATENATE(SUM(AO275:AO282),"/",SUM($D$22:$D$24)*COUNT(AO275:AO282))</f>
        <v>0/0</v>
      </c>
      <c r="AP283" s="265"/>
      <c r="AQ283" s="368"/>
      <c r="AR283" s="265" t="str">
        <f t="shared" ref="AR283" si="363">CONCATENATE(SUM(AR275:AR282),"/",SUM($D$22:$D$24)*COUNT(AR275:AR282))</f>
        <v>0/0</v>
      </c>
      <c r="AS283" s="265"/>
      <c r="AT283" s="368"/>
      <c r="AU283" s="265" t="str">
        <f t="shared" ref="AU283" si="364">CONCATENATE(SUM(AU275:AU282),"/",SUM($D$22:$D$24)*COUNT(AU275:AU282))</f>
        <v>0/0</v>
      </c>
      <c r="AV283" s="265"/>
      <c r="AW283" s="368"/>
      <c r="AX283" s="265" t="str">
        <f t="shared" ref="AX283" si="365">CONCATENATE(SUM(AX275:AX282),"/",SUM($D$22:$D$24)*COUNT(AX275:AX282))</f>
        <v>0/0</v>
      </c>
      <c r="AY283" s="265"/>
      <c r="AZ283" s="368"/>
      <c r="BA283" s="265" t="str">
        <f t="shared" ref="BA283" si="366">CONCATENATE(SUM(BA275:BA282),"/",SUM($D$22:$D$24)*COUNT(BA275:BA282))</f>
        <v>0/0</v>
      </c>
      <c r="BB283" s="265"/>
      <c r="BC283" s="368"/>
      <c r="BD283" s="265" t="str">
        <f t="shared" ref="BD283" si="367">CONCATENATE(SUM(BD275:BD282),"/",SUM($D$22:$D$24)*COUNT(BD275:BD282))</f>
        <v>0/0</v>
      </c>
      <c r="BE283" s="265"/>
      <c r="BF283" s="368"/>
      <c r="BG283" s="265" t="str">
        <f t="shared" ref="BG283" si="368">CONCATENATE(SUM(BG275:BG282),"/",SUM($D$22:$D$24)*COUNT(BG275:BG282))</f>
        <v>0/0</v>
      </c>
      <c r="BH283" s="265"/>
      <c r="BI283" s="368"/>
      <c r="BJ283" s="265" t="str">
        <f t="shared" ref="BJ283" si="369">CONCATENATE(SUM(BJ275:BJ282),"/",SUM($D$22:$D$24)*COUNT(BJ275:BJ282))</f>
        <v>0/0</v>
      </c>
      <c r="BK283" s="265"/>
      <c r="BL283" s="368"/>
      <c r="BM283" s="265" t="str">
        <f t="shared" ref="BM283" si="370">CONCATENATE(SUM(BM275:BM282),"/",SUM($D$22:$D$24)*COUNT(BM275:BM282))</f>
        <v>0/0</v>
      </c>
      <c r="BN283" s="265"/>
      <c r="BO283" s="368"/>
      <c r="BP283" s="265" t="str">
        <f t="shared" ref="BP283" si="371">CONCATENATE(SUM(BP275:BP282),"/",SUM($D$22:$D$24)*COUNT(BP275:BP282))</f>
        <v>0/0</v>
      </c>
      <c r="BQ283" s="265"/>
      <c r="BR283" s="368"/>
      <c r="BS283" s="265" t="str">
        <f t="shared" ref="BS283" si="372">CONCATENATE(SUM(BS275:BS282),"/",SUM($D$22:$D$24)*COUNT(BS275:BS282))</f>
        <v>0/0</v>
      </c>
      <c r="BT283" s="265"/>
      <c r="BU283" s="368"/>
      <c r="BV283" s="265" t="str">
        <f t="shared" ref="BV283" si="373">CONCATENATE(SUM(BV275:BV282),"/",SUM($D$22:$D$24)*COUNT(BV275:BV282))</f>
        <v>0/0</v>
      </c>
      <c r="BW283" s="265"/>
      <c r="BX283" s="368"/>
      <c r="BY283" s="265" t="str">
        <f t="shared" ref="BY283" si="374">CONCATENATE(SUM(BY275:BY282),"/",SUM($D$22:$D$24)*COUNT(BY275:BY282))</f>
        <v>0/0</v>
      </c>
      <c r="BZ283" s="265"/>
      <c r="CA283" s="368"/>
      <c r="CB283" s="265" t="str">
        <f t="shared" ref="CB283" si="375">CONCATENATE(SUM(CB275:CB282),"/",SUM($D$22:$D$24)*COUNT(CB275:CB282))</f>
        <v>0/0</v>
      </c>
      <c r="CC283" s="265"/>
      <c r="CD283" s="368"/>
      <c r="CE283" s="265" t="str">
        <f t="shared" ref="CE283" si="376">CONCATENATE(SUM(CE275:CE282),"/",SUM($D$22:$D$24)*COUNT(CE275:CE282))</f>
        <v>0/0</v>
      </c>
      <c r="CF283" s="265"/>
      <c r="CG283" s="265"/>
      <c r="CH283" s="265"/>
    </row>
    <row r="284" spans="1:86" ht="15.95" customHeight="1">
      <c r="A284" s="265"/>
      <c r="B284" s="265"/>
      <c r="C284" s="265"/>
      <c r="D284" s="265"/>
      <c r="E284" s="265"/>
      <c r="F284" s="265"/>
      <c r="G284" s="316" t="str">
        <f>+UPPER(Idiomas!D228)</f>
        <v>CLASIFICADOS PARA SEMIFINALES</v>
      </c>
      <c r="H284" s="370"/>
      <c r="I284" s="219"/>
      <c r="J284" s="371"/>
      <c r="K284" s="219"/>
      <c r="L284" s="251"/>
      <c r="M284" s="371"/>
      <c r="N284" s="219"/>
      <c r="O284" s="251"/>
      <c r="P284" s="371"/>
      <c r="Q284" s="219"/>
      <c r="R284" s="251"/>
      <c r="S284" s="371"/>
      <c r="T284" s="219"/>
      <c r="U284" s="251"/>
      <c r="V284" s="371"/>
      <c r="W284" s="219"/>
      <c r="X284" s="251"/>
      <c r="Y284" s="371"/>
      <c r="Z284" s="219"/>
      <c r="AA284" s="251"/>
      <c r="AB284" s="371"/>
      <c r="AC284" s="219"/>
      <c r="AD284" s="251"/>
      <c r="AE284" s="371"/>
      <c r="AF284" s="219"/>
      <c r="AG284" s="251"/>
      <c r="AH284" s="371"/>
      <c r="AI284" s="219"/>
      <c r="AJ284" s="251"/>
      <c r="AK284" s="371"/>
      <c r="AL284" s="219"/>
      <c r="AM284" s="251"/>
      <c r="AN284" s="371"/>
      <c r="AO284" s="219"/>
      <c r="AP284" s="251"/>
      <c r="AQ284" s="371"/>
      <c r="AR284" s="219"/>
      <c r="AS284" s="251"/>
      <c r="AT284" s="371"/>
      <c r="AU284" s="219"/>
      <c r="AV284" s="251"/>
      <c r="AW284" s="371"/>
      <c r="AX284" s="219"/>
      <c r="AY284" s="251"/>
      <c r="AZ284" s="371"/>
      <c r="BA284" s="219"/>
      <c r="BB284" s="251"/>
      <c r="BC284" s="371"/>
      <c r="BD284" s="219"/>
      <c r="BE284" s="251"/>
      <c r="BF284" s="371"/>
      <c r="BG284" s="219"/>
      <c r="BH284" s="251"/>
      <c r="BI284" s="371"/>
      <c r="BJ284" s="219"/>
      <c r="BK284" s="251"/>
      <c r="BL284" s="371"/>
      <c r="BM284" s="219"/>
      <c r="BN284" s="251"/>
      <c r="BO284" s="371"/>
      <c r="BP284" s="219"/>
      <c r="BQ284" s="251"/>
      <c r="BR284" s="371"/>
      <c r="BS284" s="219"/>
      <c r="BT284" s="251"/>
      <c r="BU284" s="371"/>
      <c r="BV284" s="219"/>
      <c r="BW284" s="251"/>
      <c r="BX284" s="371"/>
      <c r="BY284" s="219"/>
      <c r="BZ284" s="251"/>
      <c r="CA284" s="371"/>
      <c r="CB284" s="219"/>
      <c r="CC284" s="251"/>
      <c r="CD284" s="371"/>
      <c r="CE284" s="219"/>
      <c r="CF284" s="251"/>
      <c r="CG284" s="251"/>
      <c r="CH284" s="251"/>
    </row>
    <row r="285" spans="1:86" ht="15" customHeight="1">
      <c r="A285" s="265"/>
      <c r="B285" s="265"/>
      <c r="C285" s="265"/>
      <c r="D285" s="265"/>
      <c r="E285" s="265"/>
      <c r="F285" s="565" t="s">
        <v>116</v>
      </c>
      <c r="G285" s="374" t="str">
        <f>+Idiomas!$D$278</f>
        <v>Semifinalista</v>
      </c>
      <c r="H285" s="320" t="str">
        <f>+League!P185</f>
        <v>WQ1</v>
      </c>
      <c r="I285" s="219"/>
      <c r="J285" s="326"/>
      <c r="K285" s="322">
        <f>COUNTIF($H$285:$H$288,J285)*$D$25</f>
        <v>0</v>
      </c>
      <c r="L285" s="251"/>
      <c r="M285" s="326"/>
      <c r="N285" s="322">
        <f t="shared" ref="N285" si="377">COUNTIF($H$285:$H$288,M285)*$D$25</f>
        <v>0</v>
      </c>
      <c r="O285" s="251"/>
      <c r="P285" s="326"/>
      <c r="Q285" s="322">
        <f t="shared" ref="Q285" si="378">COUNTIF($H$285:$H$288,P285)*$D$25</f>
        <v>0</v>
      </c>
      <c r="R285" s="251"/>
      <c r="S285" s="326"/>
      <c r="T285" s="322">
        <f t="shared" ref="T285" si="379">COUNTIF($H$285:$H$288,S285)*$D$25</f>
        <v>0</v>
      </c>
      <c r="U285" s="251"/>
      <c r="V285" s="326"/>
      <c r="W285" s="322">
        <f t="shared" ref="W285" si="380">COUNTIF($H$285:$H$288,V285)*$D$25</f>
        <v>0</v>
      </c>
      <c r="X285" s="251"/>
      <c r="Y285" s="326"/>
      <c r="Z285" s="322">
        <f t="shared" ref="Z285" si="381">COUNTIF($H$285:$H$288,Y285)*$D$25</f>
        <v>0</v>
      </c>
      <c r="AA285" s="251"/>
      <c r="AB285" s="326"/>
      <c r="AC285" s="322">
        <f t="shared" ref="AC285" si="382">COUNTIF($H$285:$H$288,AB285)*$D$25</f>
        <v>0</v>
      </c>
      <c r="AD285" s="251"/>
      <c r="AE285" s="326"/>
      <c r="AF285" s="322">
        <f t="shared" ref="AF285" si="383">COUNTIF($H$285:$H$288,AE285)*$D$25</f>
        <v>0</v>
      </c>
      <c r="AG285" s="251"/>
      <c r="AH285" s="326"/>
      <c r="AI285" s="322">
        <f t="shared" ref="AI285" si="384">COUNTIF($H$285:$H$288,AH285)*$D$25</f>
        <v>0</v>
      </c>
      <c r="AJ285" s="251"/>
      <c r="AK285" s="326"/>
      <c r="AL285" s="322">
        <f t="shared" ref="AL285" si="385">COUNTIF($H$285:$H$288,AK285)*$D$25</f>
        <v>0</v>
      </c>
      <c r="AM285" s="251"/>
      <c r="AN285" s="326"/>
      <c r="AO285" s="322">
        <f t="shared" ref="AO285" si="386">COUNTIF($H$285:$H$288,AN285)*$D$25</f>
        <v>0</v>
      </c>
      <c r="AP285" s="251"/>
      <c r="AQ285" s="326"/>
      <c r="AR285" s="322">
        <f t="shared" ref="AR285" si="387">COUNTIF($H$285:$H$288,AQ285)*$D$25</f>
        <v>0</v>
      </c>
      <c r="AS285" s="251"/>
      <c r="AT285" s="326"/>
      <c r="AU285" s="322">
        <f t="shared" ref="AU285" si="388">COUNTIF($H$285:$H$288,AT285)*$D$25</f>
        <v>0</v>
      </c>
      <c r="AV285" s="251"/>
      <c r="AW285" s="326"/>
      <c r="AX285" s="322">
        <f t="shared" ref="AX285" si="389">COUNTIF($H$285:$H$288,AW285)*$D$25</f>
        <v>0</v>
      </c>
      <c r="AY285" s="251"/>
      <c r="AZ285" s="326"/>
      <c r="BA285" s="322">
        <f t="shared" ref="BA285" si="390">COUNTIF($H$285:$H$288,AZ285)*$D$25</f>
        <v>0</v>
      </c>
      <c r="BB285" s="251"/>
      <c r="BC285" s="326"/>
      <c r="BD285" s="322">
        <f t="shared" ref="BD285" si="391">COUNTIF($H$285:$H$288,BC285)*$D$25</f>
        <v>0</v>
      </c>
      <c r="BE285" s="251"/>
      <c r="BF285" s="326"/>
      <c r="BG285" s="322">
        <f t="shared" ref="BG285" si="392">COUNTIF($H$285:$H$288,BF285)*$D$25</f>
        <v>0</v>
      </c>
      <c r="BH285" s="251"/>
      <c r="BI285" s="326"/>
      <c r="BJ285" s="322">
        <f t="shared" ref="BJ285" si="393">COUNTIF($H$285:$H$288,BI285)*$D$25</f>
        <v>0</v>
      </c>
      <c r="BK285" s="251"/>
      <c r="BL285" s="326"/>
      <c r="BM285" s="322">
        <f t="shared" ref="BM285" si="394">COUNTIF($H$285:$H$288,BL285)*$D$25</f>
        <v>0</v>
      </c>
      <c r="BN285" s="251"/>
      <c r="BO285" s="326"/>
      <c r="BP285" s="322">
        <f t="shared" ref="BP285" si="395">COUNTIF($H$285:$H$288,BO285)*$D$25</f>
        <v>0</v>
      </c>
      <c r="BQ285" s="251"/>
      <c r="BR285" s="326"/>
      <c r="BS285" s="322">
        <f t="shared" ref="BS285" si="396">COUNTIF($H$285:$H$288,BR285)*$D$25</f>
        <v>0</v>
      </c>
      <c r="BT285" s="251"/>
      <c r="BU285" s="326"/>
      <c r="BV285" s="322">
        <f t="shared" ref="BV285" si="397">COUNTIF($H$285:$H$288,BU285)*$D$25</f>
        <v>0</v>
      </c>
      <c r="BW285" s="251"/>
      <c r="BX285" s="326"/>
      <c r="BY285" s="322">
        <f t="shared" ref="BY285" si="398">COUNTIF($H$285:$H$288,BX285)*$D$25</f>
        <v>0</v>
      </c>
      <c r="BZ285" s="251"/>
      <c r="CA285" s="326"/>
      <c r="CB285" s="322">
        <f t="shared" ref="CB285" si="399">COUNTIF($H$285:$H$288,CA285)*$D$25</f>
        <v>0</v>
      </c>
      <c r="CC285" s="251"/>
      <c r="CD285" s="326"/>
      <c r="CE285" s="322">
        <f t="shared" ref="CE285" si="400">COUNTIF($H$285:$H$288,CD285)*$D$25</f>
        <v>0</v>
      </c>
      <c r="CF285" s="251"/>
      <c r="CG285" s="251"/>
      <c r="CH285" s="251"/>
    </row>
    <row r="286" spans="1:86" ht="15" customHeight="1">
      <c r="A286" s="265"/>
      <c r="B286" s="265"/>
      <c r="C286" s="265"/>
      <c r="D286" s="265"/>
      <c r="E286" s="265"/>
      <c r="F286" s="565"/>
      <c r="G286" s="374" t="str">
        <f>+Idiomas!$D$278</f>
        <v>Semifinalista</v>
      </c>
      <c r="H286" s="320" t="str">
        <f>+League!P187</f>
        <v>WQ2</v>
      </c>
      <c r="I286" s="219"/>
      <c r="J286" s="326"/>
      <c r="K286" s="322">
        <f>COUNTIF($H$285:$H$288,J286)*$D$25</f>
        <v>0</v>
      </c>
      <c r="L286" s="251"/>
      <c r="M286" s="326"/>
      <c r="N286" s="322">
        <f t="shared" ref="N286" si="401">COUNTIF($H$285:$H$288,M286)*$D$25</f>
        <v>0</v>
      </c>
      <c r="O286" s="251"/>
      <c r="P286" s="326"/>
      <c r="Q286" s="322">
        <f t="shared" ref="Q286" si="402">COUNTIF($H$285:$H$288,P286)*$D$25</f>
        <v>0</v>
      </c>
      <c r="R286" s="251"/>
      <c r="S286" s="326"/>
      <c r="T286" s="322">
        <f t="shared" ref="T286" si="403">COUNTIF($H$285:$H$288,S286)*$D$25</f>
        <v>0</v>
      </c>
      <c r="U286" s="251"/>
      <c r="V286" s="326"/>
      <c r="W286" s="322">
        <f t="shared" ref="W286" si="404">COUNTIF($H$285:$H$288,V286)*$D$25</f>
        <v>0</v>
      </c>
      <c r="X286" s="251"/>
      <c r="Y286" s="326"/>
      <c r="Z286" s="322">
        <f t="shared" ref="Z286" si="405">COUNTIF($H$285:$H$288,Y286)*$D$25</f>
        <v>0</v>
      </c>
      <c r="AA286" s="251"/>
      <c r="AB286" s="326"/>
      <c r="AC286" s="322">
        <f t="shared" ref="AC286" si="406">COUNTIF($H$285:$H$288,AB286)*$D$25</f>
        <v>0</v>
      </c>
      <c r="AD286" s="251"/>
      <c r="AE286" s="326"/>
      <c r="AF286" s="322">
        <f t="shared" ref="AF286" si="407">COUNTIF($H$285:$H$288,AE286)*$D$25</f>
        <v>0</v>
      </c>
      <c r="AG286" s="251"/>
      <c r="AH286" s="326"/>
      <c r="AI286" s="322">
        <f t="shared" ref="AI286" si="408">COUNTIF($H$285:$H$288,AH286)*$D$25</f>
        <v>0</v>
      </c>
      <c r="AJ286" s="251"/>
      <c r="AK286" s="326"/>
      <c r="AL286" s="322">
        <f t="shared" ref="AL286" si="409">COUNTIF($H$285:$H$288,AK286)*$D$25</f>
        <v>0</v>
      </c>
      <c r="AM286" s="251"/>
      <c r="AN286" s="326"/>
      <c r="AO286" s="322">
        <f t="shared" ref="AO286" si="410">COUNTIF($H$285:$H$288,AN286)*$D$25</f>
        <v>0</v>
      </c>
      <c r="AP286" s="251"/>
      <c r="AQ286" s="326"/>
      <c r="AR286" s="322">
        <f t="shared" ref="AR286" si="411">COUNTIF($H$285:$H$288,AQ286)*$D$25</f>
        <v>0</v>
      </c>
      <c r="AS286" s="251"/>
      <c r="AT286" s="326"/>
      <c r="AU286" s="322">
        <f t="shared" ref="AU286" si="412">COUNTIF($H$285:$H$288,AT286)*$D$25</f>
        <v>0</v>
      </c>
      <c r="AV286" s="251"/>
      <c r="AW286" s="326"/>
      <c r="AX286" s="322">
        <f t="shared" ref="AX286" si="413">COUNTIF($H$285:$H$288,AW286)*$D$25</f>
        <v>0</v>
      </c>
      <c r="AY286" s="251"/>
      <c r="AZ286" s="326"/>
      <c r="BA286" s="322">
        <f t="shared" ref="BA286" si="414">COUNTIF($H$285:$H$288,AZ286)*$D$25</f>
        <v>0</v>
      </c>
      <c r="BB286" s="251"/>
      <c r="BC286" s="326"/>
      <c r="BD286" s="322">
        <f t="shared" ref="BD286" si="415">COUNTIF($H$285:$H$288,BC286)*$D$25</f>
        <v>0</v>
      </c>
      <c r="BE286" s="251"/>
      <c r="BF286" s="326"/>
      <c r="BG286" s="322">
        <f t="shared" ref="BG286" si="416">COUNTIF($H$285:$H$288,BF286)*$D$25</f>
        <v>0</v>
      </c>
      <c r="BH286" s="251"/>
      <c r="BI286" s="326"/>
      <c r="BJ286" s="322">
        <f t="shared" ref="BJ286" si="417">COUNTIF($H$285:$H$288,BI286)*$D$25</f>
        <v>0</v>
      </c>
      <c r="BK286" s="251"/>
      <c r="BL286" s="326"/>
      <c r="BM286" s="322">
        <f t="shared" ref="BM286" si="418">COUNTIF($H$285:$H$288,BL286)*$D$25</f>
        <v>0</v>
      </c>
      <c r="BN286" s="251"/>
      <c r="BO286" s="326"/>
      <c r="BP286" s="322">
        <f t="shared" ref="BP286" si="419">COUNTIF($H$285:$H$288,BO286)*$D$25</f>
        <v>0</v>
      </c>
      <c r="BQ286" s="251"/>
      <c r="BR286" s="326"/>
      <c r="BS286" s="322">
        <f t="shared" ref="BS286" si="420">COUNTIF($H$285:$H$288,BR286)*$D$25</f>
        <v>0</v>
      </c>
      <c r="BT286" s="251"/>
      <c r="BU286" s="326"/>
      <c r="BV286" s="322">
        <f t="shared" ref="BV286" si="421">COUNTIF($H$285:$H$288,BU286)*$D$25</f>
        <v>0</v>
      </c>
      <c r="BW286" s="251"/>
      <c r="BX286" s="326"/>
      <c r="BY286" s="322">
        <f t="shared" ref="BY286" si="422">COUNTIF($H$285:$H$288,BX286)*$D$25</f>
        <v>0</v>
      </c>
      <c r="BZ286" s="251"/>
      <c r="CA286" s="326"/>
      <c r="CB286" s="322">
        <f t="shared" ref="CB286" si="423">COUNTIF($H$285:$H$288,CA286)*$D$25</f>
        <v>0</v>
      </c>
      <c r="CC286" s="251"/>
      <c r="CD286" s="326"/>
      <c r="CE286" s="322">
        <f t="shared" ref="CE286" si="424">COUNTIF($H$285:$H$288,CD286)*$D$25</f>
        <v>0</v>
      </c>
      <c r="CF286" s="251"/>
      <c r="CG286" s="251"/>
      <c r="CH286" s="251"/>
    </row>
    <row r="287" spans="1:86" ht="15" customHeight="1">
      <c r="A287" s="265"/>
      <c r="B287" s="265"/>
      <c r="C287" s="265"/>
      <c r="D287" s="265"/>
      <c r="E287" s="265"/>
      <c r="F287" s="565"/>
      <c r="G287" s="374" t="str">
        <f>+Idiomas!$D$278</f>
        <v>Semifinalista</v>
      </c>
      <c r="H287" s="231" t="str">
        <f>+League!P189</f>
        <v>WQ3</v>
      </c>
      <c r="I287" s="219"/>
      <c r="J287" s="326"/>
      <c r="K287" s="322">
        <f>COUNTIF($H$285:$H$288,J287)*$D$25</f>
        <v>0</v>
      </c>
      <c r="L287" s="251"/>
      <c r="M287" s="326"/>
      <c r="N287" s="322">
        <f t="shared" ref="N287" si="425">COUNTIF($H$285:$H$288,M287)*$D$25</f>
        <v>0</v>
      </c>
      <c r="O287" s="251"/>
      <c r="P287" s="326"/>
      <c r="Q287" s="322">
        <f t="shared" ref="Q287" si="426">COUNTIF($H$285:$H$288,P287)*$D$25</f>
        <v>0</v>
      </c>
      <c r="R287" s="251"/>
      <c r="S287" s="326"/>
      <c r="T287" s="322">
        <f t="shared" ref="T287" si="427">COUNTIF($H$285:$H$288,S287)*$D$25</f>
        <v>0</v>
      </c>
      <c r="U287" s="251"/>
      <c r="V287" s="326"/>
      <c r="W287" s="322">
        <f t="shared" ref="W287" si="428">COUNTIF($H$285:$H$288,V287)*$D$25</f>
        <v>0</v>
      </c>
      <c r="X287" s="251"/>
      <c r="Y287" s="326"/>
      <c r="Z287" s="322">
        <f t="shared" ref="Z287" si="429">COUNTIF($H$285:$H$288,Y287)*$D$25</f>
        <v>0</v>
      </c>
      <c r="AA287" s="251"/>
      <c r="AB287" s="326"/>
      <c r="AC287" s="322">
        <f t="shared" ref="AC287" si="430">COUNTIF($H$285:$H$288,AB287)*$D$25</f>
        <v>0</v>
      </c>
      <c r="AD287" s="251"/>
      <c r="AE287" s="326"/>
      <c r="AF287" s="322">
        <f t="shared" ref="AF287" si="431">COUNTIF($H$285:$H$288,AE287)*$D$25</f>
        <v>0</v>
      </c>
      <c r="AG287" s="251"/>
      <c r="AH287" s="326"/>
      <c r="AI287" s="322">
        <f t="shared" ref="AI287" si="432">COUNTIF($H$285:$H$288,AH287)*$D$25</f>
        <v>0</v>
      </c>
      <c r="AJ287" s="251"/>
      <c r="AK287" s="326"/>
      <c r="AL287" s="322">
        <f t="shared" ref="AL287" si="433">COUNTIF($H$285:$H$288,AK287)*$D$25</f>
        <v>0</v>
      </c>
      <c r="AM287" s="251"/>
      <c r="AN287" s="326"/>
      <c r="AO287" s="322">
        <f t="shared" ref="AO287" si="434">COUNTIF($H$285:$H$288,AN287)*$D$25</f>
        <v>0</v>
      </c>
      <c r="AP287" s="251"/>
      <c r="AQ287" s="326"/>
      <c r="AR287" s="322">
        <f t="shared" ref="AR287" si="435">COUNTIF($H$285:$H$288,AQ287)*$D$25</f>
        <v>0</v>
      </c>
      <c r="AS287" s="251"/>
      <c r="AT287" s="326"/>
      <c r="AU287" s="322">
        <f t="shared" ref="AU287" si="436">COUNTIF($H$285:$H$288,AT287)*$D$25</f>
        <v>0</v>
      </c>
      <c r="AV287" s="251"/>
      <c r="AW287" s="326"/>
      <c r="AX287" s="322">
        <f t="shared" ref="AX287" si="437">COUNTIF($H$285:$H$288,AW287)*$D$25</f>
        <v>0</v>
      </c>
      <c r="AY287" s="251"/>
      <c r="AZ287" s="326"/>
      <c r="BA287" s="322">
        <f t="shared" ref="BA287" si="438">COUNTIF($H$285:$H$288,AZ287)*$D$25</f>
        <v>0</v>
      </c>
      <c r="BB287" s="251"/>
      <c r="BC287" s="326"/>
      <c r="BD287" s="322">
        <f t="shared" ref="BD287" si="439">COUNTIF($H$285:$H$288,BC287)*$D$25</f>
        <v>0</v>
      </c>
      <c r="BE287" s="251"/>
      <c r="BF287" s="326"/>
      <c r="BG287" s="322">
        <f t="shared" ref="BG287" si="440">COUNTIF($H$285:$H$288,BF287)*$D$25</f>
        <v>0</v>
      </c>
      <c r="BH287" s="251"/>
      <c r="BI287" s="326"/>
      <c r="BJ287" s="322">
        <f t="shared" ref="BJ287" si="441">COUNTIF($H$285:$H$288,BI287)*$D$25</f>
        <v>0</v>
      </c>
      <c r="BK287" s="251"/>
      <c r="BL287" s="326"/>
      <c r="BM287" s="322">
        <f t="shared" ref="BM287" si="442">COUNTIF($H$285:$H$288,BL287)*$D$25</f>
        <v>0</v>
      </c>
      <c r="BN287" s="251"/>
      <c r="BO287" s="326"/>
      <c r="BP287" s="322">
        <f t="shared" ref="BP287" si="443">COUNTIF($H$285:$H$288,BO287)*$D$25</f>
        <v>0</v>
      </c>
      <c r="BQ287" s="251"/>
      <c r="BR287" s="326"/>
      <c r="BS287" s="322">
        <f t="shared" ref="BS287" si="444">COUNTIF($H$285:$H$288,BR287)*$D$25</f>
        <v>0</v>
      </c>
      <c r="BT287" s="251"/>
      <c r="BU287" s="326"/>
      <c r="BV287" s="322">
        <f t="shared" ref="BV287" si="445">COUNTIF($H$285:$H$288,BU287)*$D$25</f>
        <v>0</v>
      </c>
      <c r="BW287" s="251"/>
      <c r="BX287" s="326"/>
      <c r="BY287" s="322">
        <f t="shared" ref="BY287" si="446">COUNTIF($H$285:$H$288,BX287)*$D$25</f>
        <v>0</v>
      </c>
      <c r="BZ287" s="251"/>
      <c r="CA287" s="326"/>
      <c r="CB287" s="322">
        <f t="shared" ref="CB287" si="447">COUNTIF($H$285:$H$288,CA287)*$D$25</f>
        <v>0</v>
      </c>
      <c r="CC287" s="251"/>
      <c r="CD287" s="326"/>
      <c r="CE287" s="322">
        <f t="shared" ref="CE287" si="448">COUNTIF($H$285:$H$288,CD287)*$D$25</f>
        <v>0</v>
      </c>
      <c r="CF287" s="251"/>
      <c r="CG287" s="251"/>
      <c r="CH287" s="251"/>
    </row>
    <row r="288" spans="1:86" ht="15" customHeight="1">
      <c r="A288" s="265"/>
      <c r="B288" s="265"/>
      <c r="C288" s="265"/>
      <c r="D288" s="265"/>
      <c r="E288" s="265"/>
      <c r="F288" s="565"/>
      <c r="G288" s="374" t="str">
        <f>+Idiomas!$D$278</f>
        <v>Semifinalista</v>
      </c>
      <c r="H288" s="320" t="str">
        <f>+League!P191</f>
        <v>WQ4</v>
      </c>
      <c r="I288" s="219"/>
      <c r="J288" s="326"/>
      <c r="K288" s="322">
        <f>COUNTIF($H$285:$H$288,J288)*$D$25</f>
        <v>0</v>
      </c>
      <c r="L288" s="251"/>
      <c r="M288" s="326"/>
      <c r="N288" s="322">
        <f t="shared" ref="N288" si="449">COUNTIF($H$285:$H$288,M288)*$D$25</f>
        <v>0</v>
      </c>
      <c r="O288" s="251"/>
      <c r="P288" s="326"/>
      <c r="Q288" s="322">
        <f t="shared" ref="Q288" si="450">COUNTIF($H$285:$H$288,P288)*$D$25</f>
        <v>0</v>
      </c>
      <c r="R288" s="251"/>
      <c r="S288" s="326"/>
      <c r="T288" s="322">
        <f t="shared" ref="T288" si="451">COUNTIF($H$285:$H$288,S288)*$D$25</f>
        <v>0</v>
      </c>
      <c r="U288" s="251"/>
      <c r="V288" s="326"/>
      <c r="W288" s="322">
        <f t="shared" ref="W288" si="452">COUNTIF($H$285:$H$288,V288)*$D$25</f>
        <v>0</v>
      </c>
      <c r="X288" s="251"/>
      <c r="Y288" s="326"/>
      <c r="Z288" s="322">
        <f t="shared" ref="Z288" si="453">COUNTIF($H$285:$H$288,Y288)*$D$25</f>
        <v>0</v>
      </c>
      <c r="AA288" s="251"/>
      <c r="AB288" s="326"/>
      <c r="AC288" s="322">
        <f t="shared" ref="AC288" si="454">COUNTIF($H$285:$H$288,AB288)*$D$25</f>
        <v>0</v>
      </c>
      <c r="AD288" s="251"/>
      <c r="AE288" s="326"/>
      <c r="AF288" s="322">
        <f t="shared" ref="AF288" si="455">COUNTIF($H$285:$H$288,AE288)*$D$25</f>
        <v>0</v>
      </c>
      <c r="AG288" s="251"/>
      <c r="AH288" s="326"/>
      <c r="AI288" s="322">
        <f t="shared" ref="AI288" si="456">COUNTIF($H$285:$H$288,AH288)*$D$25</f>
        <v>0</v>
      </c>
      <c r="AJ288" s="251"/>
      <c r="AK288" s="326"/>
      <c r="AL288" s="322">
        <f t="shared" ref="AL288" si="457">COUNTIF($H$285:$H$288,AK288)*$D$25</f>
        <v>0</v>
      </c>
      <c r="AM288" s="251"/>
      <c r="AN288" s="326"/>
      <c r="AO288" s="322">
        <f t="shared" ref="AO288" si="458">COUNTIF($H$285:$H$288,AN288)*$D$25</f>
        <v>0</v>
      </c>
      <c r="AP288" s="251"/>
      <c r="AQ288" s="326"/>
      <c r="AR288" s="322">
        <f t="shared" ref="AR288" si="459">COUNTIF($H$285:$H$288,AQ288)*$D$25</f>
        <v>0</v>
      </c>
      <c r="AS288" s="251"/>
      <c r="AT288" s="326"/>
      <c r="AU288" s="322">
        <f t="shared" ref="AU288" si="460">COUNTIF($H$285:$H$288,AT288)*$D$25</f>
        <v>0</v>
      </c>
      <c r="AV288" s="251"/>
      <c r="AW288" s="326"/>
      <c r="AX288" s="322">
        <f t="shared" ref="AX288" si="461">COUNTIF($H$285:$H$288,AW288)*$D$25</f>
        <v>0</v>
      </c>
      <c r="AY288" s="251"/>
      <c r="AZ288" s="326"/>
      <c r="BA288" s="322">
        <f t="shared" ref="BA288" si="462">COUNTIF($H$285:$H$288,AZ288)*$D$25</f>
        <v>0</v>
      </c>
      <c r="BB288" s="251"/>
      <c r="BC288" s="326"/>
      <c r="BD288" s="322">
        <f t="shared" ref="BD288" si="463">COUNTIF($H$285:$H$288,BC288)*$D$25</f>
        <v>0</v>
      </c>
      <c r="BE288" s="251"/>
      <c r="BF288" s="326"/>
      <c r="BG288" s="322">
        <f t="shared" ref="BG288" si="464">COUNTIF($H$285:$H$288,BF288)*$D$25</f>
        <v>0</v>
      </c>
      <c r="BH288" s="251"/>
      <c r="BI288" s="326"/>
      <c r="BJ288" s="322">
        <f t="shared" ref="BJ288" si="465">COUNTIF($H$285:$H$288,BI288)*$D$25</f>
        <v>0</v>
      </c>
      <c r="BK288" s="251"/>
      <c r="BL288" s="326"/>
      <c r="BM288" s="322">
        <f t="shared" ref="BM288" si="466">COUNTIF($H$285:$H$288,BL288)*$D$25</f>
        <v>0</v>
      </c>
      <c r="BN288" s="251"/>
      <c r="BO288" s="326"/>
      <c r="BP288" s="322">
        <f t="shared" ref="BP288" si="467">COUNTIF($H$285:$H$288,BO288)*$D$25</f>
        <v>0</v>
      </c>
      <c r="BQ288" s="251"/>
      <c r="BR288" s="326"/>
      <c r="BS288" s="322">
        <f t="shared" ref="BS288" si="468">COUNTIF($H$285:$H$288,BR288)*$D$25</f>
        <v>0</v>
      </c>
      <c r="BT288" s="251"/>
      <c r="BU288" s="326"/>
      <c r="BV288" s="322">
        <f t="shared" ref="BV288" si="469">COUNTIF($H$285:$H$288,BU288)*$D$25</f>
        <v>0</v>
      </c>
      <c r="BW288" s="251"/>
      <c r="BX288" s="326"/>
      <c r="BY288" s="322">
        <f t="shared" ref="BY288" si="470">COUNTIF($H$285:$H$288,BX288)*$D$25</f>
        <v>0</v>
      </c>
      <c r="BZ288" s="251"/>
      <c r="CA288" s="326"/>
      <c r="CB288" s="322">
        <f t="shared" ref="CB288" si="471">COUNTIF($H$285:$H$288,CA288)*$D$25</f>
        <v>0</v>
      </c>
      <c r="CC288" s="251"/>
      <c r="CD288" s="326"/>
      <c r="CE288" s="322">
        <f t="shared" ref="CE288" si="472">COUNTIF($H$285:$H$288,CD288)*$D$25</f>
        <v>0</v>
      </c>
      <c r="CF288" s="251"/>
      <c r="CG288" s="251"/>
      <c r="CH288" s="251"/>
    </row>
    <row r="289" spans="1:86" ht="15" customHeight="1">
      <c r="A289" s="265"/>
      <c r="B289" s="265"/>
      <c r="C289" s="265"/>
      <c r="D289" s="265"/>
      <c r="E289" s="265"/>
      <c r="F289" s="265"/>
      <c r="G289" s="265"/>
      <c r="H289" s="265"/>
      <c r="I289" s="265"/>
      <c r="J289" s="368"/>
      <c r="K289" s="265" t="str">
        <f>CONCATENATE(SUM(K285:K288),"/",$D$25*4)</f>
        <v>0/0</v>
      </c>
      <c r="L289" s="265"/>
      <c r="M289" s="368"/>
      <c r="N289" s="265" t="str">
        <f t="shared" ref="N289" si="473">CONCATENATE(SUM(N285:N288),"/",$D$25*4)</f>
        <v>0/0</v>
      </c>
      <c r="O289" s="265"/>
      <c r="P289" s="368"/>
      <c r="Q289" s="265" t="str">
        <f t="shared" ref="Q289" si="474">CONCATENATE(SUM(Q285:Q288),"/",$D$25*4)</f>
        <v>0/0</v>
      </c>
      <c r="R289" s="265"/>
      <c r="S289" s="368"/>
      <c r="T289" s="265" t="str">
        <f t="shared" ref="T289" si="475">CONCATENATE(SUM(T285:T288),"/",$D$25*4)</f>
        <v>0/0</v>
      </c>
      <c r="U289" s="265"/>
      <c r="V289" s="368"/>
      <c r="W289" s="265" t="str">
        <f t="shared" ref="W289" si="476">CONCATENATE(SUM(W285:W288),"/",$D$25*4)</f>
        <v>0/0</v>
      </c>
      <c r="X289" s="265"/>
      <c r="Y289" s="368"/>
      <c r="Z289" s="265" t="str">
        <f t="shared" ref="Z289" si="477">CONCATENATE(SUM(Z285:Z288),"/",$D$25*4)</f>
        <v>0/0</v>
      </c>
      <c r="AA289" s="265"/>
      <c r="AB289" s="368"/>
      <c r="AC289" s="265" t="str">
        <f t="shared" ref="AC289" si="478">CONCATENATE(SUM(AC285:AC288),"/",$D$25*4)</f>
        <v>0/0</v>
      </c>
      <c r="AD289" s="265"/>
      <c r="AE289" s="368"/>
      <c r="AF289" s="265" t="str">
        <f t="shared" ref="AF289" si="479">CONCATENATE(SUM(AF285:AF288),"/",$D$25*4)</f>
        <v>0/0</v>
      </c>
      <c r="AG289" s="265"/>
      <c r="AH289" s="368"/>
      <c r="AI289" s="265" t="str">
        <f t="shared" ref="AI289" si="480">CONCATENATE(SUM(AI285:AI288),"/",$D$25*4)</f>
        <v>0/0</v>
      </c>
      <c r="AJ289" s="265"/>
      <c r="AK289" s="368"/>
      <c r="AL289" s="265" t="str">
        <f t="shared" ref="AL289" si="481">CONCATENATE(SUM(AL285:AL288),"/",$D$25*4)</f>
        <v>0/0</v>
      </c>
      <c r="AM289" s="265"/>
      <c r="AN289" s="368"/>
      <c r="AO289" s="265" t="str">
        <f t="shared" ref="AO289" si="482">CONCATENATE(SUM(AO285:AO288),"/",$D$25*4)</f>
        <v>0/0</v>
      </c>
      <c r="AP289" s="265"/>
      <c r="AQ289" s="368"/>
      <c r="AR289" s="265" t="str">
        <f t="shared" ref="AR289" si="483">CONCATENATE(SUM(AR285:AR288),"/",$D$25*4)</f>
        <v>0/0</v>
      </c>
      <c r="AS289" s="265"/>
      <c r="AT289" s="368"/>
      <c r="AU289" s="265" t="str">
        <f t="shared" ref="AU289" si="484">CONCATENATE(SUM(AU285:AU288),"/",$D$25*4)</f>
        <v>0/0</v>
      </c>
      <c r="AV289" s="265"/>
      <c r="AW289" s="368"/>
      <c r="AX289" s="265" t="str">
        <f t="shared" ref="AX289" si="485">CONCATENATE(SUM(AX285:AX288),"/",$D$25*4)</f>
        <v>0/0</v>
      </c>
      <c r="AY289" s="265"/>
      <c r="AZ289" s="368"/>
      <c r="BA289" s="265" t="str">
        <f t="shared" ref="BA289" si="486">CONCATENATE(SUM(BA285:BA288),"/",$D$25*4)</f>
        <v>0/0</v>
      </c>
      <c r="BB289" s="265"/>
      <c r="BC289" s="368"/>
      <c r="BD289" s="265" t="str">
        <f t="shared" ref="BD289" si="487">CONCATENATE(SUM(BD285:BD288),"/",$D$25*4)</f>
        <v>0/0</v>
      </c>
      <c r="BE289" s="265"/>
      <c r="BF289" s="368"/>
      <c r="BG289" s="265" t="str">
        <f t="shared" ref="BG289" si="488">CONCATENATE(SUM(BG285:BG288),"/",$D$25*4)</f>
        <v>0/0</v>
      </c>
      <c r="BH289" s="265"/>
      <c r="BI289" s="368"/>
      <c r="BJ289" s="265" t="str">
        <f t="shared" ref="BJ289" si="489">CONCATENATE(SUM(BJ285:BJ288),"/",$D$25*4)</f>
        <v>0/0</v>
      </c>
      <c r="BK289" s="265"/>
      <c r="BL289" s="368"/>
      <c r="BM289" s="265" t="str">
        <f t="shared" ref="BM289" si="490">CONCATENATE(SUM(BM285:BM288),"/",$D$25*4)</f>
        <v>0/0</v>
      </c>
      <c r="BN289" s="265"/>
      <c r="BO289" s="368"/>
      <c r="BP289" s="265" t="str">
        <f t="shared" ref="BP289" si="491">CONCATENATE(SUM(BP285:BP288),"/",$D$25*4)</f>
        <v>0/0</v>
      </c>
      <c r="BQ289" s="265"/>
      <c r="BR289" s="368"/>
      <c r="BS289" s="265" t="str">
        <f t="shared" ref="BS289" si="492">CONCATENATE(SUM(BS285:BS288),"/",$D$25*4)</f>
        <v>0/0</v>
      </c>
      <c r="BT289" s="265"/>
      <c r="BU289" s="368"/>
      <c r="BV289" s="265" t="str">
        <f t="shared" ref="BV289" si="493">CONCATENATE(SUM(BV285:BV288),"/",$D$25*4)</f>
        <v>0/0</v>
      </c>
      <c r="BW289" s="265"/>
      <c r="BX289" s="368"/>
      <c r="BY289" s="265" t="str">
        <f t="shared" ref="BY289" si="494">CONCATENATE(SUM(BY285:BY288),"/",$D$25*4)</f>
        <v>0/0</v>
      </c>
      <c r="BZ289" s="265"/>
      <c r="CA289" s="368"/>
      <c r="CB289" s="265" t="str">
        <f t="shared" ref="CB289" si="495">CONCATENATE(SUM(CB285:CB288),"/",$D$25*4)</f>
        <v>0/0</v>
      </c>
      <c r="CC289" s="265"/>
      <c r="CD289" s="368"/>
      <c r="CE289" s="265" t="str">
        <f t="shared" ref="CE289" si="496">CONCATENATE(SUM(CE285:CE288),"/",$D$25*4)</f>
        <v>0/0</v>
      </c>
      <c r="CF289" s="265"/>
      <c r="CG289" s="265"/>
      <c r="CH289" s="265"/>
    </row>
    <row r="290" spans="1:86" ht="15.95">
      <c r="A290" s="219"/>
      <c r="B290" s="219"/>
      <c r="C290" s="219"/>
      <c r="D290" s="219"/>
      <c r="E290" s="219"/>
      <c r="F290" s="265"/>
      <c r="G290" s="316" t="str">
        <f>+Idiomas!D114</f>
        <v>SEMIFINALES</v>
      </c>
      <c r="H290" s="370"/>
      <c r="I290" s="219"/>
      <c r="J290" s="371"/>
      <c r="K290" s="219"/>
      <c r="L290" s="251"/>
      <c r="M290" s="371"/>
      <c r="N290" s="219"/>
      <c r="O290" s="251"/>
      <c r="P290" s="371"/>
      <c r="Q290" s="219"/>
      <c r="R290" s="251"/>
      <c r="S290" s="371"/>
      <c r="T290" s="219"/>
      <c r="U290" s="251"/>
      <c r="V290" s="371"/>
      <c r="W290" s="219"/>
      <c r="X290" s="251"/>
      <c r="Y290" s="371"/>
      <c r="Z290" s="219"/>
      <c r="AA290" s="251"/>
      <c r="AB290" s="371"/>
      <c r="AC290" s="219"/>
      <c r="AD290" s="251"/>
      <c r="AE290" s="371"/>
      <c r="AF290" s="219"/>
      <c r="AG290" s="251"/>
      <c r="AH290" s="371"/>
      <c r="AI290" s="219"/>
      <c r="AJ290" s="251"/>
      <c r="AK290" s="371"/>
      <c r="AL290" s="219"/>
      <c r="AM290" s="251"/>
      <c r="AN290" s="371"/>
      <c r="AO290" s="219"/>
      <c r="AP290" s="251"/>
      <c r="AQ290" s="371"/>
      <c r="AR290" s="219"/>
      <c r="AS290" s="251"/>
      <c r="AT290" s="371"/>
      <c r="AU290" s="219"/>
      <c r="AV290" s="251"/>
      <c r="AW290" s="371"/>
      <c r="AX290" s="219"/>
      <c r="AY290" s="251"/>
      <c r="AZ290" s="371"/>
      <c r="BA290" s="219"/>
      <c r="BB290" s="251"/>
      <c r="BC290" s="371"/>
      <c r="BD290" s="219"/>
      <c r="BE290" s="251"/>
      <c r="BF290" s="371"/>
      <c r="BG290" s="219"/>
      <c r="BH290" s="251"/>
      <c r="BI290" s="371"/>
      <c r="BJ290" s="219"/>
      <c r="BK290" s="251"/>
      <c r="BL290" s="371"/>
      <c r="BM290" s="219"/>
      <c r="BN290" s="251"/>
      <c r="BO290" s="371"/>
      <c r="BP290" s="219"/>
      <c r="BQ290" s="251"/>
      <c r="BR290" s="371"/>
      <c r="BS290" s="219"/>
      <c r="BT290" s="251"/>
      <c r="BU290" s="371"/>
      <c r="BV290" s="219"/>
      <c r="BW290" s="251"/>
      <c r="BX290" s="371"/>
      <c r="BY290" s="219"/>
      <c r="BZ290" s="251"/>
      <c r="CA290" s="371"/>
      <c r="CB290" s="219"/>
      <c r="CC290" s="251"/>
      <c r="CD290" s="371"/>
      <c r="CE290" s="219"/>
      <c r="CF290" s="251"/>
      <c r="CG290" s="251"/>
      <c r="CH290" s="251"/>
    </row>
    <row r="291" spans="1:86" ht="15" customHeight="1">
      <c r="A291" s="219"/>
      <c r="B291" s="219"/>
      <c r="C291" s="219"/>
      <c r="D291" s="219"/>
      <c r="E291" s="219"/>
      <c r="F291" s="565" t="s">
        <v>116</v>
      </c>
      <c r="G291" s="383" t="str">
        <f>CONCATENATE(League!D194,"-",League!K194)</f>
        <v>WQ1-WQ2</v>
      </c>
      <c r="H291" s="320" t="str">
        <f>CONCATENATE(IF(League!G194&gt;League!H194,1,IF(League!G194&lt;League!H194,2,IF(AND(League!G194=League!H194,League!G194&lt;&gt;"",League!H194&lt;&gt;""),"X",0))),"|",League!G194,"-",League!H194)</f>
        <v>0|-</v>
      </c>
      <c r="I291" s="219"/>
      <c r="J291" s="326" t="str">
        <f>+Idiomas!$D$249</f>
        <v>Pegar valores Semifinales</v>
      </c>
      <c r="K291" s="322">
        <f>IFERROR(SUM(IF($H291=J291,$D$28),IF(LEFT($H291,1)=LEFT(J291,1),$D$26),IF(MID($H291,FIND("|",$H291)+1,FIND("-",$H291)-FIND("|",$H291)-1)-MID($H291,FIND("-",$H291)+1,11)=MID(J291,FIND("|",J291)+1,FIND("-",J291)-FIND("|",J291)-1)-MID(J291,FIND("-",J291)+1,11),$D$27)),)</f>
        <v>0</v>
      </c>
      <c r="L291" s="251"/>
      <c r="M291" s="326" t="str">
        <f>+Idiomas!$D$249</f>
        <v>Pegar valores Semifinales</v>
      </c>
      <c r="N291" s="322">
        <f t="shared" ref="N291" si="497">IFERROR(SUM(IF($H291=M291,$D$28),IF(LEFT($H291,1)=LEFT(M291,1),$D$26),IF(MID($H291,FIND("|",$H291)+1,FIND("-",$H291)-FIND("|",$H291)-1)-MID($H291,FIND("-",$H291)+1,11)=MID(M291,FIND("|",M291)+1,FIND("-",M291)-FIND("|",M291)-1)-MID(M291,FIND("-",M291)+1,11),$D$27)),)</f>
        <v>0</v>
      </c>
      <c r="O291" s="251"/>
      <c r="P291" s="326" t="str">
        <f>+Idiomas!$D$249</f>
        <v>Pegar valores Semifinales</v>
      </c>
      <c r="Q291" s="322">
        <f t="shared" ref="Q291" si="498">IFERROR(SUM(IF($H291=P291,$D$28),IF(LEFT($H291,1)=LEFT(P291,1),$D$26),IF(MID($H291,FIND("|",$H291)+1,FIND("-",$H291)-FIND("|",$H291)-1)-MID($H291,FIND("-",$H291)+1,11)=MID(P291,FIND("|",P291)+1,FIND("-",P291)-FIND("|",P291)-1)-MID(P291,FIND("-",P291)+1,11),$D$27)),)</f>
        <v>0</v>
      </c>
      <c r="R291" s="251"/>
      <c r="S291" s="326" t="str">
        <f>+Idiomas!$D$249</f>
        <v>Pegar valores Semifinales</v>
      </c>
      <c r="T291" s="322">
        <f t="shared" ref="T291" si="499">IFERROR(SUM(IF($H291=S291,$D$28),IF(LEFT($H291,1)=LEFT(S291,1),$D$26),IF(MID($H291,FIND("|",$H291)+1,FIND("-",$H291)-FIND("|",$H291)-1)-MID($H291,FIND("-",$H291)+1,11)=MID(S291,FIND("|",S291)+1,FIND("-",S291)-FIND("|",S291)-1)-MID(S291,FIND("-",S291)+1,11),$D$27)),)</f>
        <v>0</v>
      </c>
      <c r="U291" s="251"/>
      <c r="V291" s="326" t="str">
        <f>+Idiomas!$D$249</f>
        <v>Pegar valores Semifinales</v>
      </c>
      <c r="W291" s="322">
        <f t="shared" ref="W291" si="500">IFERROR(SUM(IF($H291=V291,$D$28),IF(LEFT($H291,1)=LEFT(V291,1),$D$26),IF(MID($H291,FIND("|",$H291)+1,FIND("-",$H291)-FIND("|",$H291)-1)-MID($H291,FIND("-",$H291)+1,11)=MID(V291,FIND("|",V291)+1,FIND("-",V291)-FIND("|",V291)-1)-MID(V291,FIND("-",V291)+1,11),$D$27)),)</f>
        <v>0</v>
      </c>
      <c r="X291" s="251"/>
      <c r="Y291" s="326" t="str">
        <f>+Idiomas!$D$249</f>
        <v>Pegar valores Semifinales</v>
      </c>
      <c r="Z291" s="322">
        <f t="shared" ref="Z291" si="501">IFERROR(SUM(IF($H291=Y291,$D$28),IF(LEFT($H291,1)=LEFT(Y291,1),$D$26),IF(MID($H291,FIND("|",$H291)+1,FIND("-",$H291)-FIND("|",$H291)-1)-MID($H291,FIND("-",$H291)+1,11)=MID(Y291,FIND("|",Y291)+1,FIND("-",Y291)-FIND("|",Y291)-1)-MID(Y291,FIND("-",Y291)+1,11),$D$27)),)</f>
        <v>0</v>
      </c>
      <c r="AA291" s="251"/>
      <c r="AB291" s="326" t="str">
        <f>+Idiomas!$D$249</f>
        <v>Pegar valores Semifinales</v>
      </c>
      <c r="AC291" s="322">
        <f t="shared" ref="AC291" si="502">IFERROR(SUM(IF($H291=AB291,$D$28),IF(LEFT($H291,1)=LEFT(AB291,1),$D$26),IF(MID($H291,FIND("|",$H291)+1,FIND("-",$H291)-FIND("|",$H291)-1)-MID($H291,FIND("-",$H291)+1,11)=MID(AB291,FIND("|",AB291)+1,FIND("-",AB291)-FIND("|",AB291)-1)-MID(AB291,FIND("-",AB291)+1,11),$D$27)),)</f>
        <v>0</v>
      </c>
      <c r="AD291" s="251"/>
      <c r="AE291" s="326" t="str">
        <f>+Idiomas!$D$249</f>
        <v>Pegar valores Semifinales</v>
      </c>
      <c r="AF291" s="322">
        <f t="shared" ref="AF291" si="503">IFERROR(SUM(IF($H291=AE291,$D$28),IF(LEFT($H291,1)=LEFT(AE291,1),$D$26),IF(MID($H291,FIND("|",$H291)+1,FIND("-",$H291)-FIND("|",$H291)-1)-MID($H291,FIND("-",$H291)+1,11)=MID(AE291,FIND("|",AE291)+1,FIND("-",AE291)-FIND("|",AE291)-1)-MID(AE291,FIND("-",AE291)+1,11),$D$27)),)</f>
        <v>0</v>
      </c>
      <c r="AG291" s="251"/>
      <c r="AH291" s="326" t="str">
        <f>+Idiomas!$D$249</f>
        <v>Pegar valores Semifinales</v>
      </c>
      <c r="AI291" s="322">
        <f t="shared" ref="AI291" si="504">IFERROR(SUM(IF($H291=AH291,$D$28),IF(LEFT($H291,1)=LEFT(AH291,1),$D$26),IF(MID($H291,FIND("|",$H291)+1,FIND("-",$H291)-FIND("|",$H291)-1)-MID($H291,FIND("-",$H291)+1,11)=MID(AH291,FIND("|",AH291)+1,FIND("-",AH291)-FIND("|",AH291)-1)-MID(AH291,FIND("-",AH291)+1,11),$D$27)),)</f>
        <v>0</v>
      </c>
      <c r="AJ291" s="251"/>
      <c r="AK291" s="326" t="str">
        <f>+Idiomas!$D$249</f>
        <v>Pegar valores Semifinales</v>
      </c>
      <c r="AL291" s="322">
        <f t="shared" ref="AL291" si="505">IFERROR(SUM(IF($H291=AK291,$D$28),IF(LEFT($H291,1)=LEFT(AK291,1),$D$26),IF(MID($H291,FIND("|",$H291)+1,FIND("-",$H291)-FIND("|",$H291)-1)-MID($H291,FIND("-",$H291)+1,11)=MID(AK291,FIND("|",AK291)+1,FIND("-",AK291)-FIND("|",AK291)-1)-MID(AK291,FIND("-",AK291)+1,11),$D$27)),)</f>
        <v>0</v>
      </c>
      <c r="AM291" s="251"/>
      <c r="AN291" s="326" t="str">
        <f>+Idiomas!$D$249</f>
        <v>Pegar valores Semifinales</v>
      </c>
      <c r="AO291" s="322">
        <f t="shared" ref="AO291" si="506">IFERROR(SUM(IF($H291=AN291,$D$28),IF(LEFT($H291,1)=LEFT(AN291,1),$D$26),IF(MID($H291,FIND("|",$H291)+1,FIND("-",$H291)-FIND("|",$H291)-1)-MID($H291,FIND("-",$H291)+1,11)=MID(AN291,FIND("|",AN291)+1,FIND("-",AN291)-FIND("|",AN291)-1)-MID(AN291,FIND("-",AN291)+1,11),$D$27)),)</f>
        <v>0</v>
      </c>
      <c r="AP291" s="251"/>
      <c r="AQ291" s="326" t="str">
        <f>+Idiomas!$D$249</f>
        <v>Pegar valores Semifinales</v>
      </c>
      <c r="AR291" s="322">
        <f t="shared" ref="AR291" si="507">IFERROR(SUM(IF($H291=AQ291,$D$28),IF(LEFT($H291,1)=LEFT(AQ291,1),$D$26),IF(MID($H291,FIND("|",$H291)+1,FIND("-",$H291)-FIND("|",$H291)-1)-MID($H291,FIND("-",$H291)+1,11)=MID(AQ291,FIND("|",AQ291)+1,FIND("-",AQ291)-FIND("|",AQ291)-1)-MID(AQ291,FIND("-",AQ291)+1,11),$D$27)),)</f>
        <v>0</v>
      </c>
      <c r="AS291" s="251"/>
      <c r="AT291" s="326" t="str">
        <f>+Idiomas!$D$249</f>
        <v>Pegar valores Semifinales</v>
      </c>
      <c r="AU291" s="322">
        <f t="shared" ref="AU291" si="508">IFERROR(SUM(IF($H291=AT291,$D$28),IF(LEFT($H291,1)=LEFT(AT291,1),$D$26),IF(MID($H291,FIND("|",$H291)+1,FIND("-",$H291)-FIND("|",$H291)-1)-MID($H291,FIND("-",$H291)+1,11)=MID(AT291,FIND("|",AT291)+1,FIND("-",AT291)-FIND("|",AT291)-1)-MID(AT291,FIND("-",AT291)+1,11),$D$27)),)</f>
        <v>0</v>
      </c>
      <c r="AV291" s="251"/>
      <c r="AW291" s="326" t="str">
        <f>+Idiomas!$D$249</f>
        <v>Pegar valores Semifinales</v>
      </c>
      <c r="AX291" s="322">
        <f t="shared" ref="AX291" si="509">IFERROR(SUM(IF($H291=AW291,$D$28),IF(LEFT($H291,1)=LEFT(AW291,1),$D$26),IF(MID($H291,FIND("|",$H291)+1,FIND("-",$H291)-FIND("|",$H291)-1)-MID($H291,FIND("-",$H291)+1,11)=MID(AW291,FIND("|",AW291)+1,FIND("-",AW291)-FIND("|",AW291)-1)-MID(AW291,FIND("-",AW291)+1,11),$D$27)),)</f>
        <v>0</v>
      </c>
      <c r="AY291" s="251"/>
      <c r="AZ291" s="326" t="str">
        <f>+Idiomas!$D$249</f>
        <v>Pegar valores Semifinales</v>
      </c>
      <c r="BA291" s="322">
        <f t="shared" ref="BA291" si="510">IFERROR(SUM(IF($H291=AZ291,$D$28),IF(LEFT($H291,1)=LEFT(AZ291,1),$D$26),IF(MID($H291,FIND("|",$H291)+1,FIND("-",$H291)-FIND("|",$H291)-1)-MID($H291,FIND("-",$H291)+1,11)=MID(AZ291,FIND("|",AZ291)+1,FIND("-",AZ291)-FIND("|",AZ291)-1)-MID(AZ291,FIND("-",AZ291)+1,11),$D$27)),)</f>
        <v>0</v>
      </c>
      <c r="BB291" s="251"/>
      <c r="BC291" s="326" t="str">
        <f>+Idiomas!$D$249</f>
        <v>Pegar valores Semifinales</v>
      </c>
      <c r="BD291" s="322">
        <f t="shared" ref="BD291" si="511">IFERROR(SUM(IF($H291=BC291,$D$28),IF(LEFT($H291,1)=LEFT(BC291,1),$D$26),IF(MID($H291,FIND("|",$H291)+1,FIND("-",$H291)-FIND("|",$H291)-1)-MID($H291,FIND("-",$H291)+1,11)=MID(BC291,FIND("|",BC291)+1,FIND("-",BC291)-FIND("|",BC291)-1)-MID(BC291,FIND("-",BC291)+1,11),$D$27)),)</f>
        <v>0</v>
      </c>
      <c r="BE291" s="251"/>
      <c r="BF291" s="326" t="str">
        <f>+Idiomas!$D$249</f>
        <v>Pegar valores Semifinales</v>
      </c>
      <c r="BG291" s="322">
        <f t="shared" ref="BG291" si="512">IFERROR(SUM(IF($H291=BF291,$D$28),IF(LEFT($H291,1)=LEFT(BF291,1),$D$26),IF(MID($H291,FIND("|",$H291)+1,FIND("-",$H291)-FIND("|",$H291)-1)-MID($H291,FIND("-",$H291)+1,11)=MID(BF291,FIND("|",BF291)+1,FIND("-",BF291)-FIND("|",BF291)-1)-MID(BF291,FIND("-",BF291)+1,11),$D$27)),)</f>
        <v>0</v>
      </c>
      <c r="BH291" s="251"/>
      <c r="BI291" s="326" t="str">
        <f>+Idiomas!$D$249</f>
        <v>Pegar valores Semifinales</v>
      </c>
      <c r="BJ291" s="322">
        <f t="shared" ref="BJ291" si="513">IFERROR(SUM(IF($H291=BI291,$D$28),IF(LEFT($H291,1)=LEFT(BI291,1),$D$26),IF(MID($H291,FIND("|",$H291)+1,FIND("-",$H291)-FIND("|",$H291)-1)-MID($H291,FIND("-",$H291)+1,11)=MID(BI291,FIND("|",BI291)+1,FIND("-",BI291)-FIND("|",BI291)-1)-MID(BI291,FIND("-",BI291)+1,11),$D$27)),)</f>
        <v>0</v>
      </c>
      <c r="BK291" s="251"/>
      <c r="BL291" s="326" t="str">
        <f>+Idiomas!$D$249</f>
        <v>Pegar valores Semifinales</v>
      </c>
      <c r="BM291" s="322">
        <f t="shared" ref="BM291" si="514">IFERROR(SUM(IF($H291=BL291,$D$28),IF(LEFT($H291,1)=LEFT(BL291,1),$D$26),IF(MID($H291,FIND("|",$H291)+1,FIND("-",$H291)-FIND("|",$H291)-1)-MID($H291,FIND("-",$H291)+1,11)=MID(BL291,FIND("|",BL291)+1,FIND("-",BL291)-FIND("|",BL291)-1)-MID(BL291,FIND("-",BL291)+1,11),$D$27)),)</f>
        <v>0</v>
      </c>
      <c r="BN291" s="251"/>
      <c r="BO291" s="326" t="str">
        <f>+Idiomas!$D$249</f>
        <v>Pegar valores Semifinales</v>
      </c>
      <c r="BP291" s="322">
        <f t="shared" ref="BP291" si="515">IFERROR(SUM(IF($H291=BO291,$D$28),IF(LEFT($H291,1)=LEFT(BO291,1),$D$26),IF(MID($H291,FIND("|",$H291)+1,FIND("-",$H291)-FIND("|",$H291)-1)-MID($H291,FIND("-",$H291)+1,11)=MID(BO291,FIND("|",BO291)+1,FIND("-",BO291)-FIND("|",BO291)-1)-MID(BO291,FIND("-",BO291)+1,11),$D$27)),)</f>
        <v>0</v>
      </c>
      <c r="BQ291" s="251"/>
      <c r="BR291" s="326" t="str">
        <f>+Idiomas!$D$249</f>
        <v>Pegar valores Semifinales</v>
      </c>
      <c r="BS291" s="322">
        <f t="shared" ref="BS291" si="516">IFERROR(SUM(IF($H291=BR291,$D$28),IF(LEFT($H291,1)=LEFT(BR291,1),$D$26),IF(MID($H291,FIND("|",$H291)+1,FIND("-",$H291)-FIND("|",$H291)-1)-MID($H291,FIND("-",$H291)+1,11)=MID(BR291,FIND("|",BR291)+1,FIND("-",BR291)-FIND("|",BR291)-1)-MID(BR291,FIND("-",BR291)+1,11),$D$27)),)</f>
        <v>0</v>
      </c>
      <c r="BT291" s="251"/>
      <c r="BU291" s="326" t="str">
        <f>+Idiomas!$D$249</f>
        <v>Pegar valores Semifinales</v>
      </c>
      <c r="BV291" s="322">
        <f t="shared" ref="BV291" si="517">IFERROR(SUM(IF($H291=BU291,$D$28),IF(LEFT($H291,1)=LEFT(BU291,1),$D$26),IF(MID($H291,FIND("|",$H291)+1,FIND("-",$H291)-FIND("|",$H291)-1)-MID($H291,FIND("-",$H291)+1,11)=MID(BU291,FIND("|",BU291)+1,FIND("-",BU291)-FIND("|",BU291)-1)-MID(BU291,FIND("-",BU291)+1,11),$D$27)),)</f>
        <v>0</v>
      </c>
      <c r="BW291" s="251"/>
      <c r="BX291" s="326" t="str">
        <f>+Idiomas!$D$249</f>
        <v>Pegar valores Semifinales</v>
      </c>
      <c r="BY291" s="322">
        <f t="shared" ref="BY291" si="518">IFERROR(SUM(IF($H291=BX291,$D$28),IF(LEFT($H291,1)=LEFT(BX291,1),$D$26),IF(MID($H291,FIND("|",$H291)+1,FIND("-",$H291)-FIND("|",$H291)-1)-MID($H291,FIND("-",$H291)+1,11)=MID(BX291,FIND("|",BX291)+1,FIND("-",BX291)-FIND("|",BX291)-1)-MID(BX291,FIND("-",BX291)+1,11),$D$27)),)</f>
        <v>0</v>
      </c>
      <c r="BZ291" s="251"/>
      <c r="CA291" s="326" t="str">
        <f>+Idiomas!$D$249</f>
        <v>Pegar valores Semifinales</v>
      </c>
      <c r="CB291" s="322">
        <f t="shared" ref="CB291" si="519">IFERROR(SUM(IF($H291=CA291,$D$28),IF(LEFT($H291,1)=LEFT(CA291,1),$D$26),IF(MID($H291,FIND("|",$H291)+1,FIND("-",$H291)-FIND("|",$H291)-1)-MID($H291,FIND("-",$H291)+1,11)=MID(CA291,FIND("|",CA291)+1,FIND("-",CA291)-FIND("|",CA291)-1)-MID(CA291,FIND("-",CA291)+1,11),$D$27)),)</f>
        <v>0</v>
      </c>
      <c r="CC291" s="251"/>
      <c r="CD291" s="326" t="str">
        <f>+Idiomas!$D$249</f>
        <v>Pegar valores Semifinales</v>
      </c>
      <c r="CE291" s="322">
        <f t="shared" ref="CE291" si="520">IFERROR(SUM(IF($H291=CD291,$D$28),IF(LEFT($H291,1)=LEFT(CD291,1),$D$26),IF(MID($H291,FIND("|",$H291)+1,FIND("-",$H291)-FIND("|",$H291)-1)-MID($H291,FIND("-",$H291)+1,11)=MID(CD291,FIND("|",CD291)+1,FIND("-",CD291)-FIND("|",CD291)-1)-MID(CD291,FIND("-",CD291)+1,11),$D$27)),)</f>
        <v>0</v>
      </c>
      <c r="CF291" s="251"/>
      <c r="CG291" s="251"/>
      <c r="CH291" s="251"/>
    </row>
    <row r="292" spans="1:86" ht="15" customHeight="1">
      <c r="A292" s="219"/>
      <c r="B292" s="219"/>
      <c r="C292" s="219"/>
      <c r="D292" s="219"/>
      <c r="E292" s="219"/>
      <c r="F292" s="565"/>
      <c r="G292" s="384" t="str">
        <f>CONCATENATE(League!D196,"-",League!K196)</f>
        <v>WQ3-WQ4</v>
      </c>
      <c r="H292" s="385" t="str">
        <f>CONCATENATE(IF(League!G196&gt;League!H196,1,IF(League!G196&lt;League!H196,2,IF(AND(League!G196=League!H196,League!G196&lt;&gt;"",League!H196&lt;&gt;""),"X",0))),"|",League!G196,"-",League!H196)</f>
        <v>0|-</v>
      </c>
      <c r="I292" s="219"/>
      <c r="J292" s="336"/>
      <c r="K292" s="337">
        <f>IFERROR(SUM(IF($H292=J292,$D$28),IF(LEFT($H292,1)=LEFT(J292,1),$D$26),IF(MID($H292,FIND("|",$H292)+1,FIND("-",$H292)-FIND("|",$H292)-1)-MID($H292,FIND("-",$H292)+1,11)=MID(J292,FIND("|",J292)+1,FIND("-",J292)-FIND("|",J292)-1)-MID(J292,FIND("-",J292)+1,11),$D$27)),)</f>
        <v>0</v>
      </c>
      <c r="L292" s="251"/>
      <c r="M292" s="336"/>
      <c r="N292" s="337">
        <f t="shared" ref="N292" si="521">IFERROR(SUM(IF($H292=M292,$D$28),IF(LEFT($H292,1)=LEFT(M292,1),$D$26),IF(MID($H292,FIND("|",$H292)+1,FIND("-",$H292)-FIND("|",$H292)-1)-MID($H292,FIND("-",$H292)+1,11)=MID(M292,FIND("|",M292)+1,FIND("-",M292)-FIND("|",M292)-1)-MID(M292,FIND("-",M292)+1,11),$D$27)),)</f>
        <v>0</v>
      </c>
      <c r="O292" s="251"/>
      <c r="P292" s="336"/>
      <c r="Q292" s="337">
        <f t="shared" ref="Q292" si="522">IFERROR(SUM(IF($H292=P292,$D$28),IF(LEFT($H292,1)=LEFT(P292,1),$D$26),IF(MID($H292,FIND("|",$H292)+1,FIND("-",$H292)-FIND("|",$H292)-1)-MID($H292,FIND("-",$H292)+1,11)=MID(P292,FIND("|",P292)+1,FIND("-",P292)-FIND("|",P292)-1)-MID(P292,FIND("-",P292)+1,11),$D$27)),)</f>
        <v>0</v>
      </c>
      <c r="R292" s="251"/>
      <c r="S292" s="336"/>
      <c r="T292" s="337">
        <f t="shared" ref="T292" si="523">IFERROR(SUM(IF($H292=S292,$D$28),IF(LEFT($H292,1)=LEFT(S292,1),$D$26),IF(MID($H292,FIND("|",$H292)+1,FIND("-",$H292)-FIND("|",$H292)-1)-MID($H292,FIND("-",$H292)+1,11)=MID(S292,FIND("|",S292)+1,FIND("-",S292)-FIND("|",S292)-1)-MID(S292,FIND("-",S292)+1,11),$D$27)),)</f>
        <v>0</v>
      </c>
      <c r="U292" s="251"/>
      <c r="V292" s="336"/>
      <c r="W292" s="337">
        <f t="shared" ref="W292" si="524">IFERROR(SUM(IF($H292=V292,$D$28),IF(LEFT($H292,1)=LEFT(V292,1),$D$26),IF(MID($H292,FIND("|",$H292)+1,FIND("-",$H292)-FIND("|",$H292)-1)-MID($H292,FIND("-",$H292)+1,11)=MID(V292,FIND("|",V292)+1,FIND("-",V292)-FIND("|",V292)-1)-MID(V292,FIND("-",V292)+1,11),$D$27)),)</f>
        <v>0</v>
      </c>
      <c r="X292" s="251"/>
      <c r="Y292" s="336"/>
      <c r="Z292" s="337">
        <f t="shared" ref="Z292" si="525">IFERROR(SUM(IF($H292=Y292,$D$28),IF(LEFT($H292,1)=LEFT(Y292,1),$D$26),IF(MID($H292,FIND("|",$H292)+1,FIND("-",$H292)-FIND("|",$H292)-1)-MID($H292,FIND("-",$H292)+1,11)=MID(Y292,FIND("|",Y292)+1,FIND("-",Y292)-FIND("|",Y292)-1)-MID(Y292,FIND("-",Y292)+1,11),$D$27)),)</f>
        <v>0</v>
      </c>
      <c r="AA292" s="251"/>
      <c r="AB292" s="336"/>
      <c r="AC292" s="337">
        <f t="shared" ref="AC292" si="526">IFERROR(SUM(IF($H292=AB292,$D$28),IF(LEFT($H292,1)=LEFT(AB292,1),$D$26),IF(MID($H292,FIND("|",$H292)+1,FIND("-",$H292)-FIND("|",$H292)-1)-MID($H292,FIND("-",$H292)+1,11)=MID(AB292,FIND("|",AB292)+1,FIND("-",AB292)-FIND("|",AB292)-1)-MID(AB292,FIND("-",AB292)+1,11),$D$27)),)</f>
        <v>0</v>
      </c>
      <c r="AD292" s="251"/>
      <c r="AE292" s="336"/>
      <c r="AF292" s="337">
        <f t="shared" ref="AF292" si="527">IFERROR(SUM(IF($H292=AE292,$D$28),IF(LEFT($H292,1)=LEFT(AE292,1),$D$26),IF(MID($H292,FIND("|",$H292)+1,FIND("-",$H292)-FIND("|",$H292)-1)-MID($H292,FIND("-",$H292)+1,11)=MID(AE292,FIND("|",AE292)+1,FIND("-",AE292)-FIND("|",AE292)-1)-MID(AE292,FIND("-",AE292)+1,11),$D$27)),)</f>
        <v>0</v>
      </c>
      <c r="AG292" s="251"/>
      <c r="AH292" s="336"/>
      <c r="AI292" s="337">
        <f t="shared" ref="AI292" si="528">IFERROR(SUM(IF($H292=AH292,$D$28),IF(LEFT($H292,1)=LEFT(AH292,1),$D$26),IF(MID($H292,FIND("|",$H292)+1,FIND("-",$H292)-FIND("|",$H292)-1)-MID($H292,FIND("-",$H292)+1,11)=MID(AH292,FIND("|",AH292)+1,FIND("-",AH292)-FIND("|",AH292)-1)-MID(AH292,FIND("-",AH292)+1,11),$D$27)),)</f>
        <v>0</v>
      </c>
      <c r="AJ292" s="251"/>
      <c r="AK292" s="336"/>
      <c r="AL292" s="337">
        <f t="shared" ref="AL292" si="529">IFERROR(SUM(IF($H292=AK292,$D$28),IF(LEFT($H292,1)=LEFT(AK292,1),$D$26),IF(MID($H292,FIND("|",$H292)+1,FIND("-",$H292)-FIND("|",$H292)-1)-MID($H292,FIND("-",$H292)+1,11)=MID(AK292,FIND("|",AK292)+1,FIND("-",AK292)-FIND("|",AK292)-1)-MID(AK292,FIND("-",AK292)+1,11),$D$27)),)</f>
        <v>0</v>
      </c>
      <c r="AM292" s="251"/>
      <c r="AN292" s="336"/>
      <c r="AO292" s="337">
        <f t="shared" ref="AO292" si="530">IFERROR(SUM(IF($H292=AN292,$D$28),IF(LEFT($H292,1)=LEFT(AN292,1),$D$26),IF(MID($H292,FIND("|",$H292)+1,FIND("-",$H292)-FIND("|",$H292)-1)-MID($H292,FIND("-",$H292)+1,11)=MID(AN292,FIND("|",AN292)+1,FIND("-",AN292)-FIND("|",AN292)-1)-MID(AN292,FIND("-",AN292)+1,11),$D$27)),)</f>
        <v>0</v>
      </c>
      <c r="AP292" s="251"/>
      <c r="AQ292" s="336"/>
      <c r="AR292" s="337">
        <f t="shared" ref="AR292" si="531">IFERROR(SUM(IF($H292=AQ292,$D$28),IF(LEFT($H292,1)=LEFT(AQ292,1),$D$26),IF(MID($H292,FIND("|",$H292)+1,FIND("-",$H292)-FIND("|",$H292)-1)-MID($H292,FIND("-",$H292)+1,11)=MID(AQ292,FIND("|",AQ292)+1,FIND("-",AQ292)-FIND("|",AQ292)-1)-MID(AQ292,FIND("-",AQ292)+1,11),$D$27)),)</f>
        <v>0</v>
      </c>
      <c r="AS292" s="251"/>
      <c r="AT292" s="336"/>
      <c r="AU292" s="337">
        <f t="shared" ref="AU292" si="532">IFERROR(SUM(IF($H292=AT292,$D$28),IF(LEFT($H292,1)=LEFT(AT292,1),$D$26),IF(MID($H292,FIND("|",$H292)+1,FIND("-",$H292)-FIND("|",$H292)-1)-MID($H292,FIND("-",$H292)+1,11)=MID(AT292,FIND("|",AT292)+1,FIND("-",AT292)-FIND("|",AT292)-1)-MID(AT292,FIND("-",AT292)+1,11),$D$27)),)</f>
        <v>0</v>
      </c>
      <c r="AV292" s="251"/>
      <c r="AW292" s="336"/>
      <c r="AX292" s="337">
        <f t="shared" ref="AX292" si="533">IFERROR(SUM(IF($H292=AW292,$D$28),IF(LEFT($H292,1)=LEFT(AW292,1),$D$26),IF(MID($H292,FIND("|",$H292)+1,FIND("-",$H292)-FIND("|",$H292)-1)-MID($H292,FIND("-",$H292)+1,11)=MID(AW292,FIND("|",AW292)+1,FIND("-",AW292)-FIND("|",AW292)-1)-MID(AW292,FIND("-",AW292)+1,11),$D$27)),)</f>
        <v>0</v>
      </c>
      <c r="AY292" s="251"/>
      <c r="AZ292" s="336"/>
      <c r="BA292" s="337">
        <f t="shared" ref="BA292" si="534">IFERROR(SUM(IF($H292=AZ292,$D$28),IF(LEFT($H292,1)=LEFT(AZ292,1),$D$26),IF(MID($H292,FIND("|",$H292)+1,FIND("-",$H292)-FIND("|",$H292)-1)-MID($H292,FIND("-",$H292)+1,11)=MID(AZ292,FIND("|",AZ292)+1,FIND("-",AZ292)-FIND("|",AZ292)-1)-MID(AZ292,FIND("-",AZ292)+1,11),$D$27)),)</f>
        <v>0</v>
      </c>
      <c r="BB292" s="251"/>
      <c r="BC292" s="336"/>
      <c r="BD292" s="337">
        <f t="shared" ref="BD292" si="535">IFERROR(SUM(IF($H292=BC292,$D$28),IF(LEFT($H292,1)=LEFT(BC292,1),$D$26),IF(MID($H292,FIND("|",$H292)+1,FIND("-",$H292)-FIND("|",$H292)-1)-MID($H292,FIND("-",$H292)+1,11)=MID(BC292,FIND("|",BC292)+1,FIND("-",BC292)-FIND("|",BC292)-1)-MID(BC292,FIND("-",BC292)+1,11),$D$27)),)</f>
        <v>0</v>
      </c>
      <c r="BE292" s="251"/>
      <c r="BF292" s="336"/>
      <c r="BG292" s="337">
        <f t="shared" ref="BG292" si="536">IFERROR(SUM(IF($H292=BF292,$D$28),IF(LEFT($H292,1)=LEFT(BF292,1),$D$26),IF(MID($H292,FIND("|",$H292)+1,FIND("-",$H292)-FIND("|",$H292)-1)-MID($H292,FIND("-",$H292)+1,11)=MID(BF292,FIND("|",BF292)+1,FIND("-",BF292)-FIND("|",BF292)-1)-MID(BF292,FIND("-",BF292)+1,11),$D$27)),)</f>
        <v>0</v>
      </c>
      <c r="BH292" s="251"/>
      <c r="BI292" s="336"/>
      <c r="BJ292" s="337">
        <f t="shared" ref="BJ292" si="537">IFERROR(SUM(IF($H292=BI292,$D$28),IF(LEFT($H292,1)=LEFT(BI292,1),$D$26),IF(MID($H292,FIND("|",$H292)+1,FIND("-",$H292)-FIND("|",$H292)-1)-MID($H292,FIND("-",$H292)+1,11)=MID(BI292,FIND("|",BI292)+1,FIND("-",BI292)-FIND("|",BI292)-1)-MID(BI292,FIND("-",BI292)+1,11),$D$27)),)</f>
        <v>0</v>
      </c>
      <c r="BK292" s="251"/>
      <c r="BL292" s="336"/>
      <c r="BM292" s="337">
        <f t="shared" ref="BM292" si="538">IFERROR(SUM(IF($H292=BL292,$D$28),IF(LEFT($H292,1)=LEFT(BL292,1),$D$26),IF(MID($H292,FIND("|",$H292)+1,FIND("-",$H292)-FIND("|",$H292)-1)-MID($H292,FIND("-",$H292)+1,11)=MID(BL292,FIND("|",BL292)+1,FIND("-",BL292)-FIND("|",BL292)-1)-MID(BL292,FIND("-",BL292)+1,11),$D$27)),)</f>
        <v>0</v>
      </c>
      <c r="BN292" s="251"/>
      <c r="BO292" s="336"/>
      <c r="BP292" s="337">
        <f t="shared" ref="BP292" si="539">IFERROR(SUM(IF($H292=BO292,$D$28),IF(LEFT($H292,1)=LEFT(BO292,1),$D$26),IF(MID($H292,FIND("|",$H292)+1,FIND("-",$H292)-FIND("|",$H292)-1)-MID($H292,FIND("-",$H292)+1,11)=MID(BO292,FIND("|",BO292)+1,FIND("-",BO292)-FIND("|",BO292)-1)-MID(BO292,FIND("-",BO292)+1,11),$D$27)),)</f>
        <v>0</v>
      </c>
      <c r="BQ292" s="251"/>
      <c r="BR292" s="336"/>
      <c r="BS292" s="337">
        <f t="shared" ref="BS292" si="540">IFERROR(SUM(IF($H292=BR292,$D$28),IF(LEFT($H292,1)=LEFT(BR292,1),$D$26),IF(MID($H292,FIND("|",$H292)+1,FIND("-",$H292)-FIND("|",$H292)-1)-MID($H292,FIND("-",$H292)+1,11)=MID(BR292,FIND("|",BR292)+1,FIND("-",BR292)-FIND("|",BR292)-1)-MID(BR292,FIND("-",BR292)+1,11),$D$27)),)</f>
        <v>0</v>
      </c>
      <c r="BT292" s="251"/>
      <c r="BU292" s="336"/>
      <c r="BV292" s="337">
        <f t="shared" ref="BV292" si="541">IFERROR(SUM(IF($H292=BU292,$D$28),IF(LEFT($H292,1)=LEFT(BU292,1),$D$26),IF(MID($H292,FIND("|",$H292)+1,FIND("-",$H292)-FIND("|",$H292)-1)-MID($H292,FIND("-",$H292)+1,11)=MID(BU292,FIND("|",BU292)+1,FIND("-",BU292)-FIND("|",BU292)-1)-MID(BU292,FIND("-",BU292)+1,11),$D$27)),)</f>
        <v>0</v>
      </c>
      <c r="BW292" s="251"/>
      <c r="BX292" s="336"/>
      <c r="BY292" s="337">
        <f t="shared" ref="BY292" si="542">IFERROR(SUM(IF($H292=BX292,$D$28),IF(LEFT($H292,1)=LEFT(BX292,1),$D$26),IF(MID($H292,FIND("|",$H292)+1,FIND("-",$H292)-FIND("|",$H292)-1)-MID($H292,FIND("-",$H292)+1,11)=MID(BX292,FIND("|",BX292)+1,FIND("-",BX292)-FIND("|",BX292)-1)-MID(BX292,FIND("-",BX292)+1,11),$D$27)),)</f>
        <v>0</v>
      </c>
      <c r="BZ292" s="251"/>
      <c r="CA292" s="336"/>
      <c r="CB292" s="337">
        <f t="shared" ref="CB292" si="543">IFERROR(SUM(IF($H292=CA292,$D$28),IF(LEFT($H292,1)=LEFT(CA292,1),$D$26),IF(MID($H292,FIND("|",$H292)+1,FIND("-",$H292)-FIND("|",$H292)-1)-MID($H292,FIND("-",$H292)+1,11)=MID(CA292,FIND("|",CA292)+1,FIND("-",CA292)-FIND("|",CA292)-1)-MID(CA292,FIND("-",CA292)+1,11),$D$27)),)</f>
        <v>0</v>
      </c>
      <c r="CC292" s="251"/>
      <c r="CD292" s="336"/>
      <c r="CE292" s="337">
        <f t="shared" ref="CE292" si="544">IFERROR(SUM(IF($H292=CD292,$D$28),IF(LEFT($H292,1)=LEFT(CD292,1),$D$26),IF(MID($H292,FIND("|",$H292)+1,FIND("-",$H292)-FIND("|",$H292)-1)-MID($H292,FIND("-",$H292)+1,11)=MID(CD292,FIND("|",CD292)+1,FIND("-",CD292)-FIND("|",CD292)-1)-MID(CD292,FIND("-",CD292)+1,11),$D$27)),)</f>
        <v>0</v>
      </c>
      <c r="CF292" s="251"/>
      <c r="CG292" s="251"/>
      <c r="CH292" s="251"/>
    </row>
    <row r="293" spans="1:86" ht="15" customHeight="1">
      <c r="A293" s="219"/>
      <c r="B293" s="219"/>
      <c r="C293" s="219"/>
      <c r="D293" s="219"/>
      <c r="E293" s="219"/>
      <c r="F293" s="565"/>
      <c r="G293" s="374" t="str">
        <f>CONCATENATE(League!D195,"-",League!K195)</f>
        <v>WQ2-WQ1</v>
      </c>
      <c r="H293" s="320" t="str">
        <f>CONCATENATE(IF(League!G195&gt;League!H195,1,IF(League!G195&lt;League!H195,2,IF(AND(League!G195=League!H195,League!G195&lt;&gt;"",League!H195&lt;&gt;""),"X",0))),"|",League!G195,"-",League!H195)</f>
        <v>0|-</v>
      </c>
      <c r="I293" s="219"/>
      <c r="J293" s="340"/>
      <c r="K293" s="341">
        <f>IFERROR(SUM(IF($H293=J293,$D$28),IF(LEFT($H293,1)=LEFT(J293,1),$D$26),IF(MID($H293,FIND("|",$H293)+1,FIND("-",$H293)-FIND("|",$H293)-1)-MID($H293,FIND("-",$H293)+1,11)=MID(J293,FIND("|",J293)+1,FIND("-",J293)-FIND("|",J293)-1)-MID(J293,FIND("-",J293)+1,11),$D$27)),)</f>
        <v>0</v>
      </c>
      <c r="L293" s="251"/>
      <c r="M293" s="340"/>
      <c r="N293" s="341">
        <f t="shared" ref="N293" si="545">IFERROR(SUM(IF($H293=M293,$D$28),IF(LEFT($H293,1)=LEFT(M293,1),$D$26),IF(MID($H293,FIND("|",$H293)+1,FIND("-",$H293)-FIND("|",$H293)-1)-MID($H293,FIND("-",$H293)+1,11)=MID(M293,FIND("|",M293)+1,FIND("-",M293)-FIND("|",M293)-1)-MID(M293,FIND("-",M293)+1,11),$D$27)),)</f>
        <v>0</v>
      </c>
      <c r="O293" s="251"/>
      <c r="P293" s="340"/>
      <c r="Q293" s="341">
        <f t="shared" ref="Q293" si="546">IFERROR(SUM(IF($H293=P293,$D$28),IF(LEFT($H293,1)=LEFT(P293,1),$D$26),IF(MID($H293,FIND("|",$H293)+1,FIND("-",$H293)-FIND("|",$H293)-1)-MID($H293,FIND("-",$H293)+1,11)=MID(P293,FIND("|",P293)+1,FIND("-",P293)-FIND("|",P293)-1)-MID(P293,FIND("-",P293)+1,11),$D$27)),)</f>
        <v>0</v>
      </c>
      <c r="R293" s="251"/>
      <c r="S293" s="340"/>
      <c r="T293" s="341">
        <f t="shared" ref="T293" si="547">IFERROR(SUM(IF($H293=S293,$D$28),IF(LEFT($H293,1)=LEFT(S293,1),$D$26),IF(MID($H293,FIND("|",$H293)+1,FIND("-",$H293)-FIND("|",$H293)-1)-MID($H293,FIND("-",$H293)+1,11)=MID(S293,FIND("|",S293)+1,FIND("-",S293)-FIND("|",S293)-1)-MID(S293,FIND("-",S293)+1,11),$D$27)),)</f>
        <v>0</v>
      </c>
      <c r="U293" s="251"/>
      <c r="V293" s="340"/>
      <c r="W293" s="341">
        <f t="shared" ref="W293" si="548">IFERROR(SUM(IF($H293=V293,$D$28),IF(LEFT($H293,1)=LEFT(V293,1),$D$26),IF(MID($H293,FIND("|",$H293)+1,FIND("-",$H293)-FIND("|",$H293)-1)-MID($H293,FIND("-",$H293)+1,11)=MID(V293,FIND("|",V293)+1,FIND("-",V293)-FIND("|",V293)-1)-MID(V293,FIND("-",V293)+1,11),$D$27)),)</f>
        <v>0</v>
      </c>
      <c r="X293" s="251"/>
      <c r="Y293" s="340"/>
      <c r="Z293" s="341">
        <f t="shared" ref="Z293" si="549">IFERROR(SUM(IF($H293=Y293,$D$28),IF(LEFT($H293,1)=LEFT(Y293,1),$D$26),IF(MID($H293,FIND("|",$H293)+1,FIND("-",$H293)-FIND("|",$H293)-1)-MID($H293,FIND("-",$H293)+1,11)=MID(Y293,FIND("|",Y293)+1,FIND("-",Y293)-FIND("|",Y293)-1)-MID(Y293,FIND("-",Y293)+1,11),$D$27)),)</f>
        <v>0</v>
      </c>
      <c r="AA293" s="251"/>
      <c r="AB293" s="340"/>
      <c r="AC293" s="341">
        <f t="shared" ref="AC293" si="550">IFERROR(SUM(IF($H293=AB293,$D$28),IF(LEFT($H293,1)=LEFT(AB293,1),$D$26),IF(MID($H293,FIND("|",$H293)+1,FIND("-",$H293)-FIND("|",$H293)-1)-MID($H293,FIND("-",$H293)+1,11)=MID(AB293,FIND("|",AB293)+1,FIND("-",AB293)-FIND("|",AB293)-1)-MID(AB293,FIND("-",AB293)+1,11),$D$27)),)</f>
        <v>0</v>
      </c>
      <c r="AD293" s="251"/>
      <c r="AE293" s="340"/>
      <c r="AF293" s="341">
        <f t="shared" ref="AF293" si="551">IFERROR(SUM(IF($H293=AE293,$D$28),IF(LEFT($H293,1)=LEFT(AE293,1),$D$26),IF(MID($H293,FIND("|",$H293)+1,FIND("-",$H293)-FIND("|",$H293)-1)-MID($H293,FIND("-",$H293)+1,11)=MID(AE293,FIND("|",AE293)+1,FIND("-",AE293)-FIND("|",AE293)-1)-MID(AE293,FIND("-",AE293)+1,11),$D$27)),)</f>
        <v>0</v>
      </c>
      <c r="AG293" s="251"/>
      <c r="AH293" s="340"/>
      <c r="AI293" s="341">
        <f t="shared" ref="AI293" si="552">IFERROR(SUM(IF($H293=AH293,$D$28),IF(LEFT($H293,1)=LEFT(AH293,1),$D$26),IF(MID($H293,FIND("|",$H293)+1,FIND("-",$H293)-FIND("|",$H293)-1)-MID($H293,FIND("-",$H293)+1,11)=MID(AH293,FIND("|",AH293)+1,FIND("-",AH293)-FIND("|",AH293)-1)-MID(AH293,FIND("-",AH293)+1,11),$D$27)),)</f>
        <v>0</v>
      </c>
      <c r="AJ293" s="251"/>
      <c r="AK293" s="340"/>
      <c r="AL293" s="341">
        <f t="shared" ref="AL293" si="553">IFERROR(SUM(IF($H293=AK293,$D$28),IF(LEFT($H293,1)=LEFT(AK293,1),$D$26),IF(MID($H293,FIND("|",$H293)+1,FIND("-",$H293)-FIND("|",$H293)-1)-MID($H293,FIND("-",$H293)+1,11)=MID(AK293,FIND("|",AK293)+1,FIND("-",AK293)-FIND("|",AK293)-1)-MID(AK293,FIND("-",AK293)+1,11),$D$27)),)</f>
        <v>0</v>
      </c>
      <c r="AM293" s="251"/>
      <c r="AN293" s="340"/>
      <c r="AO293" s="341">
        <f t="shared" ref="AO293" si="554">IFERROR(SUM(IF($H293=AN293,$D$28),IF(LEFT($H293,1)=LEFT(AN293,1),$D$26),IF(MID($H293,FIND("|",$H293)+1,FIND("-",$H293)-FIND("|",$H293)-1)-MID($H293,FIND("-",$H293)+1,11)=MID(AN293,FIND("|",AN293)+1,FIND("-",AN293)-FIND("|",AN293)-1)-MID(AN293,FIND("-",AN293)+1,11),$D$27)),)</f>
        <v>0</v>
      </c>
      <c r="AP293" s="251"/>
      <c r="AQ293" s="340"/>
      <c r="AR293" s="341">
        <f t="shared" ref="AR293" si="555">IFERROR(SUM(IF($H293=AQ293,$D$28),IF(LEFT($H293,1)=LEFT(AQ293,1),$D$26),IF(MID($H293,FIND("|",$H293)+1,FIND("-",$H293)-FIND("|",$H293)-1)-MID($H293,FIND("-",$H293)+1,11)=MID(AQ293,FIND("|",AQ293)+1,FIND("-",AQ293)-FIND("|",AQ293)-1)-MID(AQ293,FIND("-",AQ293)+1,11),$D$27)),)</f>
        <v>0</v>
      </c>
      <c r="AS293" s="251"/>
      <c r="AT293" s="340"/>
      <c r="AU293" s="341">
        <f t="shared" ref="AU293" si="556">IFERROR(SUM(IF($H293=AT293,$D$28),IF(LEFT($H293,1)=LEFT(AT293,1),$D$26),IF(MID($H293,FIND("|",$H293)+1,FIND("-",$H293)-FIND("|",$H293)-1)-MID($H293,FIND("-",$H293)+1,11)=MID(AT293,FIND("|",AT293)+1,FIND("-",AT293)-FIND("|",AT293)-1)-MID(AT293,FIND("-",AT293)+1,11),$D$27)),)</f>
        <v>0</v>
      </c>
      <c r="AV293" s="251"/>
      <c r="AW293" s="340"/>
      <c r="AX293" s="341">
        <f t="shared" ref="AX293" si="557">IFERROR(SUM(IF($H293=AW293,$D$28),IF(LEFT($H293,1)=LEFT(AW293,1),$D$26),IF(MID($H293,FIND("|",$H293)+1,FIND("-",$H293)-FIND("|",$H293)-1)-MID($H293,FIND("-",$H293)+1,11)=MID(AW293,FIND("|",AW293)+1,FIND("-",AW293)-FIND("|",AW293)-1)-MID(AW293,FIND("-",AW293)+1,11),$D$27)),)</f>
        <v>0</v>
      </c>
      <c r="AY293" s="251"/>
      <c r="AZ293" s="340"/>
      <c r="BA293" s="341">
        <f t="shared" ref="BA293" si="558">IFERROR(SUM(IF($H293=AZ293,$D$28),IF(LEFT($H293,1)=LEFT(AZ293,1),$D$26),IF(MID($H293,FIND("|",$H293)+1,FIND("-",$H293)-FIND("|",$H293)-1)-MID($H293,FIND("-",$H293)+1,11)=MID(AZ293,FIND("|",AZ293)+1,FIND("-",AZ293)-FIND("|",AZ293)-1)-MID(AZ293,FIND("-",AZ293)+1,11),$D$27)),)</f>
        <v>0</v>
      </c>
      <c r="BB293" s="251"/>
      <c r="BC293" s="340"/>
      <c r="BD293" s="341">
        <f t="shared" ref="BD293" si="559">IFERROR(SUM(IF($H293=BC293,$D$28),IF(LEFT($H293,1)=LEFT(BC293,1),$D$26),IF(MID($H293,FIND("|",$H293)+1,FIND("-",$H293)-FIND("|",$H293)-1)-MID($H293,FIND("-",$H293)+1,11)=MID(BC293,FIND("|",BC293)+1,FIND("-",BC293)-FIND("|",BC293)-1)-MID(BC293,FIND("-",BC293)+1,11),$D$27)),)</f>
        <v>0</v>
      </c>
      <c r="BE293" s="251"/>
      <c r="BF293" s="340"/>
      <c r="BG293" s="341">
        <f t="shared" ref="BG293" si="560">IFERROR(SUM(IF($H293=BF293,$D$28),IF(LEFT($H293,1)=LEFT(BF293,1),$D$26),IF(MID($H293,FIND("|",$H293)+1,FIND("-",$H293)-FIND("|",$H293)-1)-MID($H293,FIND("-",$H293)+1,11)=MID(BF293,FIND("|",BF293)+1,FIND("-",BF293)-FIND("|",BF293)-1)-MID(BF293,FIND("-",BF293)+1,11),$D$27)),)</f>
        <v>0</v>
      </c>
      <c r="BH293" s="251"/>
      <c r="BI293" s="340"/>
      <c r="BJ293" s="341">
        <f t="shared" ref="BJ293" si="561">IFERROR(SUM(IF($H293=BI293,$D$28),IF(LEFT($H293,1)=LEFT(BI293,1),$D$26),IF(MID($H293,FIND("|",$H293)+1,FIND("-",$H293)-FIND("|",$H293)-1)-MID($H293,FIND("-",$H293)+1,11)=MID(BI293,FIND("|",BI293)+1,FIND("-",BI293)-FIND("|",BI293)-1)-MID(BI293,FIND("-",BI293)+1,11),$D$27)),)</f>
        <v>0</v>
      </c>
      <c r="BK293" s="251"/>
      <c r="BL293" s="340"/>
      <c r="BM293" s="341">
        <f t="shared" ref="BM293" si="562">IFERROR(SUM(IF($H293=BL293,$D$28),IF(LEFT($H293,1)=LEFT(BL293,1),$D$26),IF(MID($H293,FIND("|",$H293)+1,FIND("-",$H293)-FIND("|",$H293)-1)-MID($H293,FIND("-",$H293)+1,11)=MID(BL293,FIND("|",BL293)+1,FIND("-",BL293)-FIND("|",BL293)-1)-MID(BL293,FIND("-",BL293)+1,11),$D$27)),)</f>
        <v>0</v>
      </c>
      <c r="BN293" s="251"/>
      <c r="BO293" s="340"/>
      <c r="BP293" s="341">
        <f t="shared" ref="BP293" si="563">IFERROR(SUM(IF($H293=BO293,$D$28),IF(LEFT($H293,1)=LEFT(BO293,1),$D$26),IF(MID($H293,FIND("|",$H293)+1,FIND("-",$H293)-FIND("|",$H293)-1)-MID($H293,FIND("-",$H293)+1,11)=MID(BO293,FIND("|",BO293)+1,FIND("-",BO293)-FIND("|",BO293)-1)-MID(BO293,FIND("-",BO293)+1,11),$D$27)),)</f>
        <v>0</v>
      </c>
      <c r="BQ293" s="251"/>
      <c r="BR293" s="340"/>
      <c r="BS293" s="341">
        <f t="shared" ref="BS293" si="564">IFERROR(SUM(IF($H293=BR293,$D$28),IF(LEFT($H293,1)=LEFT(BR293,1),$D$26),IF(MID($H293,FIND("|",$H293)+1,FIND("-",$H293)-FIND("|",$H293)-1)-MID($H293,FIND("-",$H293)+1,11)=MID(BR293,FIND("|",BR293)+1,FIND("-",BR293)-FIND("|",BR293)-1)-MID(BR293,FIND("-",BR293)+1,11),$D$27)),)</f>
        <v>0</v>
      </c>
      <c r="BT293" s="251"/>
      <c r="BU293" s="340"/>
      <c r="BV293" s="341">
        <f t="shared" ref="BV293" si="565">IFERROR(SUM(IF($H293=BU293,$D$28),IF(LEFT($H293,1)=LEFT(BU293,1),$D$26),IF(MID($H293,FIND("|",$H293)+1,FIND("-",$H293)-FIND("|",$H293)-1)-MID($H293,FIND("-",$H293)+1,11)=MID(BU293,FIND("|",BU293)+1,FIND("-",BU293)-FIND("|",BU293)-1)-MID(BU293,FIND("-",BU293)+1,11),$D$27)),)</f>
        <v>0</v>
      </c>
      <c r="BW293" s="251"/>
      <c r="BX293" s="340"/>
      <c r="BY293" s="341">
        <f t="shared" ref="BY293" si="566">IFERROR(SUM(IF($H293=BX293,$D$28),IF(LEFT($H293,1)=LEFT(BX293,1),$D$26),IF(MID($H293,FIND("|",$H293)+1,FIND("-",$H293)-FIND("|",$H293)-1)-MID($H293,FIND("-",$H293)+1,11)=MID(BX293,FIND("|",BX293)+1,FIND("-",BX293)-FIND("|",BX293)-1)-MID(BX293,FIND("-",BX293)+1,11),$D$27)),)</f>
        <v>0</v>
      </c>
      <c r="BZ293" s="251"/>
      <c r="CA293" s="340"/>
      <c r="CB293" s="341">
        <f t="shared" ref="CB293" si="567">IFERROR(SUM(IF($H293=CA293,$D$28),IF(LEFT($H293,1)=LEFT(CA293,1),$D$26),IF(MID($H293,FIND("|",$H293)+1,FIND("-",$H293)-FIND("|",$H293)-1)-MID($H293,FIND("-",$H293)+1,11)=MID(CA293,FIND("|",CA293)+1,FIND("-",CA293)-FIND("|",CA293)-1)-MID(CA293,FIND("-",CA293)+1,11),$D$27)),)</f>
        <v>0</v>
      </c>
      <c r="CC293" s="251"/>
      <c r="CD293" s="340"/>
      <c r="CE293" s="341">
        <f t="shared" ref="CE293" si="568">IFERROR(SUM(IF($H293=CD293,$D$28),IF(LEFT($H293,1)=LEFT(CD293,1),$D$26),IF(MID($H293,FIND("|",$H293)+1,FIND("-",$H293)-FIND("|",$H293)-1)-MID($H293,FIND("-",$H293)+1,11)=MID(CD293,FIND("|",CD293)+1,FIND("-",CD293)-FIND("|",CD293)-1)-MID(CD293,FIND("-",CD293)+1,11),$D$27)),)</f>
        <v>0</v>
      </c>
      <c r="CF293" s="251"/>
      <c r="CG293" s="251"/>
      <c r="CH293" s="251"/>
    </row>
    <row r="294" spans="1:86" ht="15" customHeight="1">
      <c r="A294" s="219"/>
      <c r="B294" s="219"/>
      <c r="C294" s="219"/>
      <c r="D294" s="219"/>
      <c r="E294" s="219"/>
      <c r="F294" s="565"/>
      <c r="G294" s="382" t="str">
        <f>CONCATENATE(League!D197,"-",League!K197)</f>
        <v>WQ4-WQ3</v>
      </c>
      <c r="H294" s="386" t="str">
        <f>CONCATENATE(IF(League!G197&gt;League!H197,1,IF(League!G197&lt;League!H197,2,IF(AND(League!G197=League!H197,League!G197&lt;&gt;"",League!H197&lt;&gt;""),"X",0))),"|",League!G197,"-",League!H197)</f>
        <v>0|-</v>
      </c>
      <c r="I294" s="219"/>
      <c r="J294" s="326"/>
      <c r="K294" s="322">
        <f>IFERROR(SUM(IF($H294=J294,$D$28),IF(LEFT($H294,1)=LEFT(J294,1),$D$26),IF(MID($H294,FIND("|",$H294)+1,FIND("-",$H294)-FIND("|",$H294)-1)-MID($H294,FIND("-",$H294)+1,11)=MID(J294,FIND("|",J294)+1,FIND("-",J294)-FIND("|",J294)-1)-MID(J294,FIND("-",J294)+1,11),$D$27)),)</f>
        <v>0</v>
      </c>
      <c r="L294" s="251"/>
      <c r="M294" s="326"/>
      <c r="N294" s="322">
        <f t="shared" ref="N294" si="569">IFERROR(SUM(IF($H294=M294,$D$28),IF(LEFT($H294,1)=LEFT(M294,1),$D$26),IF(MID($H294,FIND("|",$H294)+1,FIND("-",$H294)-FIND("|",$H294)-1)-MID($H294,FIND("-",$H294)+1,11)=MID(M294,FIND("|",M294)+1,FIND("-",M294)-FIND("|",M294)-1)-MID(M294,FIND("-",M294)+1,11),$D$27)),)</f>
        <v>0</v>
      </c>
      <c r="O294" s="251"/>
      <c r="P294" s="326"/>
      <c r="Q294" s="322">
        <f t="shared" ref="Q294" si="570">IFERROR(SUM(IF($H294=P294,$D$28),IF(LEFT($H294,1)=LEFT(P294,1),$D$26),IF(MID($H294,FIND("|",$H294)+1,FIND("-",$H294)-FIND("|",$H294)-1)-MID($H294,FIND("-",$H294)+1,11)=MID(P294,FIND("|",P294)+1,FIND("-",P294)-FIND("|",P294)-1)-MID(P294,FIND("-",P294)+1,11),$D$27)),)</f>
        <v>0</v>
      </c>
      <c r="R294" s="251"/>
      <c r="S294" s="326"/>
      <c r="T294" s="322">
        <f t="shared" ref="T294" si="571">IFERROR(SUM(IF($H294=S294,$D$28),IF(LEFT($H294,1)=LEFT(S294,1),$D$26),IF(MID($H294,FIND("|",$H294)+1,FIND("-",$H294)-FIND("|",$H294)-1)-MID($H294,FIND("-",$H294)+1,11)=MID(S294,FIND("|",S294)+1,FIND("-",S294)-FIND("|",S294)-1)-MID(S294,FIND("-",S294)+1,11),$D$27)),)</f>
        <v>0</v>
      </c>
      <c r="U294" s="251"/>
      <c r="V294" s="326"/>
      <c r="W294" s="322">
        <f t="shared" ref="W294" si="572">IFERROR(SUM(IF($H294=V294,$D$28),IF(LEFT($H294,1)=LEFT(V294,1),$D$26),IF(MID($H294,FIND("|",$H294)+1,FIND("-",$H294)-FIND("|",$H294)-1)-MID($H294,FIND("-",$H294)+1,11)=MID(V294,FIND("|",V294)+1,FIND("-",V294)-FIND("|",V294)-1)-MID(V294,FIND("-",V294)+1,11),$D$27)),)</f>
        <v>0</v>
      </c>
      <c r="X294" s="251"/>
      <c r="Y294" s="326"/>
      <c r="Z294" s="322">
        <f t="shared" ref="Z294" si="573">IFERROR(SUM(IF($H294=Y294,$D$28),IF(LEFT($H294,1)=LEFT(Y294,1),$D$26),IF(MID($H294,FIND("|",$H294)+1,FIND("-",$H294)-FIND("|",$H294)-1)-MID($H294,FIND("-",$H294)+1,11)=MID(Y294,FIND("|",Y294)+1,FIND("-",Y294)-FIND("|",Y294)-1)-MID(Y294,FIND("-",Y294)+1,11),$D$27)),)</f>
        <v>0</v>
      </c>
      <c r="AA294" s="251"/>
      <c r="AB294" s="326"/>
      <c r="AC294" s="322">
        <f t="shared" ref="AC294" si="574">IFERROR(SUM(IF($H294=AB294,$D$28),IF(LEFT($H294,1)=LEFT(AB294,1),$D$26),IF(MID($H294,FIND("|",$H294)+1,FIND("-",$H294)-FIND("|",$H294)-1)-MID($H294,FIND("-",$H294)+1,11)=MID(AB294,FIND("|",AB294)+1,FIND("-",AB294)-FIND("|",AB294)-1)-MID(AB294,FIND("-",AB294)+1,11),$D$27)),)</f>
        <v>0</v>
      </c>
      <c r="AD294" s="251"/>
      <c r="AE294" s="326"/>
      <c r="AF294" s="322">
        <f t="shared" ref="AF294" si="575">IFERROR(SUM(IF($H294=AE294,$D$28),IF(LEFT($H294,1)=LEFT(AE294,1),$D$26),IF(MID($H294,FIND("|",$H294)+1,FIND("-",$H294)-FIND("|",$H294)-1)-MID($H294,FIND("-",$H294)+1,11)=MID(AE294,FIND("|",AE294)+1,FIND("-",AE294)-FIND("|",AE294)-1)-MID(AE294,FIND("-",AE294)+1,11),$D$27)),)</f>
        <v>0</v>
      </c>
      <c r="AG294" s="251"/>
      <c r="AH294" s="326"/>
      <c r="AI294" s="322">
        <f t="shared" ref="AI294" si="576">IFERROR(SUM(IF($H294=AH294,$D$28),IF(LEFT($H294,1)=LEFT(AH294,1),$D$26),IF(MID($H294,FIND("|",$H294)+1,FIND("-",$H294)-FIND("|",$H294)-1)-MID($H294,FIND("-",$H294)+1,11)=MID(AH294,FIND("|",AH294)+1,FIND("-",AH294)-FIND("|",AH294)-1)-MID(AH294,FIND("-",AH294)+1,11),$D$27)),)</f>
        <v>0</v>
      </c>
      <c r="AJ294" s="251"/>
      <c r="AK294" s="326"/>
      <c r="AL294" s="322">
        <f t="shared" ref="AL294" si="577">IFERROR(SUM(IF($H294=AK294,$D$28),IF(LEFT($H294,1)=LEFT(AK294,1),$D$26),IF(MID($H294,FIND("|",$H294)+1,FIND("-",$H294)-FIND("|",$H294)-1)-MID($H294,FIND("-",$H294)+1,11)=MID(AK294,FIND("|",AK294)+1,FIND("-",AK294)-FIND("|",AK294)-1)-MID(AK294,FIND("-",AK294)+1,11),$D$27)),)</f>
        <v>0</v>
      </c>
      <c r="AM294" s="251"/>
      <c r="AN294" s="326"/>
      <c r="AO294" s="322">
        <f t="shared" ref="AO294" si="578">IFERROR(SUM(IF($H294=AN294,$D$28),IF(LEFT($H294,1)=LEFT(AN294,1),$D$26),IF(MID($H294,FIND("|",$H294)+1,FIND("-",$H294)-FIND("|",$H294)-1)-MID($H294,FIND("-",$H294)+1,11)=MID(AN294,FIND("|",AN294)+1,FIND("-",AN294)-FIND("|",AN294)-1)-MID(AN294,FIND("-",AN294)+1,11),$D$27)),)</f>
        <v>0</v>
      </c>
      <c r="AP294" s="251"/>
      <c r="AQ294" s="326"/>
      <c r="AR294" s="322">
        <f t="shared" ref="AR294" si="579">IFERROR(SUM(IF($H294=AQ294,$D$28),IF(LEFT($H294,1)=LEFT(AQ294,1),$D$26),IF(MID($H294,FIND("|",$H294)+1,FIND("-",$H294)-FIND("|",$H294)-1)-MID($H294,FIND("-",$H294)+1,11)=MID(AQ294,FIND("|",AQ294)+1,FIND("-",AQ294)-FIND("|",AQ294)-1)-MID(AQ294,FIND("-",AQ294)+1,11),$D$27)),)</f>
        <v>0</v>
      </c>
      <c r="AS294" s="251"/>
      <c r="AT294" s="326"/>
      <c r="AU294" s="322">
        <f t="shared" ref="AU294" si="580">IFERROR(SUM(IF($H294=AT294,$D$28),IF(LEFT($H294,1)=LEFT(AT294,1),$D$26),IF(MID($H294,FIND("|",$H294)+1,FIND("-",$H294)-FIND("|",$H294)-1)-MID($H294,FIND("-",$H294)+1,11)=MID(AT294,FIND("|",AT294)+1,FIND("-",AT294)-FIND("|",AT294)-1)-MID(AT294,FIND("-",AT294)+1,11),$D$27)),)</f>
        <v>0</v>
      </c>
      <c r="AV294" s="251"/>
      <c r="AW294" s="326"/>
      <c r="AX294" s="322">
        <f t="shared" ref="AX294" si="581">IFERROR(SUM(IF($H294=AW294,$D$28),IF(LEFT($H294,1)=LEFT(AW294,1),$D$26),IF(MID($H294,FIND("|",$H294)+1,FIND("-",$H294)-FIND("|",$H294)-1)-MID($H294,FIND("-",$H294)+1,11)=MID(AW294,FIND("|",AW294)+1,FIND("-",AW294)-FIND("|",AW294)-1)-MID(AW294,FIND("-",AW294)+1,11),$D$27)),)</f>
        <v>0</v>
      </c>
      <c r="AY294" s="251"/>
      <c r="AZ294" s="326"/>
      <c r="BA294" s="322">
        <f t="shared" ref="BA294" si="582">IFERROR(SUM(IF($H294=AZ294,$D$28),IF(LEFT($H294,1)=LEFT(AZ294,1),$D$26),IF(MID($H294,FIND("|",$H294)+1,FIND("-",$H294)-FIND("|",$H294)-1)-MID($H294,FIND("-",$H294)+1,11)=MID(AZ294,FIND("|",AZ294)+1,FIND("-",AZ294)-FIND("|",AZ294)-1)-MID(AZ294,FIND("-",AZ294)+1,11),$D$27)),)</f>
        <v>0</v>
      </c>
      <c r="BB294" s="251"/>
      <c r="BC294" s="326"/>
      <c r="BD294" s="322">
        <f t="shared" ref="BD294" si="583">IFERROR(SUM(IF($H294=BC294,$D$28),IF(LEFT($H294,1)=LEFT(BC294,1),$D$26),IF(MID($H294,FIND("|",$H294)+1,FIND("-",$H294)-FIND("|",$H294)-1)-MID($H294,FIND("-",$H294)+1,11)=MID(BC294,FIND("|",BC294)+1,FIND("-",BC294)-FIND("|",BC294)-1)-MID(BC294,FIND("-",BC294)+1,11),$D$27)),)</f>
        <v>0</v>
      </c>
      <c r="BE294" s="251"/>
      <c r="BF294" s="326"/>
      <c r="BG294" s="322">
        <f t="shared" ref="BG294" si="584">IFERROR(SUM(IF($H294=BF294,$D$28),IF(LEFT($H294,1)=LEFT(BF294,1),$D$26),IF(MID($H294,FIND("|",$H294)+1,FIND("-",$H294)-FIND("|",$H294)-1)-MID($H294,FIND("-",$H294)+1,11)=MID(BF294,FIND("|",BF294)+1,FIND("-",BF294)-FIND("|",BF294)-1)-MID(BF294,FIND("-",BF294)+1,11),$D$27)),)</f>
        <v>0</v>
      </c>
      <c r="BH294" s="251"/>
      <c r="BI294" s="326"/>
      <c r="BJ294" s="322">
        <f t="shared" ref="BJ294" si="585">IFERROR(SUM(IF($H294=BI294,$D$28),IF(LEFT($H294,1)=LEFT(BI294,1),$D$26),IF(MID($H294,FIND("|",$H294)+1,FIND("-",$H294)-FIND("|",$H294)-1)-MID($H294,FIND("-",$H294)+1,11)=MID(BI294,FIND("|",BI294)+1,FIND("-",BI294)-FIND("|",BI294)-1)-MID(BI294,FIND("-",BI294)+1,11),$D$27)),)</f>
        <v>0</v>
      </c>
      <c r="BK294" s="251"/>
      <c r="BL294" s="326"/>
      <c r="BM294" s="322">
        <f t="shared" ref="BM294" si="586">IFERROR(SUM(IF($H294=BL294,$D$28),IF(LEFT($H294,1)=LEFT(BL294,1),$D$26),IF(MID($H294,FIND("|",$H294)+1,FIND("-",$H294)-FIND("|",$H294)-1)-MID($H294,FIND("-",$H294)+1,11)=MID(BL294,FIND("|",BL294)+1,FIND("-",BL294)-FIND("|",BL294)-1)-MID(BL294,FIND("-",BL294)+1,11),$D$27)),)</f>
        <v>0</v>
      </c>
      <c r="BN294" s="251"/>
      <c r="BO294" s="326"/>
      <c r="BP294" s="322">
        <f t="shared" ref="BP294" si="587">IFERROR(SUM(IF($H294=BO294,$D$28),IF(LEFT($H294,1)=LEFT(BO294,1),$D$26),IF(MID($H294,FIND("|",$H294)+1,FIND("-",$H294)-FIND("|",$H294)-1)-MID($H294,FIND("-",$H294)+1,11)=MID(BO294,FIND("|",BO294)+1,FIND("-",BO294)-FIND("|",BO294)-1)-MID(BO294,FIND("-",BO294)+1,11),$D$27)),)</f>
        <v>0</v>
      </c>
      <c r="BQ294" s="251"/>
      <c r="BR294" s="326"/>
      <c r="BS294" s="322">
        <f t="shared" ref="BS294" si="588">IFERROR(SUM(IF($H294=BR294,$D$28),IF(LEFT($H294,1)=LEFT(BR294,1),$D$26),IF(MID($H294,FIND("|",$H294)+1,FIND("-",$H294)-FIND("|",$H294)-1)-MID($H294,FIND("-",$H294)+1,11)=MID(BR294,FIND("|",BR294)+1,FIND("-",BR294)-FIND("|",BR294)-1)-MID(BR294,FIND("-",BR294)+1,11),$D$27)),)</f>
        <v>0</v>
      </c>
      <c r="BT294" s="251"/>
      <c r="BU294" s="326"/>
      <c r="BV294" s="322">
        <f t="shared" ref="BV294" si="589">IFERROR(SUM(IF($H294=BU294,$D$28),IF(LEFT($H294,1)=LEFT(BU294,1),$D$26),IF(MID($H294,FIND("|",$H294)+1,FIND("-",$H294)-FIND("|",$H294)-1)-MID($H294,FIND("-",$H294)+1,11)=MID(BU294,FIND("|",BU294)+1,FIND("-",BU294)-FIND("|",BU294)-1)-MID(BU294,FIND("-",BU294)+1,11),$D$27)),)</f>
        <v>0</v>
      </c>
      <c r="BW294" s="251"/>
      <c r="BX294" s="326"/>
      <c r="BY294" s="322">
        <f t="shared" ref="BY294" si="590">IFERROR(SUM(IF($H294=BX294,$D$28),IF(LEFT($H294,1)=LEFT(BX294,1),$D$26),IF(MID($H294,FIND("|",$H294)+1,FIND("-",$H294)-FIND("|",$H294)-1)-MID($H294,FIND("-",$H294)+1,11)=MID(BX294,FIND("|",BX294)+1,FIND("-",BX294)-FIND("|",BX294)-1)-MID(BX294,FIND("-",BX294)+1,11),$D$27)),)</f>
        <v>0</v>
      </c>
      <c r="BZ294" s="251"/>
      <c r="CA294" s="326"/>
      <c r="CB294" s="322">
        <f t="shared" ref="CB294" si="591">IFERROR(SUM(IF($H294=CA294,$D$28),IF(LEFT($H294,1)=LEFT(CA294,1),$D$26),IF(MID($H294,FIND("|",$H294)+1,FIND("-",$H294)-FIND("|",$H294)-1)-MID($H294,FIND("-",$H294)+1,11)=MID(CA294,FIND("|",CA294)+1,FIND("-",CA294)-FIND("|",CA294)-1)-MID(CA294,FIND("-",CA294)+1,11),$D$27)),)</f>
        <v>0</v>
      </c>
      <c r="CC294" s="251"/>
      <c r="CD294" s="326"/>
      <c r="CE294" s="322">
        <f t="shared" ref="CE294" si="592">IFERROR(SUM(IF($H294=CD294,$D$28),IF(LEFT($H294,1)=LEFT(CD294,1),$D$26),IF(MID($H294,FIND("|",$H294)+1,FIND("-",$H294)-FIND("|",$H294)-1)-MID($H294,FIND("-",$H294)+1,11)=MID(CD294,FIND("|",CD294)+1,FIND("-",CD294)-FIND("|",CD294)-1)-MID(CD294,FIND("-",CD294)+1,11),$D$27)),)</f>
        <v>0</v>
      </c>
      <c r="CF294" s="251"/>
      <c r="CG294" s="251"/>
      <c r="CH294" s="251"/>
    </row>
    <row r="295" spans="1:86" s="369" customFormat="1">
      <c r="A295" s="265"/>
      <c r="B295" s="265"/>
      <c r="C295" s="265"/>
      <c r="D295" s="265"/>
      <c r="E295" s="265"/>
      <c r="F295" s="265"/>
      <c r="G295" s="265"/>
      <c r="H295" s="265"/>
      <c r="I295" s="265"/>
      <c r="J295" s="368"/>
      <c r="K295" s="265" t="str">
        <f>CONCATENATE(SUM(K291:K294),"/",SUM($D$26:$D$28)*COUNT(K291:K294))</f>
        <v>0/0</v>
      </c>
      <c r="L295" s="265"/>
      <c r="M295" s="368"/>
      <c r="N295" s="265" t="str">
        <f t="shared" ref="N295" si="593">CONCATENATE(SUM(N291:N294),"/",SUM($D$26:$D$28)*COUNT(N291:N294))</f>
        <v>0/0</v>
      </c>
      <c r="O295" s="265"/>
      <c r="P295" s="368"/>
      <c r="Q295" s="265" t="str">
        <f t="shared" ref="Q295" si="594">CONCATENATE(SUM(Q291:Q294),"/",SUM($D$26:$D$28)*COUNT(Q291:Q294))</f>
        <v>0/0</v>
      </c>
      <c r="R295" s="265"/>
      <c r="S295" s="368"/>
      <c r="T295" s="265" t="str">
        <f t="shared" ref="T295" si="595">CONCATENATE(SUM(T291:T294),"/",SUM($D$26:$D$28)*COUNT(T291:T294))</f>
        <v>0/0</v>
      </c>
      <c r="U295" s="265"/>
      <c r="V295" s="368"/>
      <c r="W295" s="265" t="str">
        <f t="shared" ref="W295" si="596">CONCATENATE(SUM(W291:W294),"/",SUM($D$26:$D$28)*COUNT(W291:W294))</f>
        <v>0/0</v>
      </c>
      <c r="X295" s="265"/>
      <c r="Y295" s="368"/>
      <c r="Z295" s="265" t="str">
        <f t="shared" ref="Z295" si="597">CONCATENATE(SUM(Z291:Z294),"/",SUM($D$26:$D$28)*COUNT(Z291:Z294))</f>
        <v>0/0</v>
      </c>
      <c r="AA295" s="265"/>
      <c r="AB295" s="368"/>
      <c r="AC295" s="265" t="str">
        <f t="shared" ref="AC295" si="598">CONCATENATE(SUM(AC291:AC294),"/",SUM($D$26:$D$28)*COUNT(AC291:AC294))</f>
        <v>0/0</v>
      </c>
      <c r="AD295" s="265"/>
      <c r="AE295" s="368"/>
      <c r="AF295" s="265" t="str">
        <f t="shared" ref="AF295" si="599">CONCATENATE(SUM(AF291:AF294),"/",SUM($D$26:$D$28)*COUNT(AF291:AF294))</f>
        <v>0/0</v>
      </c>
      <c r="AG295" s="265"/>
      <c r="AH295" s="368"/>
      <c r="AI295" s="265" t="str">
        <f t="shared" ref="AI295" si="600">CONCATENATE(SUM(AI291:AI294),"/",SUM($D$26:$D$28)*COUNT(AI291:AI294))</f>
        <v>0/0</v>
      </c>
      <c r="AJ295" s="265"/>
      <c r="AK295" s="368"/>
      <c r="AL295" s="265" t="str">
        <f t="shared" ref="AL295" si="601">CONCATENATE(SUM(AL291:AL294),"/",SUM($D$26:$D$28)*COUNT(AL291:AL294))</f>
        <v>0/0</v>
      </c>
      <c r="AM295" s="265"/>
      <c r="AN295" s="368"/>
      <c r="AO295" s="265" t="str">
        <f t="shared" ref="AO295" si="602">CONCATENATE(SUM(AO291:AO294),"/",SUM($D$26:$D$28)*COUNT(AO291:AO294))</f>
        <v>0/0</v>
      </c>
      <c r="AP295" s="265"/>
      <c r="AQ295" s="368"/>
      <c r="AR295" s="265" t="str">
        <f t="shared" ref="AR295" si="603">CONCATENATE(SUM(AR291:AR294),"/",SUM($D$26:$D$28)*COUNT(AR291:AR294))</f>
        <v>0/0</v>
      </c>
      <c r="AS295" s="265"/>
      <c r="AT295" s="368"/>
      <c r="AU295" s="265" t="str">
        <f t="shared" ref="AU295" si="604">CONCATENATE(SUM(AU291:AU294),"/",SUM($D$26:$D$28)*COUNT(AU291:AU294))</f>
        <v>0/0</v>
      </c>
      <c r="AV295" s="265"/>
      <c r="AW295" s="368"/>
      <c r="AX295" s="265" t="str">
        <f t="shared" ref="AX295" si="605">CONCATENATE(SUM(AX291:AX294),"/",SUM($D$26:$D$28)*COUNT(AX291:AX294))</f>
        <v>0/0</v>
      </c>
      <c r="AY295" s="265"/>
      <c r="AZ295" s="368"/>
      <c r="BA295" s="265" t="str">
        <f t="shared" ref="BA295" si="606">CONCATENATE(SUM(BA291:BA294),"/",SUM($D$26:$D$28)*COUNT(BA291:BA294))</f>
        <v>0/0</v>
      </c>
      <c r="BB295" s="265"/>
      <c r="BC295" s="368"/>
      <c r="BD295" s="265" t="str">
        <f t="shared" ref="BD295" si="607">CONCATENATE(SUM(BD291:BD294),"/",SUM($D$26:$D$28)*COUNT(BD291:BD294))</f>
        <v>0/0</v>
      </c>
      <c r="BE295" s="265"/>
      <c r="BF295" s="368"/>
      <c r="BG295" s="265" t="str">
        <f t="shared" ref="BG295" si="608">CONCATENATE(SUM(BG291:BG294),"/",SUM($D$26:$D$28)*COUNT(BG291:BG294))</f>
        <v>0/0</v>
      </c>
      <c r="BH295" s="265"/>
      <c r="BI295" s="368"/>
      <c r="BJ295" s="265" t="str">
        <f t="shared" ref="BJ295" si="609">CONCATENATE(SUM(BJ291:BJ294),"/",SUM($D$26:$D$28)*COUNT(BJ291:BJ294))</f>
        <v>0/0</v>
      </c>
      <c r="BK295" s="265"/>
      <c r="BL295" s="368"/>
      <c r="BM295" s="265" t="str">
        <f t="shared" ref="BM295" si="610">CONCATENATE(SUM(BM291:BM294),"/",SUM($D$26:$D$28)*COUNT(BM291:BM294))</f>
        <v>0/0</v>
      </c>
      <c r="BN295" s="265"/>
      <c r="BO295" s="368"/>
      <c r="BP295" s="265" t="str">
        <f t="shared" ref="BP295" si="611">CONCATENATE(SUM(BP291:BP294),"/",SUM($D$26:$D$28)*COUNT(BP291:BP294))</f>
        <v>0/0</v>
      </c>
      <c r="BQ295" s="265"/>
      <c r="BR295" s="368"/>
      <c r="BS295" s="265" t="str">
        <f t="shared" ref="BS295" si="612">CONCATENATE(SUM(BS291:BS294),"/",SUM($D$26:$D$28)*COUNT(BS291:BS294))</f>
        <v>0/0</v>
      </c>
      <c r="BT295" s="265"/>
      <c r="BU295" s="368"/>
      <c r="BV295" s="265" t="str">
        <f t="shared" ref="BV295" si="613">CONCATENATE(SUM(BV291:BV294),"/",SUM($D$26:$D$28)*COUNT(BV291:BV294))</f>
        <v>0/0</v>
      </c>
      <c r="BW295" s="265"/>
      <c r="BX295" s="368"/>
      <c r="BY295" s="265" t="str">
        <f t="shared" ref="BY295" si="614">CONCATENATE(SUM(BY291:BY294),"/",SUM($D$26:$D$28)*COUNT(BY291:BY294))</f>
        <v>0/0</v>
      </c>
      <c r="BZ295" s="265"/>
      <c r="CA295" s="368"/>
      <c r="CB295" s="265" t="str">
        <f t="shared" ref="CB295" si="615">CONCATENATE(SUM(CB291:CB294),"/",SUM($D$26:$D$28)*COUNT(CB291:CB294))</f>
        <v>0/0</v>
      </c>
      <c r="CC295" s="265"/>
      <c r="CD295" s="368"/>
      <c r="CE295" s="265" t="str">
        <f t="shared" ref="CE295" si="616">CONCATENATE(SUM(CE291:CE294),"/",SUM($D$26:$D$28)*COUNT(CE291:CE294))</f>
        <v>0/0</v>
      </c>
      <c r="CF295" s="265"/>
      <c r="CG295" s="265"/>
      <c r="CH295" s="265"/>
    </row>
    <row r="296" spans="1:86" ht="15.95" customHeight="1">
      <c r="A296" s="265"/>
      <c r="B296" s="265"/>
      <c r="C296" s="265"/>
      <c r="D296" s="265"/>
      <c r="E296" s="265"/>
      <c r="F296" s="265"/>
      <c r="G296" s="316" t="str">
        <f>+UPPER(Idiomas!D230)</f>
        <v>CLASIFICADOS PARA LA FINAL</v>
      </c>
      <c r="H296" s="370"/>
      <c r="I296" s="219"/>
      <c r="J296" s="371"/>
      <c r="K296" s="219"/>
      <c r="L296" s="251"/>
      <c r="M296" s="371"/>
      <c r="N296" s="219"/>
      <c r="O296" s="251"/>
      <c r="P296" s="371"/>
      <c r="Q296" s="219"/>
      <c r="R296" s="251"/>
      <c r="S296" s="371"/>
      <c r="T296" s="219"/>
      <c r="U296" s="251"/>
      <c r="V296" s="371"/>
      <c r="W296" s="219"/>
      <c r="X296" s="251"/>
      <c r="Y296" s="371"/>
      <c r="Z296" s="219"/>
      <c r="AA296" s="251"/>
      <c r="AB296" s="371"/>
      <c r="AC296" s="219"/>
      <c r="AD296" s="251"/>
      <c r="AE296" s="371"/>
      <c r="AF296" s="219"/>
      <c r="AG296" s="251"/>
      <c r="AH296" s="371"/>
      <c r="AI296" s="219"/>
      <c r="AJ296" s="251"/>
      <c r="AK296" s="371"/>
      <c r="AL296" s="219"/>
      <c r="AM296" s="251"/>
      <c r="AN296" s="371"/>
      <c r="AO296" s="219"/>
      <c r="AP296" s="251"/>
      <c r="AQ296" s="371"/>
      <c r="AR296" s="219"/>
      <c r="AS296" s="251"/>
      <c r="AT296" s="371"/>
      <c r="AU296" s="219"/>
      <c r="AV296" s="251"/>
      <c r="AW296" s="371"/>
      <c r="AX296" s="219"/>
      <c r="AY296" s="251"/>
      <c r="AZ296" s="371"/>
      <c r="BA296" s="219"/>
      <c r="BB296" s="251"/>
      <c r="BC296" s="371"/>
      <c r="BD296" s="219"/>
      <c r="BE296" s="251"/>
      <c r="BF296" s="371"/>
      <c r="BG296" s="219"/>
      <c r="BH296" s="251"/>
      <c r="BI296" s="371"/>
      <c r="BJ296" s="219"/>
      <c r="BK296" s="251"/>
      <c r="BL296" s="371"/>
      <c r="BM296" s="219"/>
      <c r="BN296" s="251"/>
      <c r="BO296" s="371"/>
      <c r="BP296" s="219"/>
      <c r="BQ296" s="251"/>
      <c r="BR296" s="371"/>
      <c r="BS296" s="219"/>
      <c r="BT296" s="251"/>
      <c r="BU296" s="371"/>
      <c r="BV296" s="219"/>
      <c r="BW296" s="251"/>
      <c r="BX296" s="371"/>
      <c r="BY296" s="219"/>
      <c r="BZ296" s="251"/>
      <c r="CA296" s="371"/>
      <c r="CB296" s="219"/>
      <c r="CC296" s="251"/>
      <c r="CD296" s="371"/>
      <c r="CE296" s="219"/>
      <c r="CF296" s="251"/>
      <c r="CG296" s="251"/>
      <c r="CH296" s="251"/>
    </row>
    <row r="297" spans="1:86" ht="15" customHeight="1">
      <c r="A297" s="265"/>
      <c r="B297" s="265"/>
      <c r="C297" s="265"/>
      <c r="D297" s="265"/>
      <c r="E297" s="265"/>
      <c r="F297" s="565" t="s">
        <v>100</v>
      </c>
      <c r="G297" s="374" t="str">
        <f>+Idiomas!$D$279</f>
        <v>Finalista</v>
      </c>
      <c r="H297" s="320" t="str">
        <f>+League!P195</f>
        <v>WS1</v>
      </c>
      <c r="I297" s="219"/>
      <c r="J297" s="326"/>
      <c r="K297" s="322">
        <f>COUNTIF($H$297:$H$298,J297)*$D$29</f>
        <v>0</v>
      </c>
      <c r="L297" s="251"/>
      <c r="M297" s="326"/>
      <c r="N297" s="322">
        <f t="shared" ref="N297" si="617">COUNTIF($H$297:$H$298,M297)*$D$29</f>
        <v>0</v>
      </c>
      <c r="O297" s="251"/>
      <c r="P297" s="326"/>
      <c r="Q297" s="322">
        <f t="shared" ref="Q297" si="618">COUNTIF($H$297:$H$298,P297)*$D$29</f>
        <v>0</v>
      </c>
      <c r="R297" s="251"/>
      <c r="S297" s="326"/>
      <c r="T297" s="322">
        <f t="shared" ref="T297" si="619">COUNTIF($H$297:$H$298,S297)*$D$29</f>
        <v>0</v>
      </c>
      <c r="U297" s="251"/>
      <c r="V297" s="326"/>
      <c r="W297" s="322">
        <f t="shared" ref="W297" si="620">COUNTIF($H$297:$H$298,V297)*$D$29</f>
        <v>0</v>
      </c>
      <c r="X297" s="251"/>
      <c r="Y297" s="326"/>
      <c r="Z297" s="322">
        <f t="shared" ref="Z297" si="621">COUNTIF($H$297:$H$298,Y297)*$D$29</f>
        <v>0</v>
      </c>
      <c r="AA297" s="251"/>
      <c r="AB297" s="326"/>
      <c r="AC297" s="322">
        <f t="shared" ref="AC297" si="622">COUNTIF($H$297:$H$298,AB297)*$D$29</f>
        <v>0</v>
      </c>
      <c r="AD297" s="251"/>
      <c r="AE297" s="326"/>
      <c r="AF297" s="322">
        <f t="shared" ref="AF297" si="623">COUNTIF($H$297:$H$298,AE297)*$D$29</f>
        <v>0</v>
      </c>
      <c r="AG297" s="251"/>
      <c r="AH297" s="326"/>
      <c r="AI297" s="322">
        <f t="shared" ref="AI297" si="624">COUNTIF($H$297:$H$298,AH297)*$D$29</f>
        <v>0</v>
      </c>
      <c r="AJ297" s="251"/>
      <c r="AK297" s="326"/>
      <c r="AL297" s="322">
        <f t="shared" ref="AL297" si="625">COUNTIF($H$297:$H$298,AK297)*$D$29</f>
        <v>0</v>
      </c>
      <c r="AM297" s="251"/>
      <c r="AN297" s="326"/>
      <c r="AO297" s="322">
        <f t="shared" ref="AO297" si="626">COUNTIF($H$297:$H$298,AN297)*$D$29</f>
        <v>0</v>
      </c>
      <c r="AP297" s="251"/>
      <c r="AQ297" s="326"/>
      <c r="AR297" s="322">
        <f t="shared" ref="AR297" si="627">COUNTIF($H$297:$H$298,AQ297)*$D$29</f>
        <v>0</v>
      </c>
      <c r="AS297" s="251"/>
      <c r="AT297" s="326"/>
      <c r="AU297" s="322">
        <f t="shared" ref="AU297" si="628">COUNTIF($H$297:$H$298,AT297)*$D$29</f>
        <v>0</v>
      </c>
      <c r="AV297" s="251"/>
      <c r="AW297" s="326"/>
      <c r="AX297" s="322">
        <f t="shared" ref="AX297" si="629">COUNTIF($H$297:$H$298,AW297)*$D$29</f>
        <v>0</v>
      </c>
      <c r="AY297" s="251"/>
      <c r="AZ297" s="326"/>
      <c r="BA297" s="322">
        <f t="shared" ref="BA297" si="630">COUNTIF($H$297:$H$298,AZ297)*$D$29</f>
        <v>0</v>
      </c>
      <c r="BB297" s="251"/>
      <c r="BC297" s="326"/>
      <c r="BD297" s="322">
        <f t="shared" ref="BD297" si="631">COUNTIF($H$297:$H$298,BC297)*$D$29</f>
        <v>0</v>
      </c>
      <c r="BE297" s="251"/>
      <c r="BF297" s="326"/>
      <c r="BG297" s="322">
        <f t="shared" ref="BG297" si="632">COUNTIF($H$297:$H$298,BF297)*$D$29</f>
        <v>0</v>
      </c>
      <c r="BH297" s="251"/>
      <c r="BI297" s="326"/>
      <c r="BJ297" s="322">
        <f t="shared" ref="BJ297" si="633">COUNTIF($H$297:$H$298,BI297)*$D$29</f>
        <v>0</v>
      </c>
      <c r="BK297" s="251"/>
      <c r="BL297" s="326"/>
      <c r="BM297" s="322">
        <f t="shared" ref="BM297" si="634">COUNTIF($H$297:$H$298,BL297)*$D$29</f>
        <v>0</v>
      </c>
      <c r="BN297" s="251"/>
      <c r="BO297" s="326"/>
      <c r="BP297" s="322">
        <f t="shared" ref="BP297" si="635">COUNTIF($H$297:$H$298,BO297)*$D$29</f>
        <v>0</v>
      </c>
      <c r="BQ297" s="251"/>
      <c r="BR297" s="326"/>
      <c r="BS297" s="322">
        <f t="shared" ref="BS297" si="636">COUNTIF($H$297:$H$298,BR297)*$D$29</f>
        <v>0</v>
      </c>
      <c r="BT297" s="251"/>
      <c r="BU297" s="326"/>
      <c r="BV297" s="322">
        <f t="shared" ref="BV297" si="637">COUNTIF($H$297:$H$298,BU297)*$D$29</f>
        <v>0</v>
      </c>
      <c r="BW297" s="251"/>
      <c r="BX297" s="326"/>
      <c r="BY297" s="322">
        <f t="shared" ref="BY297" si="638">COUNTIF($H$297:$H$298,BX297)*$D$29</f>
        <v>0</v>
      </c>
      <c r="BZ297" s="251"/>
      <c r="CA297" s="326"/>
      <c r="CB297" s="322">
        <f t="shared" ref="CB297" si="639">COUNTIF($H$297:$H$298,CA297)*$D$29</f>
        <v>0</v>
      </c>
      <c r="CC297" s="251"/>
      <c r="CD297" s="326"/>
      <c r="CE297" s="322">
        <f t="shared" ref="CE297" si="640">COUNTIF($H$297:$H$298,CD297)*$D$29</f>
        <v>0</v>
      </c>
      <c r="CF297" s="251"/>
      <c r="CG297" s="251"/>
      <c r="CH297" s="251"/>
    </row>
    <row r="298" spans="1:86" ht="15" customHeight="1">
      <c r="A298" s="265"/>
      <c r="B298" s="265"/>
      <c r="C298" s="265"/>
      <c r="D298" s="265"/>
      <c r="E298" s="265"/>
      <c r="F298" s="565"/>
      <c r="G298" s="374" t="str">
        <f>+Idiomas!$D$279</f>
        <v>Finalista</v>
      </c>
      <c r="H298" s="320" t="str">
        <f>+League!P197</f>
        <v>WS2</v>
      </c>
      <c r="I298" s="219"/>
      <c r="J298" s="326"/>
      <c r="K298" s="322">
        <f>COUNTIF($H$297:$H$298,J298)*$D$29</f>
        <v>0</v>
      </c>
      <c r="L298" s="251"/>
      <c r="M298" s="326"/>
      <c r="N298" s="322">
        <f t="shared" ref="N298" si="641">COUNTIF($H$297:$H$298,M298)*$D$29</f>
        <v>0</v>
      </c>
      <c r="O298" s="251"/>
      <c r="P298" s="326"/>
      <c r="Q298" s="322">
        <f t="shared" ref="Q298" si="642">COUNTIF($H$297:$H$298,P298)*$D$29</f>
        <v>0</v>
      </c>
      <c r="R298" s="251"/>
      <c r="S298" s="326"/>
      <c r="T298" s="322">
        <f t="shared" ref="T298" si="643">COUNTIF($H$297:$H$298,S298)*$D$29</f>
        <v>0</v>
      </c>
      <c r="U298" s="251"/>
      <c r="V298" s="326"/>
      <c r="W298" s="322">
        <f t="shared" ref="W298" si="644">COUNTIF($H$297:$H$298,V298)*$D$29</f>
        <v>0</v>
      </c>
      <c r="X298" s="251"/>
      <c r="Y298" s="326"/>
      <c r="Z298" s="322">
        <f t="shared" ref="Z298" si="645">COUNTIF($H$297:$H$298,Y298)*$D$29</f>
        <v>0</v>
      </c>
      <c r="AA298" s="251"/>
      <c r="AB298" s="326"/>
      <c r="AC298" s="322">
        <f t="shared" ref="AC298" si="646">COUNTIF($H$297:$H$298,AB298)*$D$29</f>
        <v>0</v>
      </c>
      <c r="AD298" s="251"/>
      <c r="AE298" s="326"/>
      <c r="AF298" s="322">
        <f t="shared" ref="AF298" si="647">COUNTIF($H$297:$H$298,AE298)*$D$29</f>
        <v>0</v>
      </c>
      <c r="AG298" s="251"/>
      <c r="AH298" s="326"/>
      <c r="AI298" s="322">
        <f t="shared" ref="AI298" si="648">COUNTIF($H$297:$H$298,AH298)*$D$29</f>
        <v>0</v>
      </c>
      <c r="AJ298" s="251"/>
      <c r="AK298" s="326"/>
      <c r="AL298" s="322">
        <f t="shared" ref="AL298" si="649">COUNTIF($H$297:$H$298,AK298)*$D$29</f>
        <v>0</v>
      </c>
      <c r="AM298" s="251"/>
      <c r="AN298" s="326"/>
      <c r="AO298" s="322">
        <f t="shared" ref="AO298" si="650">COUNTIF($H$297:$H$298,AN298)*$D$29</f>
        <v>0</v>
      </c>
      <c r="AP298" s="251"/>
      <c r="AQ298" s="326"/>
      <c r="AR298" s="322">
        <f t="shared" ref="AR298" si="651">COUNTIF($H$297:$H$298,AQ298)*$D$29</f>
        <v>0</v>
      </c>
      <c r="AS298" s="251"/>
      <c r="AT298" s="326"/>
      <c r="AU298" s="322">
        <f t="shared" ref="AU298" si="652">COUNTIF($H$297:$H$298,AT298)*$D$29</f>
        <v>0</v>
      </c>
      <c r="AV298" s="251"/>
      <c r="AW298" s="326"/>
      <c r="AX298" s="322">
        <f t="shared" ref="AX298" si="653">COUNTIF($H$297:$H$298,AW298)*$D$29</f>
        <v>0</v>
      </c>
      <c r="AY298" s="251"/>
      <c r="AZ298" s="326"/>
      <c r="BA298" s="322">
        <f t="shared" ref="BA298" si="654">COUNTIF($H$297:$H$298,AZ298)*$D$29</f>
        <v>0</v>
      </c>
      <c r="BB298" s="251"/>
      <c r="BC298" s="326"/>
      <c r="BD298" s="322">
        <f t="shared" ref="BD298" si="655">COUNTIF($H$297:$H$298,BC298)*$D$29</f>
        <v>0</v>
      </c>
      <c r="BE298" s="251"/>
      <c r="BF298" s="326"/>
      <c r="BG298" s="322">
        <f t="shared" ref="BG298" si="656">COUNTIF($H$297:$H$298,BF298)*$D$29</f>
        <v>0</v>
      </c>
      <c r="BH298" s="251"/>
      <c r="BI298" s="326"/>
      <c r="BJ298" s="322">
        <f t="shared" ref="BJ298" si="657">COUNTIF($H$297:$H$298,BI298)*$D$29</f>
        <v>0</v>
      </c>
      <c r="BK298" s="251"/>
      <c r="BL298" s="326"/>
      <c r="BM298" s="322">
        <f t="shared" ref="BM298" si="658">COUNTIF($H$297:$H$298,BL298)*$D$29</f>
        <v>0</v>
      </c>
      <c r="BN298" s="251"/>
      <c r="BO298" s="326"/>
      <c r="BP298" s="322">
        <f t="shared" ref="BP298" si="659">COUNTIF($H$297:$H$298,BO298)*$D$29</f>
        <v>0</v>
      </c>
      <c r="BQ298" s="251"/>
      <c r="BR298" s="326"/>
      <c r="BS298" s="322">
        <f t="shared" ref="BS298" si="660">COUNTIF($H$297:$H$298,BR298)*$D$29</f>
        <v>0</v>
      </c>
      <c r="BT298" s="251"/>
      <c r="BU298" s="326"/>
      <c r="BV298" s="322">
        <f t="shared" ref="BV298" si="661">COUNTIF($H$297:$H$298,BU298)*$D$29</f>
        <v>0</v>
      </c>
      <c r="BW298" s="251"/>
      <c r="BX298" s="326"/>
      <c r="BY298" s="322">
        <f t="shared" ref="BY298" si="662">COUNTIF($H$297:$H$298,BX298)*$D$29</f>
        <v>0</v>
      </c>
      <c r="BZ298" s="251"/>
      <c r="CA298" s="326"/>
      <c r="CB298" s="322">
        <f t="shared" ref="CB298" si="663">COUNTIF($H$297:$H$298,CA298)*$D$29</f>
        <v>0</v>
      </c>
      <c r="CC298" s="251"/>
      <c r="CD298" s="326"/>
      <c r="CE298" s="322">
        <f t="shared" ref="CE298" si="664">COUNTIF($H$297:$H$298,CD298)*$D$29</f>
        <v>0</v>
      </c>
      <c r="CF298" s="251"/>
      <c r="CG298" s="251"/>
      <c r="CH298" s="251"/>
    </row>
    <row r="299" spans="1:86" ht="15" customHeight="1">
      <c r="A299" s="265"/>
      <c r="B299" s="265"/>
      <c r="C299" s="265"/>
      <c r="D299" s="265"/>
      <c r="E299" s="265"/>
      <c r="F299" s="265"/>
      <c r="G299" s="265"/>
      <c r="H299" s="265"/>
      <c r="I299" s="265"/>
      <c r="J299" s="368"/>
      <c r="K299" s="265" t="str">
        <f>CONCATENATE(SUM(K297:K298),"/",$D$29*2)</f>
        <v>0/0</v>
      </c>
      <c r="L299" s="265"/>
      <c r="M299" s="368"/>
      <c r="N299" s="265" t="str">
        <f t="shared" ref="N299" si="665">CONCATENATE(SUM(N297:N298),"/",$D$29*2)</f>
        <v>0/0</v>
      </c>
      <c r="O299" s="265"/>
      <c r="P299" s="368"/>
      <c r="Q299" s="265" t="str">
        <f t="shared" ref="Q299" si="666">CONCATENATE(SUM(Q297:Q298),"/",$D$29*2)</f>
        <v>0/0</v>
      </c>
      <c r="R299" s="265"/>
      <c r="S299" s="368"/>
      <c r="T299" s="265" t="str">
        <f t="shared" ref="T299" si="667">CONCATENATE(SUM(T297:T298),"/",$D$29*2)</f>
        <v>0/0</v>
      </c>
      <c r="U299" s="265"/>
      <c r="V299" s="368"/>
      <c r="W299" s="265" t="str">
        <f t="shared" ref="W299" si="668">CONCATENATE(SUM(W297:W298),"/",$D$29*2)</f>
        <v>0/0</v>
      </c>
      <c r="X299" s="265"/>
      <c r="Y299" s="368"/>
      <c r="Z299" s="265" t="str">
        <f t="shared" ref="Z299" si="669">CONCATENATE(SUM(Z297:Z298),"/",$D$29*2)</f>
        <v>0/0</v>
      </c>
      <c r="AA299" s="265"/>
      <c r="AB299" s="368"/>
      <c r="AC299" s="265" t="str">
        <f t="shared" ref="AC299" si="670">CONCATENATE(SUM(AC297:AC298),"/",$D$29*2)</f>
        <v>0/0</v>
      </c>
      <c r="AD299" s="265"/>
      <c r="AE299" s="368"/>
      <c r="AF299" s="265" t="str">
        <f t="shared" ref="AF299" si="671">CONCATENATE(SUM(AF297:AF298),"/",$D$29*2)</f>
        <v>0/0</v>
      </c>
      <c r="AG299" s="265"/>
      <c r="AH299" s="368"/>
      <c r="AI299" s="265" t="str">
        <f t="shared" ref="AI299" si="672">CONCATENATE(SUM(AI297:AI298),"/",$D$29*2)</f>
        <v>0/0</v>
      </c>
      <c r="AJ299" s="265"/>
      <c r="AK299" s="368"/>
      <c r="AL299" s="265" t="str">
        <f t="shared" ref="AL299" si="673">CONCATENATE(SUM(AL297:AL298),"/",$D$29*2)</f>
        <v>0/0</v>
      </c>
      <c r="AM299" s="265"/>
      <c r="AN299" s="368"/>
      <c r="AO299" s="265" t="str">
        <f t="shared" ref="AO299" si="674">CONCATENATE(SUM(AO297:AO298),"/",$D$29*2)</f>
        <v>0/0</v>
      </c>
      <c r="AP299" s="265"/>
      <c r="AQ299" s="368"/>
      <c r="AR299" s="265" t="str">
        <f t="shared" ref="AR299" si="675">CONCATENATE(SUM(AR297:AR298),"/",$D$29*2)</f>
        <v>0/0</v>
      </c>
      <c r="AS299" s="265"/>
      <c r="AT299" s="368"/>
      <c r="AU299" s="265" t="str">
        <f t="shared" ref="AU299" si="676">CONCATENATE(SUM(AU297:AU298),"/",$D$29*2)</f>
        <v>0/0</v>
      </c>
      <c r="AV299" s="265"/>
      <c r="AW299" s="368"/>
      <c r="AX299" s="265" t="str">
        <f t="shared" ref="AX299" si="677">CONCATENATE(SUM(AX297:AX298),"/",$D$29*2)</f>
        <v>0/0</v>
      </c>
      <c r="AY299" s="265"/>
      <c r="AZ299" s="368"/>
      <c r="BA299" s="265" t="str">
        <f t="shared" ref="BA299" si="678">CONCATENATE(SUM(BA297:BA298),"/",$D$29*2)</f>
        <v>0/0</v>
      </c>
      <c r="BB299" s="265"/>
      <c r="BC299" s="368"/>
      <c r="BD299" s="265" t="str">
        <f t="shared" ref="BD299" si="679">CONCATENATE(SUM(BD297:BD298),"/",$D$29*2)</f>
        <v>0/0</v>
      </c>
      <c r="BE299" s="265"/>
      <c r="BF299" s="368"/>
      <c r="BG299" s="265" t="str">
        <f t="shared" ref="BG299" si="680">CONCATENATE(SUM(BG297:BG298),"/",$D$29*2)</f>
        <v>0/0</v>
      </c>
      <c r="BH299" s="265"/>
      <c r="BI299" s="368"/>
      <c r="BJ299" s="265" t="str">
        <f t="shared" ref="BJ299" si="681">CONCATENATE(SUM(BJ297:BJ298),"/",$D$29*2)</f>
        <v>0/0</v>
      </c>
      <c r="BK299" s="265"/>
      <c r="BL299" s="368"/>
      <c r="BM299" s="265" t="str">
        <f t="shared" ref="BM299" si="682">CONCATENATE(SUM(BM297:BM298),"/",$D$29*2)</f>
        <v>0/0</v>
      </c>
      <c r="BN299" s="265"/>
      <c r="BO299" s="368"/>
      <c r="BP299" s="265" t="str">
        <f t="shared" ref="BP299" si="683">CONCATENATE(SUM(BP297:BP298),"/",$D$29*2)</f>
        <v>0/0</v>
      </c>
      <c r="BQ299" s="265"/>
      <c r="BR299" s="368"/>
      <c r="BS299" s="265" t="str">
        <f t="shared" ref="BS299" si="684">CONCATENATE(SUM(BS297:BS298),"/",$D$29*2)</f>
        <v>0/0</v>
      </c>
      <c r="BT299" s="265"/>
      <c r="BU299" s="368"/>
      <c r="BV299" s="265" t="str">
        <f t="shared" ref="BV299" si="685">CONCATENATE(SUM(BV297:BV298),"/",$D$29*2)</f>
        <v>0/0</v>
      </c>
      <c r="BW299" s="265"/>
      <c r="BX299" s="368"/>
      <c r="BY299" s="265" t="str">
        <f t="shared" ref="BY299" si="686">CONCATENATE(SUM(BY297:BY298),"/",$D$29*2)</f>
        <v>0/0</v>
      </c>
      <c r="BZ299" s="265"/>
      <c r="CA299" s="368"/>
      <c r="CB299" s="265" t="str">
        <f t="shared" ref="CB299" si="687">CONCATENATE(SUM(CB297:CB298),"/",$D$29*2)</f>
        <v>0/0</v>
      </c>
      <c r="CC299" s="265"/>
      <c r="CD299" s="368"/>
      <c r="CE299" s="265" t="str">
        <f t="shared" ref="CE299" si="688">CONCATENATE(SUM(CE297:CE298),"/",$D$29*2)</f>
        <v>0/0</v>
      </c>
      <c r="CF299" s="265"/>
      <c r="CG299" s="265"/>
      <c r="CH299" s="265"/>
    </row>
    <row r="300" spans="1:86" ht="15.95">
      <c r="A300" s="219"/>
      <c r="B300" s="219"/>
      <c r="C300" s="219"/>
      <c r="D300" s="219"/>
      <c r="E300" s="219"/>
      <c r="F300" s="265"/>
      <c r="G300" s="316" t="s">
        <v>202</v>
      </c>
      <c r="H300" s="370"/>
      <c r="I300" s="219"/>
      <c r="J300" s="371"/>
      <c r="K300" s="219"/>
      <c r="L300" s="251"/>
      <c r="M300" s="371"/>
      <c r="N300" s="219"/>
      <c r="O300" s="251"/>
      <c r="P300" s="371"/>
      <c r="Q300" s="219"/>
      <c r="R300" s="251"/>
      <c r="S300" s="371"/>
      <c r="T300" s="219"/>
      <c r="U300" s="251"/>
      <c r="V300" s="371"/>
      <c r="W300" s="219"/>
      <c r="X300" s="251"/>
      <c r="Y300" s="371"/>
      <c r="Z300" s="219"/>
      <c r="AA300" s="251"/>
      <c r="AB300" s="371"/>
      <c r="AC300" s="219"/>
      <c r="AD300" s="251"/>
      <c r="AE300" s="371"/>
      <c r="AF300" s="219"/>
      <c r="AG300" s="251"/>
      <c r="AH300" s="371"/>
      <c r="AI300" s="219"/>
      <c r="AJ300" s="251"/>
      <c r="AK300" s="371"/>
      <c r="AL300" s="219"/>
      <c r="AM300" s="251"/>
      <c r="AN300" s="371"/>
      <c r="AO300" s="219"/>
      <c r="AP300" s="251"/>
      <c r="AQ300" s="371"/>
      <c r="AR300" s="219"/>
      <c r="AS300" s="251"/>
      <c r="AT300" s="371"/>
      <c r="AU300" s="219"/>
      <c r="AV300" s="251"/>
      <c r="AW300" s="371"/>
      <c r="AX300" s="219"/>
      <c r="AY300" s="251"/>
      <c r="AZ300" s="371"/>
      <c r="BA300" s="219"/>
      <c r="BB300" s="251"/>
      <c r="BC300" s="371"/>
      <c r="BD300" s="219"/>
      <c r="BE300" s="251"/>
      <c r="BF300" s="371"/>
      <c r="BG300" s="219"/>
      <c r="BH300" s="251"/>
      <c r="BI300" s="371"/>
      <c r="BJ300" s="219"/>
      <c r="BK300" s="251"/>
      <c r="BL300" s="371"/>
      <c r="BM300" s="219"/>
      <c r="BN300" s="251"/>
      <c r="BO300" s="371"/>
      <c r="BP300" s="219"/>
      <c r="BQ300" s="251"/>
      <c r="BR300" s="371"/>
      <c r="BS300" s="219"/>
      <c r="BT300" s="251"/>
      <c r="BU300" s="371"/>
      <c r="BV300" s="219"/>
      <c r="BW300" s="251"/>
      <c r="BX300" s="371"/>
      <c r="BY300" s="219"/>
      <c r="BZ300" s="251"/>
      <c r="CA300" s="371"/>
      <c r="CB300" s="219"/>
      <c r="CC300" s="251"/>
      <c r="CD300" s="371"/>
      <c r="CE300" s="219"/>
      <c r="CF300" s="251"/>
      <c r="CG300" s="251"/>
      <c r="CH300" s="251"/>
    </row>
    <row r="301" spans="1:86" s="393" customFormat="1" ht="15" customHeight="1">
      <c r="A301" s="387"/>
      <c r="B301" s="387"/>
      <c r="C301" s="387"/>
      <c r="D301" s="387"/>
      <c r="E301" s="387"/>
      <c r="F301" s="388" t="s">
        <v>100</v>
      </c>
      <c r="G301" s="389" t="str">
        <f>CONCATENATE(League!D200,"-",League!K200)</f>
        <v>WS1-WS2</v>
      </c>
      <c r="H301" s="386" t="str">
        <f>CONCATENATE(IF(League!G200&gt;League!H200,1,IF(League!G200&lt;League!H200,2,IF(AND(League!G200=League!H200,League!G200&lt;&gt;"",League!H200&lt;&gt;""),"X",0))),"|",League!G200,"-",League!H200)</f>
        <v>0|-</v>
      </c>
      <c r="I301" s="387"/>
      <c r="J301" s="390" t="str">
        <f>+Idiomas!$D$250</f>
        <v>Pegar valores Final</v>
      </c>
      <c r="K301" s="391">
        <f>IFERROR(SUM(IF($H301=J301,$D$32),IF(LEFT($H301,1)=LEFT(J301,1),$D$30),IF(MID($H301,FIND("|",$H301)+1,FIND("-",$H301)-FIND("|",$H301)-1)-MID($H301,FIND("-",$H301)+1,11)=MID(J301,FIND("|",J301)+1,FIND("-",J301)-FIND("|",J301)-1)-MID(J301,FIND("-",J301)+1,11),$D$31)),)</f>
        <v>0</v>
      </c>
      <c r="L301" s="392"/>
      <c r="M301" s="390" t="str">
        <f>+Idiomas!$D$250</f>
        <v>Pegar valores Final</v>
      </c>
      <c r="N301" s="391">
        <f t="shared" ref="N301" si="689">IFERROR(SUM(IF($H301=M301,$D$32),IF(LEFT($H301,1)=LEFT(M301,1),$D$30),IF(MID($H301,FIND("|",$H301)+1,FIND("-",$H301)-FIND("|",$H301)-1)-MID($H301,FIND("-",$H301)+1,11)=MID(M301,FIND("|",M301)+1,FIND("-",M301)-FIND("|",M301)-1)-MID(M301,FIND("-",M301)+1,11),$D$31)),)</f>
        <v>0</v>
      </c>
      <c r="O301" s="392"/>
      <c r="P301" s="390" t="str">
        <f>+Idiomas!$D$250</f>
        <v>Pegar valores Final</v>
      </c>
      <c r="Q301" s="391">
        <f t="shared" ref="Q301" si="690">IFERROR(SUM(IF($H301=P301,$D$32),IF(LEFT($H301,1)=LEFT(P301,1),$D$30),IF(MID($H301,FIND("|",$H301)+1,FIND("-",$H301)-FIND("|",$H301)-1)-MID($H301,FIND("-",$H301)+1,11)=MID(P301,FIND("|",P301)+1,FIND("-",P301)-FIND("|",P301)-1)-MID(P301,FIND("-",P301)+1,11),$D$31)),)</f>
        <v>0</v>
      </c>
      <c r="R301" s="392"/>
      <c r="S301" s="390" t="str">
        <f>+Idiomas!$D$250</f>
        <v>Pegar valores Final</v>
      </c>
      <c r="T301" s="391">
        <f t="shared" ref="T301" si="691">IFERROR(SUM(IF($H301=S301,$D$32),IF(LEFT($H301,1)=LEFT(S301,1),$D$30),IF(MID($H301,FIND("|",$H301)+1,FIND("-",$H301)-FIND("|",$H301)-1)-MID($H301,FIND("-",$H301)+1,11)=MID(S301,FIND("|",S301)+1,FIND("-",S301)-FIND("|",S301)-1)-MID(S301,FIND("-",S301)+1,11),$D$31)),)</f>
        <v>0</v>
      </c>
      <c r="U301" s="392"/>
      <c r="V301" s="390" t="str">
        <f>+Idiomas!$D$250</f>
        <v>Pegar valores Final</v>
      </c>
      <c r="W301" s="391">
        <f t="shared" ref="W301" si="692">IFERROR(SUM(IF($H301=V301,$D$32),IF(LEFT($H301,1)=LEFT(V301,1),$D$30),IF(MID($H301,FIND("|",$H301)+1,FIND("-",$H301)-FIND("|",$H301)-1)-MID($H301,FIND("-",$H301)+1,11)=MID(V301,FIND("|",V301)+1,FIND("-",V301)-FIND("|",V301)-1)-MID(V301,FIND("-",V301)+1,11),$D$31)),)</f>
        <v>0</v>
      </c>
      <c r="X301" s="392"/>
      <c r="Y301" s="390" t="str">
        <f>+Idiomas!$D$250</f>
        <v>Pegar valores Final</v>
      </c>
      <c r="Z301" s="391">
        <f t="shared" ref="Z301" si="693">IFERROR(SUM(IF($H301=Y301,$D$32),IF(LEFT($H301,1)=LEFT(Y301,1),$D$30),IF(MID($H301,FIND("|",$H301)+1,FIND("-",$H301)-FIND("|",$H301)-1)-MID($H301,FIND("-",$H301)+1,11)=MID(Y301,FIND("|",Y301)+1,FIND("-",Y301)-FIND("|",Y301)-1)-MID(Y301,FIND("-",Y301)+1,11),$D$31)),)</f>
        <v>0</v>
      </c>
      <c r="AA301" s="392"/>
      <c r="AB301" s="390" t="str">
        <f>+Idiomas!$D$250</f>
        <v>Pegar valores Final</v>
      </c>
      <c r="AC301" s="391">
        <f t="shared" ref="AC301" si="694">IFERROR(SUM(IF($H301=AB301,$D$32),IF(LEFT($H301,1)=LEFT(AB301,1),$D$30),IF(MID($H301,FIND("|",$H301)+1,FIND("-",$H301)-FIND("|",$H301)-1)-MID($H301,FIND("-",$H301)+1,11)=MID(AB301,FIND("|",AB301)+1,FIND("-",AB301)-FIND("|",AB301)-1)-MID(AB301,FIND("-",AB301)+1,11),$D$31)),)</f>
        <v>0</v>
      </c>
      <c r="AD301" s="392"/>
      <c r="AE301" s="390" t="str">
        <f>+Idiomas!$D$250</f>
        <v>Pegar valores Final</v>
      </c>
      <c r="AF301" s="391">
        <f t="shared" ref="AF301" si="695">IFERROR(SUM(IF($H301=AE301,$D$32),IF(LEFT($H301,1)=LEFT(AE301,1),$D$30),IF(MID($H301,FIND("|",$H301)+1,FIND("-",$H301)-FIND("|",$H301)-1)-MID($H301,FIND("-",$H301)+1,11)=MID(AE301,FIND("|",AE301)+1,FIND("-",AE301)-FIND("|",AE301)-1)-MID(AE301,FIND("-",AE301)+1,11),$D$31)),)</f>
        <v>0</v>
      </c>
      <c r="AG301" s="392"/>
      <c r="AH301" s="390" t="str">
        <f>+Idiomas!$D$250</f>
        <v>Pegar valores Final</v>
      </c>
      <c r="AI301" s="391">
        <f t="shared" ref="AI301" si="696">IFERROR(SUM(IF($H301=AH301,$D$32),IF(LEFT($H301,1)=LEFT(AH301,1),$D$30),IF(MID($H301,FIND("|",$H301)+1,FIND("-",$H301)-FIND("|",$H301)-1)-MID($H301,FIND("-",$H301)+1,11)=MID(AH301,FIND("|",AH301)+1,FIND("-",AH301)-FIND("|",AH301)-1)-MID(AH301,FIND("-",AH301)+1,11),$D$31)),)</f>
        <v>0</v>
      </c>
      <c r="AJ301" s="392"/>
      <c r="AK301" s="390" t="str">
        <f>+Idiomas!$D$250</f>
        <v>Pegar valores Final</v>
      </c>
      <c r="AL301" s="391">
        <f t="shared" ref="AL301" si="697">IFERROR(SUM(IF($H301=AK301,$D$32),IF(LEFT($H301,1)=LEFT(AK301,1),$D$30),IF(MID($H301,FIND("|",$H301)+1,FIND("-",$H301)-FIND("|",$H301)-1)-MID($H301,FIND("-",$H301)+1,11)=MID(AK301,FIND("|",AK301)+1,FIND("-",AK301)-FIND("|",AK301)-1)-MID(AK301,FIND("-",AK301)+1,11),$D$31)),)</f>
        <v>0</v>
      </c>
      <c r="AM301" s="392"/>
      <c r="AN301" s="390" t="str">
        <f>+Idiomas!$D$250</f>
        <v>Pegar valores Final</v>
      </c>
      <c r="AO301" s="391">
        <f t="shared" ref="AO301" si="698">IFERROR(SUM(IF($H301=AN301,$D$32),IF(LEFT($H301,1)=LEFT(AN301,1),$D$30),IF(MID($H301,FIND("|",$H301)+1,FIND("-",$H301)-FIND("|",$H301)-1)-MID($H301,FIND("-",$H301)+1,11)=MID(AN301,FIND("|",AN301)+1,FIND("-",AN301)-FIND("|",AN301)-1)-MID(AN301,FIND("-",AN301)+1,11),$D$31)),)</f>
        <v>0</v>
      </c>
      <c r="AP301" s="392"/>
      <c r="AQ301" s="390" t="str">
        <f>+Idiomas!$D$250</f>
        <v>Pegar valores Final</v>
      </c>
      <c r="AR301" s="391">
        <f t="shared" ref="AR301" si="699">IFERROR(SUM(IF($H301=AQ301,$D$32),IF(LEFT($H301,1)=LEFT(AQ301,1),$D$30),IF(MID($H301,FIND("|",$H301)+1,FIND("-",$H301)-FIND("|",$H301)-1)-MID($H301,FIND("-",$H301)+1,11)=MID(AQ301,FIND("|",AQ301)+1,FIND("-",AQ301)-FIND("|",AQ301)-1)-MID(AQ301,FIND("-",AQ301)+1,11),$D$31)),)</f>
        <v>0</v>
      </c>
      <c r="AS301" s="392"/>
      <c r="AT301" s="390" t="str">
        <f>+Idiomas!$D$250</f>
        <v>Pegar valores Final</v>
      </c>
      <c r="AU301" s="391">
        <f t="shared" ref="AU301" si="700">IFERROR(SUM(IF($H301=AT301,$D$32),IF(LEFT($H301,1)=LEFT(AT301,1),$D$30),IF(MID($H301,FIND("|",$H301)+1,FIND("-",$H301)-FIND("|",$H301)-1)-MID($H301,FIND("-",$H301)+1,11)=MID(AT301,FIND("|",AT301)+1,FIND("-",AT301)-FIND("|",AT301)-1)-MID(AT301,FIND("-",AT301)+1,11),$D$31)),)</f>
        <v>0</v>
      </c>
      <c r="AV301" s="392"/>
      <c r="AW301" s="390" t="str">
        <f>+Idiomas!$D$250</f>
        <v>Pegar valores Final</v>
      </c>
      <c r="AX301" s="391">
        <f t="shared" ref="AX301" si="701">IFERROR(SUM(IF($H301=AW301,$D$32),IF(LEFT($H301,1)=LEFT(AW301,1),$D$30),IF(MID($H301,FIND("|",$H301)+1,FIND("-",$H301)-FIND("|",$H301)-1)-MID($H301,FIND("-",$H301)+1,11)=MID(AW301,FIND("|",AW301)+1,FIND("-",AW301)-FIND("|",AW301)-1)-MID(AW301,FIND("-",AW301)+1,11),$D$31)),)</f>
        <v>0</v>
      </c>
      <c r="AY301" s="392"/>
      <c r="AZ301" s="390" t="str">
        <f>+Idiomas!$D$250</f>
        <v>Pegar valores Final</v>
      </c>
      <c r="BA301" s="391">
        <f t="shared" ref="BA301" si="702">IFERROR(SUM(IF($H301=AZ301,$D$32),IF(LEFT($H301,1)=LEFT(AZ301,1),$D$30),IF(MID($H301,FIND("|",$H301)+1,FIND("-",$H301)-FIND("|",$H301)-1)-MID($H301,FIND("-",$H301)+1,11)=MID(AZ301,FIND("|",AZ301)+1,FIND("-",AZ301)-FIND("|",AZ301)-1)-MID(AZ301,FIND("-",AZ301)+1,11),$D$31)),)</f>
        <v>0</v>
      </c>
      <c r="BB301" s="392"/>
      <c r="BC301" s="390" t="str">
        <f>+Idiomas!$D$250</f>
        <v>Pegar valores Final</v>
      </c>
      <c r="BD301" s="391">
        <f t="shared" ref="BD301" si="703">IFERROR(SUM(IF($H301=BC301,$D$32),IF(LEFT($H301,1)=LEFT(BC301,1),$D$30),IF(MID($H301,FIND("|",$H301)+1,FIND("-",$H301)-FIND("|",$H301)-1)-MID($H301,FIND("-",$H301)+1,11)=MID(BC301,FIND("|",BC301)+1,FIND("-",BC301)-FIND("|",BC301)-1)-MID(BC301,FIND("-",BC301)+1,11),$D$31)),)</f>
        <v>0</v>
      </c>
      <c r="BE301" s="392"/>
      <c r="BF301" s="390" t="str">
        <f>+Idiomas!$D$250</f>
        <v>Pegar valores Final</v>
      </c>
      <c r="BG301" s="391">
        <f t="shared" ref="BG301" si="704">IFERROR(SUM(IF($H301=BF301,$D$32),IF(LEFT($H301,1)=LEFT(BF301,1),$D$30),IF(MID($H301,FIND("|",$H301)+1,FIND("-",$H301)-FIND("|",$H301)-1)-MID($H301,FIND("-",$H301)+1,11)=MID(BF301,FIND("|",BF301)+1,FIND("-",BF301)-FIND("|",BF301)-1)-MID(BF301,FIND("-",BF301)+1,11),$D$31)),)</f>
        <v>0</v>
      </c>
      <c r="BH301" s="392"/>
      <c r="BI301" s="390" t="str">
        <f>+Idiomas!$D$250</f>
        <v>Pegar valores Final</v>
      </c>
      <c r="BJ301" s="391">
        <f t="shared" ref="BJ301" si="705">IFERROR(SUM(IF($H301=BI301,$D$32),IF(LEFT($H301,1)=LEFT(BI301,1),$D$30),IF(MID($H301,FIND("|",$H301)+1,FIND("-",$H301)-FIND("|",$H301)-1)-MID($H301,FIND("-",$H301)+1,11)=MID(BI301,FIND("|",BI301)+1,FIND("-",BI301)-FIND("|",BI301)-1)-MID(BI301,FIND("-",BI301)+1,11),$D$31)),)</f>
        <v>0</v>
      </c>
      <c r="BK301" s="392"/>
      <c r="BL301" s="390" t="str">
        <f>+Idiomas!$D$250</f>
        <v>Pegar valores Final</v>
      </c>
      <c r="BM301" s="391">
        <f t="shared" ref="BM301" si="706">IFERROR(SUM(IF($H301=BL301,$D$32),IF(LEFT($H301,1)=LEFT(BL301,1),$D$30),IF(MID($H301,FIND("|",$H301)+1,FIND("-",$H301)-FIND("|",$H301)-1)-MID($H301,FIND("-",$H301)+1,11)=MID(BL301,FIND("|",BL301)+1,FIND("-",BL301)-FIND("|",BL301)-1)-MID(BL301,FIND("-",BL301)+1,11),$D$31)),)</f>
        <v>0</v>
      </c>
      <c r="BN301" s="392"/>
      <c r="BO301" s="390" t="str">
        <f>+Idiomas!$D$250</f>
        <v>Pegar valores Final</v>
      </c>
      <c r="BP301" s="391">
        <f t="shared" ref="BP301" si="707">IFERROR(SUM(IF($H301=BO301,$D$32),IF(LEFT($H301,1)=LEFT(BO301,1),$D$30),IF(MID($H301,FIND("|",$H301)+1,FIND("-",$H301)-FIND("|",$H301)-1)-MID($H301,FIND("-",$H301)+1,11)=MID(BO301,FIND("|",BO301)+1,FIND("-",BO301)-FIND("|",BO301)-1)-MID(BO301,FIND("-",BO301)+1,11),$D$31)),)</f>
        <v>0</v>
      </c>
      <c r="BQ301" s="392"/>
      <c r="BR301" s="390" t="str">
        <f>+Idiomas!$D$250</f>
        <v>Pegar valores Final</v>
      </c>
      <c r="BS301" s="391">
        <f t="shared" ref="BS301" si="708">IFERROR(SUM(IF($H301=BR301,$D$32),IF(LEFT($H301,1)=LEFT(BR301,1),$D$30),IF(MID($H301,FIND("|",$H301)+1,FIND("-",$H301)-FIND("|",$H301)-1)-MID($H301,FIND("-",$H301)+1,11)=MID(BR301,FIND("|",BR301)+1,FIND("-",BR301)-FIND("|",BR301)-1)-MID(BR301,FIND("-",BR301)+1,11),$D$31)),)</f>
        <v>0</v>
      </c>
      <c r="BT301" s="392"/>
      <c r="BU301" s="390" t="str">
        <f>+Idiomas!$D$250</f>
        <v>Pegar valores Final</v>
      </c>
      <c r="BV301" s="391">
        <f t="shared" ref="BV301" si="709">IFERROR(SUM(IF($H301=BU301,$D$32),IF(LEFT($H301,1)=LEFT(BU301,1),$D$30),IF(MID($H301,FIND("|",$H301)+1,FIND("-",$H301)-FIND("|",$H301)-1)-MID($H301,FIND("-",$H301)+1,11)=MID(BU301,FIND("|",BU301)+1,FIND("-",BU301)-FIND("|",BU301)-1)-MID(BU301,FIND("-",BU301)+1,11),$D$31)),)</f>
        <v>0</v>
      </c>
      <c r="BW301" s="392"/>
      <c r="BX301" s="390" t="str">
        <f>+Idiomas!$D$250</f>
        <v>Pegar valores Final</v>
      </c>
      <c r="BY301" s="391">
        <f t="shared" ref="BY301" si="710">IFERROR(SUM(IF($H301=BX301,$D$32),IF(LEFT($H301,1)=LEFT(BX301,1),$D$30),IF(MID($H301,FIND("|",$H301)+1,FIND("-",$H301)-FIND("|",$H301)-1)-MID($H301,FIND("-",$H301)+1,11)=MID(BX301,FIND("|",BX301)+1,FIND("-",BX301)-FIND("|",BX301)-1)-MID(BX301,FIND("-",BX301)+1,11),$D$31)),)</f>
        <v>0</v>
      </c>
      <c r="BZ301" s="392"/>
      <c r="CA301" s="390" t="str">
        <f>+Idiomas!$D$250</f>
        <v>Pegar valores Final</v>
      </c>
      <c r="CB301" s="391">
        <f t="shared" ref="CB301" si="711">IFERROR(SUM(IF($H301=CA301,$D$32),IF(LEFT($H301,1)=LEFT(CA301,1),$D$30),IF(MID($H301,FIND("|",$H301)+1,FIND("-",$H301)-FIND("|",$H301)-1)-MID($H301,FIND("-",$H301)+1,11)=MID(CA301,FIND("|",CA301)+1,FIND("-",CA301)-FIND("|",CA301)-1)-MID(CA301,FIND("-",CA301)+1,11),$D$31)),)</f>
        <v>0</v>
      </c>
      <c r="CC301" s="392"/>
      <c r="CD301" s="390" t="str">
        <f>+Idiomas!$D$250</f>
        <v>Pegar valores Final</v>
      </c>
      <c r="CE301" s="391">
        <f t="shared" ref="CE301" si="712">IFERROR(SUM(IF($H301=CD301,$D$32),IF(LEFT($H301,1)=LEFT(CD301,1),$D$30),IF(MID($H301,FIND("|",$H301)+1,FIND("-",$H301)-FIND("|",$H301)-1)-MID($H301,FIND("-",$H301)+1,11)=MID(CD301,FIND("|",CD301)+1,FIND("-",CD301)-FIND("|",CD301)-1)-MID(CD301,FIND("-",CD301)+1,11),$D$31)),)</f>
        <v>0</v>
      </c>
      <c r="CF301" s="392"/>
      <c r="CG301" s="392"/>
      <c r="CH301" s="392"/>
    </row>
    <row r="302" spans="1:86" s="369" customFormat="1" ht="15" customHeight="1">
      <c r="A302" s="265"/>
      <c r="B302" s="265"/>
      <c r="C302" s="265"/>
      <c r="D302" s="265"/>
      <c r="E302" s="265"/>
      <c r="F302" s="265"/>
      <c r="G302" s="265"/>
      <c r="H302" s="265"/>
      <c r="I302" s="265"/>
      <c r="J302" s="368"/>
      <c r="K302" s="265" t="str">
        <f>CONCATENATE(K301,"/",SUM($D$30:$D$32))</f>
        <v>0/0</v>
      </c>
      <c r="L302" s="265"/>
      <c r="M302" s="368"/>
      <c r="N302" s="265" t="str">
        <f t="shared" ref="N302" si="713">CONCATENATE(N301,"/",SUM($D$30:$D$32))</f>
        <v>0/0</v>
      </c>
      <c r="O302" s="265"/>
      <c r="P302" s="368"/>
      <c r="Q302" s="265" t="str">
        <f t="shared" ref="Q302" si="714">CONCATENATE(Q301,"/",SUM($D$30:$D$32))</f>
        <v>0/0</v>
      </c>
      <c r="R302" s="265"/>
      <c r="S302" s="368"/>
      <c r="T302" s="265" t="str">
        <f t="shared" ref="T302" si="715">CONCATENATE(T301,"/",SUM($D$30:$D$32))</f>
        <v>0/0</v>
      </c>
      <c r="U302" s="265"/>
      <c r="V302" s="368"/>
      <c r="W302" s="265" t="str">
        <f t="shared" ref="W302" si="716">CONCATENATE(W301,"/",SUM($D$30:$D$32))</f>
        <v>0/0</v>
      </c>
      <c r="X302" s="265"/>
      <c r="Y302" s="368"/>
      <c r="Z302" s="265" t="str">
        <f t="shared" ref="Z302" si="717">CONCATENATE(Z301,"/",SUM($D$30:$D$32))</f>
        <v>0/0</v>
      </c>
      <c r="AA302" s="265"/>
      <c r="AB302" s="368"/>
      <c r="AC302" s="265" t="str">
        <f t="shared" ref="AC302" si="718">CONCATENATE(AC301,"/",SUM($D$30:$D$32))</f>
        <v>0/0</v>
      </c>
      <c r="AD302" s="265"/>
      <c r="AE302" s="368"/>
      <c r="AF302" s="265" t="str">
        <f t="shared" ref="AF302" si="719">CONCATENATE(AF301,"/",SUM($D$30:$D$32))</f>
        <v>0/0</v>
      </c>
      <c r="AG302" s="265"/>
      <c r="AH302" s="368"/>
      <c r="AI302" s="265" t="str">
        <f t="shared" ref="AI302" si="720">CONCATENATE(AI301,"/",SUM($D$30:$D$32))</f>
        <v>0/0</v>
      </c>
      <c r="AJ302" s="265"/>
      <c r="AK302" s="368"/>
      <c r="AL302" s="265" t="str">
        <f t="shared" ref="AL302" si="721">CONCATENATE(AL301,"/",SUM($D$30:$D$32))</f>
        <v>0/0</v>
      </c>
      <c r="AM302" s="265"/>
      <c r="AN302" s="368"/>
      <c r="AO302" s="265" t="str">
        <f t="shared" ref="AO302" si="722">CONCATENATE(AO301,"/",SUM($D$30:$D$32))</f>
        <v>0/0</v>
      </c>
      <c r="AP302" s="265"/>
      <c r="AQ302" s="368"/>
      <c r="AR302" s="265" t="str">
        <f t="shared" ref="AR302" si="723">CONCATENATE(AR301,"/",SUM($D$30:$D$32))</f>
        <v>0/0</v>
      </c>
      <c r="AS302" s="265"/>
      <c r="AT302" s="368"/>
      <c r="AU302" s="265" t="str">
        <f t="shared" ref="AU302" si="724">CONCATENATE(AU301,"/",SUM($D$30:$D$32))</f>
        <v>0/0</v>
      </c>
      <c r="AV302" s="265"/>
      <c r="AW302" s="368"/>
      <c r="AX302" s="265" t="str">
        <f t="shared" ref="AX302" si="725">CONCATENATE(AX301,"/",SUM($D$30:$D$32))</f>
        <v>0/0</v>
      </c>
      <c r="AY302" s="265"/>
      <c r="AZ302" s="368"/>
      <c r="BA302" s="265" t="str">
        <f t="shared" ref="BA302" si="726">CONCATENATE(BA301,"/",SUM($D$30:$D$32))</f>
        <v>0/0</v>
      </c>
      <c r="BB302" s="265"/>
      <c r="BC302" s="368"/>
      <c r="BD302" s="265" t="str">
        <f t="shared" ref="BD302" si="727">CONCATENATE(BD301,"/",SUM($D$30:$D$32))</f>
        <v>0/0</v>
      </c>
      <c r="BE302" s="265"/>
      <c r="BF302" s="368"/>
      <c r="BG302" s="265" t="str">
        <f t="shared" ref="BG302" si="728">CONCATENATE(BG301,"/",SUM($D$30:$D$32))</f>
        <v>0/0</v>
      </c>
      <c r="BH302" s="265"/>
      <c r="BI302" s="368"/>
      <c r="BJ302" s="265" t="str">
        <f t="shared" ref="BJ302" si="729">CONCATENATE(BJ301,"/",SUM($D$30:$D$32))</f>
        <v>0/0</v>
      </c>
      <c r="BK302" s="265"/>
      <c r="BL302" s="368"/>
      <c r="BM302" s="265" t="str">
        <f t="shared" ref="BM302" si="730">CONCATENATE(BM301,"/",SUM($D$30:$D$32))</f>
        <v>0/0</v>
      </c>
      <c r="BN302" s="265"/>
      <c r="BO302" s="368"/>
      <c r="BP302" s="265" t="str">
        <f t="shared" ref="BP302" si="731">CONCATENATE(BP301,"/",SUM($D$30:$D$32))</f>
        <v>0/0</v>
      </c>
      <c r="BQ302" s="265"/>
      <c r="BR302" s="368"/>
      <c r="BS302" s="265" t="str">
        <f t="shared" ref="BS302" si="732">CONCATENATE(BS301,"/",SUM($D$30:$D$32))</f>
        <v>0/0</v>
      </c>
      <c r="BT302" s="265"/>
      <c r="BU302" s="368"/>
      <c r="BV302" s="265" t="str">
        <f t="shared" ref="BV302" si="733">CONCATENATE(BV301,"/",SUM($D$30:$D$32))</f>
        <v>0/0</v>
      </c>
      <c r="BW302" s="265"/>
      <c r="BX302" s="368"/>
      <c r="BY302" s="265" t="str">
        <f t="shared" ref="BY302" si="734">CONCATENATE(BY301,"/",SUM($D$30:$D$32))</f>
        <v>0/0</v>
      </c>
      <c r="BZ302" s="265"/>
      <c r="CA302" s="368"/>
      <c r="CB302" s="265" t="str">
        <f t="shared" ref="CB302" si="735">CONCATENATE(CB301,"/",SUM($D$30:$D$32))</f>
        <v>0/0</v>
      </c>
      <c r="CC302" s="265"/>
      <c r="CD302" s="368"/>
      <c r="CE302" s="265" t="str">
        <f t="shared" ref="CE302" si="736">CONCATENATE(CE301,"/",SUM($D$30:$D$32))</f>
        <v>0/0</v>
      </c>
      <c r="CF302" s="265"/>
      <c r="CG302" s="265"/>
      <c r="CH302" s="265"/>
    </row>
    <row r="303" spans="1:86" ht="15.95">
      <c r="A303" s="219"/>
      <c r="B303" s="219"/>
      <c r="C303" s="219"/>
      <c r="D303" s="219"/>
      <c r="E303" s="219"/>
      <c r="F303" s="265"/>
      <c r="G303" s="316" t="str">
        <f>+UPPER(Idiomas!D233)</f>
        <v>CAMPEÓN</v>
      </c>
      <c r="H303" s="370"/>
      <c r="I303" s="219"/>
      <c r="J303" s="371"/>
      <c r="K303" s="219"/>
      <c r="L303" s="251"/>
      <c r="M303" s="371"/>
      <c r="N303" s="219"/>
      <c r="O303" s="251"/>
      <c r="P303" s="371"/>
      <c r="Q303" s="219"/>
      <c r="R303" s="251"/>
      <c r="S303" s="371"/>
      <c r="T303" s="219"/>
      <c r="U303" s="251"/>
      <c r="V303" s="371"/>
      <c r="W303" s="219"/>
      <c r="X303" s="251"/>
      <c r="Y303" s="371"/>
      <c r="Z303" s="219"/>
      <c r="AA303" s="251"/>
      <c r="AB303" s="371"/>
      <c r="AC303" s="219"/>
      <c r="AD303" s="251"/>
      <c r="AE303" s="371"/>
      <c r="AF303" s="219"/>
      <c r="AG303" s="251"/>
      <c r="AH303" s="371"/>
      <c r="AI303" s="219"/>
      <c r="AJ303" s="251"/>
      <c r="AK303" s="371"/>
      <c r="AL303" s="219"/>
      <c r="AM303" s="251"/>
      <c r="AN303" s="371"/>
      <c r="AO303" s="219"/>
      <c r="AP303" s="251"/>
      <c r="AQ303" s="371"/>
      <c r="AR303" s="219"/>
      <c r="AS303" s="251"/>
      <c r="AT303" s="371"/>
      <c r="AU303" s="219"/>
      <c r="AV303" s="251"/>
      <c r="AW303" s="371"/>
      <c r="AX303" s="219"/>
      <c r="AY303" s="251"/>
      <c r="AZ303" s="371"/>
      <c r="BA303" s="219"/>
      <c r="BB303" s="251"/>
      <c r="BC303" s="371"/>
      <c r="BD303" s="219"/>
      <c r="BE303" s="251"/>
      <c r="BF303" s="371"/>
      <c r="BG303" s="219"/>
      <c r="BH303" s="251"/>
      <c r="BI303" s="371"/>
      <c r="BJ303" s="219"/>
      <c r="BK303" s="251"/>
      <c r="BL303" s="371"/>
      <c r="BM303" s="219"/>
      <c r="BN303" s="251"/>
      <c r="BO303" s="371"/>
      <c r="BP303" s="219"/>
      <c r="BQ303" s="251"/>
      <c r="BR303" s="371"/>
      <c r="BS303" s="219"/>
      <c r="BT303" s="251"/>
      <c r="BU303" s="371"/>
      <c r="BV303" s="219"/>
      <c r="BW303" s="251"/>
      <c r="BX303" s="371"/>
      <c r="BY303" s="219"/>
      <c r="BZ303" s="251"/>
      <c r="CA303" s="371"/>
      <c r="CB303" s="219"/>
      <c r="CC303" s="251"/>
      <c r="CD303" s="371"/>
      <c r="CE303" s="219"/>
      <c r="CF303" s="251"/>
      <c r="CG303" s="251"/>
      <c r="CH303" s="251"/>
    </row>
    <row r="304" spans="1:86" s="393" customFormat="1" ht="15" customHeight="1">
      <c r="A304" s="387"/>
      <c r="B304" s="387"/>
      <c r="C304" s="387"/>
      <c r="D304" s="387"/>
      <c r="E304" s="387"/>
      <c r="F304" s="388" t="s">
        <v>203</v>
      </c>
      <c r="G304" s="389" t="str">
        <f>+Idiomas!D233</f>
        <v>Campeón</v>
      </c>
      <c r="H304" s="386" t="str">
        <f>+League!F202</f>
        <v>WF</v>
      </c>
      <c r="I304" s="387"/>
      <c r="J304" s="390"/>
      <c r="K304" s="391">
        <f>COUNTIF($H$304,J304)*$D$33</f>
        <v>0</v>
      </c>
      <c r="L304" s="392"/>
      <c r="M304" s="390"/>
      <c r="N304" s="391">
        <f t="shared" ref="N304" si="737">COUNTIF($H$304,M304)*$D$33</f>
        <v>0</v>
      </c>
      <c r="O304" s="392"/>
      <c r="P304" s="390"/>
      <c r="Q304" s="391">
        <f t="shared" ref="Q304" si="738">COUNTIF($H$304,P304)*$D$33</f>
        <v>0</v>
      </c>
      <c r="R304" s="392"/>
      <c r="S304" s="390"/>
      <c r="T304" s="391">
        <f t="shared" ref="T304" si="739">COUNTIF($H$304,S304)*$D$33</f>
        <v>0</v>
      </c>
      <c r="U304" s="392"/>
      <c r="V304" s="390"/>
      <c r="W304" s="391">
        <f t="shared" ref="W304" si="740">COUNTIF($H$304,V304)*$D$33</f>
        <v>0</v>
      </c>
      <c r="X304" s="392"/>
      <c r="Y304" s="390"/>
      <c r="Z304" s="391">
        <f t="shared" ref="Z304" si="741">COUNTIF($H$304,Y304)*$D$33</f>
        <v>0</v>
      </c>
      <c r="AA304" s="392"/>
      <c r="AB304" s="390"/>
      <c r="AC304" s="391">
        <f t="shared" ref="AC304" si="742">COUNTIF($H$304,AB304)*$D$33</f>
        <v>0</v>
      </c>
      <c r="AD304" s="392"/>
      <c r="AE304" s="390"/>
      <c r="AF304" s="391">
        <f t="shared" ref="AF304" si="743">COUNTIF($H$304,AE304)*$D$33</f>
        <v>0</v>
      </c>
      <c r="AG304" s="392"/>
      <c r="AH304" s="390"/>
      <c r="AI304" s="391">
        <f t="shared" ref="AI304" si="744">COUNTIF($H$304,AH304)*$D$33</f>
        <v>0</v>
      </c>
      <c r="AJ304" s="392"/>
      <c r="AK304" s="390"/>
      <c r="AL304" s="391">
        <f t="shared" ref="AL304" si="745">COUNTIF($H$304,AK304)*$D$33</f>
        <v>0</v>
      </c>
      <c r="AM304" s="392"/>
      <c r="AN304" s="390"/>
      <c r="AO304" s="391">
        <f t="shared" ref="AO304" si="746">COUNTIF($H$304,AN304)*$D$33</f>
        <v>0</v>
      </c>
      <c r="AP304" s="392"/>
      <c r="AQ304" s="390"/>
      <c r="AR304" s="391">
        <f t="shared" ref="AR304" si="747">COUNTIF($H$304,AQ304)*$D$33</f>
        <v>0</v>
      </c>
      <c r="AS304" s="392"/>
      <c r="AT304" s="390"/>
      <c r="AU304" s="391">
        <f t="shared" ref="AU304" si="748">COUNTIF($H$304,AT304)*$D$33</f>
        <v>0</v>
      </c>
      <c r="AV304" s="392"/>
      <c r="AW304" s="390"/>
      <c r="AX304" s="391">
        <f t="shared" ref="AX304" si="749">COUNTIF($H$304,AW304)*$D$33</f>
        <v>0</v>
      </c>
      <c r="AY304" s="392"/>
      <c r="AZ304" s="390"/>
      <c r="BA304" s="391">
        <f t="shared" ref="BA304" si="750">COUNTIF($H$304,AZ304)*$D$33</f>
        <v>0</v>
      </c>
      <c r="BB304" s="392"/>
      <c r="BC304" s="390"/>
      <c r="BD304" s="391">
        <f t="shared" ref="BD304" si="751">COUNTIF($H$304,BC304)*$D$33</f>
        <v>0</v>
      </c>
      <c r="BE304" s="392"/>
      <c r="BF304" s="390"/>
      <c r="BG304" s="391">
        <f t="shared" ref="BG304" si="752">COUNTIF($H$304,BF304)*$D$33</f>
        <v>0</v>
      </c>
      <c r="BH304" s="392"/>
      <c r="BI304" s="390"/>
      <c r="BJ304" s="391">
        <f t="shared" ref="BJ304" si="753">COUNTIF($H$304,BI304)*$D$33</f>
        <v>0</v>
      </c>
      <c r="BK304" s="392"/>
      <c r="BL304" s="390"/>
      <c r="BM304" s="391">
        <f t="shared" ref="BM304" si="754">COUNTIF($H$304,BL304)*$D$33</f>
        <v>0</v>
      </c>
      <c r="BN304" s="392"/>
      <c r="BO304" s="390"/>
      <c r="BP304" s="391">
        <f t="shared" ref="BP304" si="755">COUNTIF($H$304,BO304)*$D$33</f>
        <v>0</v>
      </c>
      <c r="BQ304" s="392"/>
      <c r="BR304" s="390"/>
      <c r="BS304" s="391">
        <f t="shared" ref="BS304" si="756">COUNTIF($H$304,BR304)*$D$33</f>
        <v>0</v>
      </c>
      <c r="BT304" s="392"/>
      <c r="BU304" s="390"/>
      <c r="BV304" s="391">
        <f t="shared" ref="BV304" si="757">COUNTIF($H$304,BU304)*$D$33</f>
        <v>0</v>
      </c>
      <c r="BW304" s="392"/>
      <c r="BX304" s="390"/>
      <c r="BY304" s="391">
        <f t="shared" ref="BY304" si="758">COUNTIF($H$304,BX304)*$D$33</f>
        <v>0</v>
      </c>
      <c r="BZ304" s="392"/>
      <c r="CA304" s="390"/>
      <c r="CB304" s="391">
        <f t="shared" ref="CB304" si="759">COUNTIF($H$304,CA304)*$D$33</f>
        <v>0</v>
      </c>
      <c r="CC304" s="392"/>
      <c r="CD304" s="390"/>
      <c r="CE304" s="391">
        <f t="shared" ref="CE304" si="760">COUNTIF($H$304,CD304)*$D$33</f>
        <v>0</v>
      </c>
      <c r="CF304" s="392"/>
      <c r="CG304" s="392"/>
      <c r="CH304" s="392"/>
    </row>
    <row r="305" spans="1:86" s="369" customFormat="1" ht="15" customHeight="1">
      <c r="A305" s="265"/>
      <c r="B305" s="265"/>
      <c r="C305" s="265"/>
      <c r="D305" s="265"/>
      <c r="E305" s="265"/>
      <c r="F305" s="265"/>
      <c r="G305" s="265"/>
      <c r="H305" s="265"/>
      <c r="I305" s="265"/>
      <c r="J305" s="368"/>
      <c r="K305" s="265" t="str">
        <f>CONCATENATE(K304,"/",$D$33)</f>
        <v>0/0</v>
      </c>
      <c r="L305" s="265"/>
      <c r="M305" s="368"/>
      <c r="N305" s="265" t="str">
        <f t="shared" ref="N305" si="761">CONCATENATE(N304,"/",$D$33)</f>
        <v>0/0</v>
      </c>
      <c r="O305" s="265"/>
      <c r="P305" s="368"/>
      <c r="Q305" s="265" t="str">
        <f t="shared" ref="Q305" si="762">CONCATENATE(Q304,"/",$D$33)</f>
        <v>0/0</v>
      </c>
      <c r="R305" s="265"/>
      <c r="S305" s="368"/>
      <c r="T305" s="265" t="str">
        <f t="shared" ref="T305" si="763">CONCATENATE(T304,"/",$D$33)</f>
        <v>0/0</v>
      </c>
      <c r="U305" s="265"/>
      <c r="V305" s="368"/>
      <c r="W305" s="265" t="str">
        <f t="shared" ref="W305" si="764">CONCATENATE(W304,"/",$D$33)</f>
        <v>0/0</v>
      </c>
      <c r="X305" s="265"/>
      <c r="Y305" s="368"/>
      <c r="Z305" s="265" t="str">
        <f t="shared" ref="Z305" si="765">CONCATENATE(Z304,"/",$D$33)</f>
        <v>0/0</v>
      </c>
      <c r="AA305" s="265"/>
      <c r="AB305" s="368"/>
      <c r="AC305" s="265" t="str">
        <f t="shared" ref="AC305" si="766">CONCATENATE(AC304,"/",$D$33)</f>
        <v>0/0</v>
      </c>
      <c r="AD305" s="265"/>
      <c r="AE305" s="368"/>
      <c r="AF305" s="265" t="str">
        <f t="shared" ref="AF305" si="767">CONCATENATE(AF304,"/",$D$33)</f>
        <v>0/0</v>
      </c>
      <c r="AG305" s="265"/>
      <c r="AH305" s="368"/>
      <c r="AI305" s="265" t="str">
        <f t="shared" ref="AI305" si="768">CONCATENATE(AI304,"/",$D$33)</f>
        <v>0/0</v>
      </c>
      <c r="AJ305" s="265"/>
      <c r="AK305" s="368"/>
      <c r="AL305" s="265" t="str">
        <f t="shared" ref="AL305" si="769">CONCATENATE(AL304,"/",$D$33)</f>
        <v>0/0</v>
      </c>
      <c r="AM305" s="265"/>
      <c r="AN305" s="368"/>
      <c r="AO305" s="265" t="str">
        <f t="shared" ref="AO305" si="770">CONCATENATE(AO304,"/",$D$33)</f>
        <v>0/0</v>
      </c>
      <c r="AP305" s="265"/>
      <c r="AQ305" s="368"/>
      <c r="AR305" s="265" t="str">
        <f t="shared" ref="AR305" si="771">CONCATENATE(AR304,"/",$D$33)</f>
        <v>0/0</v>
      </c>
      <c r="AS305" s="265"/>
      <c r="AT305" s="368"/>
      <c r="AU305" s="265" t="str">
        <f t="shared" ref="AU305" si="772">CONCATENATE(AU304,"/",$D$33)</f>
        <v>0/0</v>
      </c>
      <c r="AV305" s="265"/>
      <c r="AW305" s="368"/>
      <c r="AX305" s="265" t="str">
        <f t="shared" ref="AX305" si="773">CONCATENATE(AX304,"/",$D$33)</f>
        <v>0/0</v>
      </c>
      <c r="AY305" s="265"/>
      <c r="AZ305" s="368"/>
      <c r="BA305" s="265" t="str">
        <f t="shared" ref="BA305" si="774">CONCATENATE(BA304,"/",$D$33)</f>
        <v>0/0</v>
      </c>
      <c r="BB305" s="265"/>
      <c r="BC305" s="368"/>
      <c r="BD305" s="265" t="str">
        <f t="shared" ref="BD305" si="775">CONCATENATE(BD304,"/",$D$33)</f>
        <v>0/0</v>
      </c>
      <c r="BE305" s="265"/>
      <c r="BF305" s="368"/>
      <c r="BG305" s="265" t="str">
        <f t="shared" ref="BG305" si="776">CONCATENATE(BG304,"/",$D$33)</f>
        <v>0/0</v>
      </c>
      <c r="BH305" s="265"/>
      <c r="BI305" s="368"/>
      <c r="BJ305" s="265" t="str">
        <f t="shared" ref="BJ305" si="777">CONCATENATE(BJ304,"/",$D$33)</f>
        <v>0/0</v>
      </c>
      <c r="BK305" s="265"/>
      <c r="BL305" s="368"/>
      <c r="BM305" s="265" t="str">
        <f t="shared" ref="BM305" si="778">CONCATENATE(BM304,"/",$D$33)</f>
        <v>0/0</v>
      </c>
      <c r="BN305" s="265"/>
      <c r="BO305" s="368"/>
      <c r="BP305" s="265" t="str">
        <f t="shared" ref="BP305" si="779">CONCATENATE(BP304,"/",$D$33)</f>
        <v>0/0</v>
      </c>
      <c r="BQ305" s="265"/>
      <c r="BR305" s="368"/>
      <c r="BS305" s="265" t="str">
        <f t="shared" ref="BS305" si="780">CONCATENATE(BS304,"/",$D$33)</f>
        <v>0/0</v>
      </c>
      <c r="BT305" s="265"/>
      <c r="BU305" s="368"/>
      <c r="BV305" s="265" t="str">
        <f t="shared" ref="BV305" si="781">CONCATENATE(BV304,"/",$D$33)</f>
        <v>0/0</v>
      </c>
      <c r="BW305" s="265"/>
      <c r="BX305" s="368"/>
      <c r="BY305" s="265" t="str">
        <f t="shared" ref="BY305" si="782">CONCATENATE(BY304,"/",$D$33)</f>
        <v>0/0</v>
      </c>
      <c r="BZ305" s="265"/>
      <c r="CA305" s="368"/>
      <c r="CB305" s="265" t="str">
        <f t="shared" ref="CB305" si="783">CONCATENATE(CB304,"/",$D$33)</f>
        <v>0/0</v>
      </c>
      <c r="CC305" s="265"/>
      <c r="CD305" s="368"/>
      <c r="CE305" s="265" t="str">
        <f t="shared" ref="CE305" si="784">CONCATENATE(CE304,"/",$D$33)</f>
        <v>0/0</v>
      </c>
      <c r="CF305" s="265"/>
      <c r="CG305" s="265"/>
      <c r="CH305" s="265"/>
    </row>
    <row r="306" spans="1:86">
      <c r="A306" s="376"/>
      <c r="B306" s="376"/>
      <c r="C306" s="376"/>
      <c r="D306" s="377"/>
      <c r="E306" s="378"/>
      <c r="F306" s="379" t="s">
        <v>204</v>
      </c>
      <c r="G306" s="376"/>
      <c r="H306" s="376"/>
      <c r="I306" s="376"/>
      <c r="J306" s="380"/>
      <c r="K306" s="376"/>
      <c r="L306" s="376"/>
      <c r="M306" s="380"/>
      <c r="N306" s="376"/>
      <c r="O306" s="376"/>
      <c r="P306" s="380"/>
      <c r="Q306" s="376"/>
      <c r="R306" s="376"/>
      <c r="S306" s="380"/>
      <c r="T306" s="376"/>
      <c r="U306" s="376"/>
      <c r="V306" s="380"/>
      <c r="W306" s="376"/>
      <c r="X306" s="376"/>
      <c r="Y306" s="380"/>
      <c r="Z306" s="376"/>
      <c r="AA306" s="376"/>
      <c r="AB306" s="380"/>
      <c r="AC306" s="376"/>
      <c r="AD306" s="376"/>
      <c r="AE306" s="380"/>
      <c r="AF306" s="376"/>
      <c r="AG306" s="376"/>
      <c r="AH306" s="380"/>
      <c r="AI306" s="376"/>
      <c r="AJ306" s="376"/>
      <c r="AK306" s="380"/>
      <c r="AL306" s="376"/>
      <c r="AM306" s="376"/>
      <c r="AN306" s="380"/>
      <c r="AO306" s="376"/>
      <c r="AP306" s="376"/>
      <c r="AQ306" s="380"/>
      <c r="AR306" s="376"/>
      <c r="AS306" s="376"/>
      <c r="AT306" s="380"/>
      <c r="AU306" s="376"/>
      <c r="AV306" s="376"/>
      <c r="AW306" s="380"/>
      <c r="AX306" s="376"/>
      <c r="AY306" s="376"/>
      <c r="AZ306" s="380"/>
      <c r="BA306" s="376"/>
      <c r="BB306" s="376"/>
      <c r="BC306" s="380"/>
      <c r="BD306" s="376"/>
      <c r="BE306" s="376"/>
      <c r="BF306" s="380"/>
      <c r="BG306" s="376"/>
      <c r="BH306" s="376"/>
      <c r="BI306" s="380"/>
      <c r="BJ306" s="376"/>
      <c r="BK306" s="376"/>
      <c r="BL306" s="380"/>
      <c r="BM306" s="376"/>
      <c r="BN306" s="376"/>
      <c r="BO306" s="380"/>
      <c r="BP306" s="376"/>
      <c r="BQ306" s="376"/>
      <c r="BR306" s="380"/>
      <c r="BS306" s="376"/>
      <c r="BT306" s="376"/>
      <c r="BU306" s="380"/>
      <c r="BV306" s="376"/>
      <c r="BW306" s="376"/>
      <c r="BX306" s="380"/>
      <c r="BY306" s="376"/>
      <c r="BZ306" s="376"/>
      <c r="CA306" s="380"/>
      <c r="CB306" s="376"/>
      <c r="CC306" s="376"/>
      <c r="CD306" s="380"/>
      <c r="CE306" s="376"/>
      <c r="CF306" s="376"/>
      <c r="CG306" s="376"/>
      <c r="CH306" s="376"/>
    </row>
    <row r="307" spans="1:86" ht="15.95">
      <c r="A307" s="219"/>
      <c r="B307" s="219"/>
      <c r="C307" s="219"/>
      <c r="D307" s="219"/>
      <c r="E307" s="219"/>
      <c r="F307" s="265"/>
      <c r="G307" s="316" t="s">
        <v>204</v>
      </c>
      <c r="H307" s="370"/>
      <c r="I307" s="219"/>
      <c r="J307" s="371"/>
      <c r="K307" s="219"/>
      <c r="L307" s="251"/>
      <c r="M307" s="371"/>
      <c r="N307" s="219"/>
      <c r="O307" s="251"/>
      <c r="P307" s="371"/>
      <c r="Q307" s="219"/>
      <c r="R307" s="251"/>
      <c r="S307" s="371"/>
      <c r="T307" s="219"/>
      <c r="U307" s="251"/>
      <c r="V307" s="371"/>
      <c r="W307" s="219"/>
      <c r="X307" s="251"/>
      <c r="Y307" s="371"/>
      <c r="Z307" s="219"/>
      <c r="AA307" s="251"/>
      <c r="AB307" s="371"/>
      <c r="AC307" s="219"/>
      <c r="AD307" s="251"/>
      <c r="AE307" s="371"/>
      <c r="AF307" s="219"/>
      <c r="AG307" s="251"/>
      <c r="AH307" s="371"/>
      <c r="AI307" s="219"/>
      <c r="AJ307" s="251"/>
      <c r="AK307" s="371"/>
      <c r="AL307" s="219"/>
      <c r="AM307" s="251"/>
      <c r="AN307" s="371"/>
      <c r="AO307" s="219"/>
      <c r="AP307" s="251"/>
      <c r="AQ307" s="371"/>
      <c r="AR307" s="219"/>
      <c r="AS307" s="251"/>
      <c r="AT307" s="371"/>
      <c r="AU307" s="219"/>
      <c r="AV307" s="251"/>
      <c r="AW307" s="371"/>
      <c r="AX307" s="219"/>
      <c r="AY307" s="251"/>
      <c r="AZ307" s="371"/>
      <c r="BA307" s="219"/>
      <c r="BB307" s="251"/>
      <c r="BC307" s="371"/>
      <c r="BD307" s="219"/>
      <c r="BE307" s="251"/>
      <c r="BF307" s="371"/>
      <c r="BG307" s="219"/>
      <c r="BH307" s="251"/>
      <c r="BI307" s="371"/>
      <c r="BJ307" s="219"/>
      <c r="BK307" s="251"/>
      <c r="BL307" s="371"/>
      <c r="BM307" s="219"/>
      <c r="BN307" s="251"/>
      <c r="BO307" s="371"/>
      <c r="BP307" s="219"/>
      <c r="BQ307" s="251"/>
      <c r="BR307" s="371"/>
      <c r="BS307" s="219"/>
      <c r="BT307" s="251"/>
      <c r="BU307" s="371"/>
      <c r="BV307" s="219"/>
      <c r="BW307" s="251"/>
      <c r="BX307" s="371"/>
      <c r="BY307" s="219"/>
      <c r="BZ307" s="251"/>
      <c r="CA307" s="371"/>
      <c r="CB307" s="219"/>
      <c r="CC307" s="251"/>
      <c r="CD307" s="371"/>
      <c r="CE307" s="219"/>
      <c r="CF307" s="251"/>
      <c r="CG307" s="251"/>
      <c r="CH307" s="251"/>
    </row>
    <row r="308" spans="1:86" ht="15" customHeight="1">
      <c r="A308" s="219"/>
      <c r="B308" s="219"/>
      <c r="C308" s="219"/>
      <c r="D308" s="219"/>
      <c r="E308" s="219"/>
      <c r="F308" s="563" t="s">
        <v>205</v>
      </c>
      <c r="G308" s="320" t="str">
        <f>+Idiomas!D366</f>
        <v>Campeón</v>
      </c>
      <c r="H308" s="372" t="str">
        <f>IF(AND(OR(League!G200="",League!H200="")),"WF",IF(League!G200&gt;League!H200,League!D200,IF(League!G200&lt;League!H200,League!K200,IF(AND(League!G200=League!H200,League!F200=League!I200),"WF",IF(AND(League!G200=League!H200,OR(League!F200="",League!I200="")),"WF",IF(AND(League!G200=League!H200,League!F200&gt;League!I200),League!D200,League!K200))))))</f>
        <v>WF</v>
      </c>
      <c r="I308" s="219"/>
      <c r="J308" s="326" t="str">
        <f>+Idiomas!$D$251</f>
        <v>Pegar valores Predictor</v>
      </c>
      <c r="K308" s="322">
        <f>+COUNTIF($H$308,J308)*SUM($D$34:$D$40)+COUNTIF($H$309,J308)*SUM($D$35:$D$40)+COUNTIF($H$310:$H$311,J308)*SUM($D$36:$D$40)+COUNTIF($H$312:$H$315,J308)*SUM($D$37:$D$40)+COUNTIF($H$316:$H$323,J308)*SUM($D$38:$D$40)+COUNTIF($H$324:$H$331,J308)*SUM($D$39:$D$40)+COUNTIF($H$332:$H$343,J308)*$D$40</f>
        <v>0</v>
      </c>
      <c r="L308" s="251"/>
      <c r="M308" s="326" t="str">
        <f>+Idiomas!$D$251</f>
        <v>Pegar valores Predictor</v>
      </c>
      <c r="N308" s="322">
        <f t="shared" ref="N308" si="785">+COUNTIF($H$308,M308)*SUM($D$34:$D$40)+COUNTIF($H$309,M308)*SUM($D$35:$D$40)+COUNTIF($H$310:$H$311,M308)*SUM($D$36:$D$40)+COUNTIF($H$312:$H$315,M308)*SUM($D$37:$D$40)+COUNTIF($H$316:$H$323,M308)*SUM($D$38:$D$40)+COUNTIF($H$324:$H$331,M308)*SUM($D$39:$D$40)+COUNTIF($H$332:$H$343,M308)*$D$40</f>
        <v>0</v>
      </c>
      <c r="O308" s="251"/>
      <c r="P308" s="326" t="str">
        <f>+Idiomas!$D$251</f>
        <v>Pegar valores Predictor</v>
      </c>
      <c r="Q308" s="322">
        <f t="shared" ref="Q308" si="786">+COUNTIF($H$308,P308)*SUM($D$34:$D$40)+COUNTIF($H$309,P308)*SUM($D$35:$D$40)+COUNTIF($H$310:$H$311,P308)*SUM($D$36:$D$40)+COUNTIF($H$312:$H$315,P308)*SUM($D$37:$D$40)+COUNTIF($H$316:$H$323,P308)*SUM($D$38:$D$40)+COUNTIF($H$324:$H$331,P308)*SUM($D$39:$D$40)+COUNTIF($H$332:$H$343,P308)*$D$40</f>
        <v>0</v>
      </c>
      <c r="R308" s="251"/>
      <c r="S308" s="326" t="str">
        <f>+Idiomas!$D$251</f>
        <v>Pegar valores Predictor</v>
      </c>
      <c r="T308" s="322">
        <f t="shared" ref="T308" si="787">+COUNTIF($H$308,S308)*SUM($D$34:$D$40)+COUNTIF($H$309,S308)*SUM($D$35:$D$40)+COUNTIF($H$310:$H$311,S308)*SUM($D$36:$D$40)+COUNTIF($H$312:$H$315,S308)*SUM($D$37:$D$40)+COUNTIF($H$316:$H$323,S308)*SUM($D$38:$D$40)+COUNTIF($H$324:$H$331,S308)*SUM($D$39:$D$40)+COUNTIF($H$332:$H$343,S308)*$D$40</f>
        <v>0</v>
      </c>
      <c r="U308" s="251"/>
      <c r="V308" s="326" t="str">
        <f>+Idiomas!$D$251</f>
        <v>Pegar valores Predictor</v>
      </c>
      <c r="W308" s="322">
        <f t="shared" ref="W308" si="788">+COUNTIF($H$308,V308)*SUM($D$34:$D$40)+COUNTIF($H$309,V308)*SUM($D$35:$D$40)+COUNTIF($H$310:$H$311,V308)*SUM($D$36:$D$40)+COUNTIF($H$312:$H$315,V308)*SUM($D$37:$D$40)+COUNTIF($H$316:$H$323,V308)*SUM($D$38:$D$40)+COUNTIF($H$324:$H$331,V308)*SUM($D$39:$D$40)+COUNTIF($H$332:$H$343,V308)*$D$40</f>
        <v>0</v>
      </c>
      <c r="X308" s="251"/>
      <c r="Y308" s="326" t="str">
        <f>+Idiomas!$D$251</f>
        <v>Pegar valores Predictor</v>
      </c>
      <c r="Z308" s="322">
        <f t="shared" ref="Z308" si="789">+COUNTIF($H$308,Y308)*SUM($D$34:$D$40)+COUNTIF($H$309,Y308)*SUM($D$35:$D$40)+COUNTIF($H$310:$H$311,Y308)*SUM($D$36:$D$40)+COUNTIF($H$312:$H$315,Y308)*SUM($D$37:$D$40)+COUNTIF($H$316:$H$323,Y308)*SUM($D$38:$D$40)+COUNTIF($H$324:$H$331,Y308)*SUM($D$39:$D$40)+COUNTIF($H$332:$H$343,Y308)*$D$40</f>
        <v>0</v>
      </c>
      <c r="AA308" s="251"/>
      <c r="AB308" s="326" t="str">
        <f>+Idiomas!$D$251</f>
        <v>Pegar valores Predictor</v>
      </c>
      <c r="AC308" s="322">
        <f t="shared" ref="AC308" si="790">+COUNTIF($H$308,AB308)*SUM($D$34:$D$40)+COUNTIF($H$309,AB308)*SUM($D$35:$D$40)+COUNTIF($H$310:$H$311,AB308)*SUM($D$36:$D$40)+COUNTIF($H$312:$H$315,AB308)*SUM($D$37:$D$40)+COUNTIF($H$316:$H$323,AB308)*SUM($D$38:$D$40)+COUNTIF($H$324:$H$331,AB308)*SUM($D$39:$D$40)+COUNTIF($H$332:$H$343,AB308)*$D$40</f>
        <v>0</v>
      </c>
      <c r="AD308" s="251"/>
      <c r="AE308" s="326" t="str">
        <f>+Idiomas!$D$251</f>
        <v>Pegar valores Predictor</v>
      </c>
      <c r="AF308" s="322">
        <f t="shared" ref="AF308" si="791">+COUNTIF($H$308,AE308)*SUM($D$34:$D$40)+COUNTIF($H$309,AE308)*SUM($D$35:$D$40)+COUNTIF($H$310:$H$311,AE308)*SUM($D$36:$D$40)+COUNTIF($H$312:$H$315,AE308)*SUM($D$37:$D$40)+COUNTIF($H$316:$H$323,AE308)*SUM($D$38:$D$40)+COUNTIF($H$324:$H$331,AE308)*SUM($D$39:$D$40)+COUNTIF($H$332:$H$343,AE308)*$D$40</f>
        <v>0</v>
      </c>
      <c r="AG308" s="251"/>
      <c r="AH308" s="326" t="str">
        <f>+Idiomas!$D$251</f>
        <v>Pegar valores Predictor</v>
      </c>
      <c r="AI308" s="322">
        <f t="shared" ref="AI308" si="792">+COUNTIF($H$308,AH308)*SUM($D$34:$D$40)+COUNTIF($H$309,AH308)*SUM($D$35:$D$40)+COUNTIF($H$310:$H$311,AH308)*SUM($D$36:$D$40)+COUNTIF($H$312:$H$315,AH308)*SUM($D$37:$D$40)+COUNTIF($H$316:$H$323,AH308)*SUM($D$38:$D$40)+COUNTIF($H$324:$H$331,AH308)*SUM($D$39:$D$40)+COUNTIF($H$332:$H$343,AH308)*$D$40</f>
        <v>0</v>
      </c>
      <c r="AJ308" s="251"/>
      <c r="AK308" s="326" t="str">
        <f>+Idiomas!$D$251</f>
        <v>Pegar valores Predictor</v>
      </c>
      <c r="AL308" s="322">
        <f t="shared" ref="AL308" si="793">+COUNTIF($H$308,AK308)*SUM($D$34:$D$40)+COUNTIF($H$309,AK308)*SUM($D$35:$D$40)+COUNTIF($H$310:$H$311,AK308)*SUM($D$36:$D$40)+COUNTIF($H$312:$H$315,AK308)*SUM($D$37:$D$40)+COUNTIF($H$316:$H$323,AK308)*SUM($D$38:$D$40)+COUNTIF($H$324:$H$331,AK308)*SUM($D$39:$D$40)+COUNTIF($H$332:$H$343,AK308)*$D$40</f>
        <v>0</v>
      </c>
      <c r="AM308" s="251"/>
      <c r="AN308" s="326" t="str">
        <f>+Idiomas!$D$251</f>
        <v>Pegar valores Predictor</v>
      </c>
      <c r="AO308" s="322">
        <f t="shared" ref="AO308" si="794">+COUNTIF($H$308,AN308)*SUM($D$34:$D$40)+COUNTIF($H$309,AN308)*SUM($D$35:$D$40)+COUNTIF($H$310:$H$311,AN308)*SUM($D$36:$D$40)+COUNTIF($H$312:$H$315,AN308)*SUM($D$37:$D$40)+COUNTIF($H$316:$H$323,AN308)*SUM($D$38:$D$40)+COUNTIF($H$324:$H$331,AN308)*SUM($D$39:$D$40)+COUNTIF($H$332:$H$343,AN308)*$D$40</f>
        <v>0</v>
      </c>
      <c r="AP308" s="251"/>
      <c r="AQ308" s="326" t="str">
        <f>+Idiomas!$D$251</f>
        <v>Pegar valores Predictor</v>
      </c>
      <c r="AR308" s="322">
        <f t="shared" ref="AR308" si="795">+COUNTIF($H$308,AQ308)*SUM($D$34:$D$40)+COUNTIF($H$309,AQ308)*SUM($D$35:$D$40)+COUNTIF($H$310:$H$311,AQ308)*SUM($D$36:$D$40)+COUNTIF($H$312:$H$315,AQ308)*SUM($D$37:$D$40)+COUNTIF($H$316:$H$323,AQ308)*SUM($D$38:$D$40)+COUNTIF($H$324:$H$331,AQ308)*SUM($D$39:$D$40)+COUNTIF($H$332:$H$343,AQ308)*$D$40</f>
        <v>0</v>
      </c>
      <c r="AS308" s="251"/>
      <c r="AT308" s="326" t="str">
        <f>+Idiomas!$D$251</f>
        <v>Pegar valores Predictor</v>
      </c>
      <c r="AU308" s="322">
        <f t="shared" ref="AU308" si="796">+COUNTIF($H$308,AT308)*SUM($D$34:$D$40)+COUNTIF($H$309,AT308)*SUM($D$35:$D$40)+COUNTIF($H$310:$H$311,AT308)*SUM($D$36:$D$40)+COUNTIF($H$312:$H$315,AT308)*SUM($D$37:$D$40)+COUNTIF($H$316:$H$323,AT308)*SUM($D$38:$D$40)+COUNTIF($H$324:$H$331,AT308)*SUM($D$39:$D$40)+COUNTIF($H$332:$H$343,AT308)*$D$40</f>
        <v>0</v>
      </c>
      <c r="AV308" s="251"/>
      <c r="AW308" s="326" t="str">
        <f>+Idiomas!$D$251</f>
        <v>Pegar valores Predictor</v>
      </c>
      <c r="AX308" s="322">
        <f t="shared" ref="AX308" si="797">+COUNTIF($H$308,AW308)*SUM($D$34:$D$40)+COUNTIF($H$309,AW308)*SUM($D$35:$D$40)+COUNTIF($H$310:$H$311,AW308)*SUM($D$36:$D$40)+COUNTIF($H$312:$H$315,AW308)*SUM($D$37:$D$40)+COUNTIF($H$316:$H$323,AW308)*SUM($D$38:$D$40)+COUNTIF($H$324:$H$331,AW308)*SUM($D$39:$D$40)+COUNTIF($H$332:$H$343,AW308)*$D$40</f>
        <v>0</v>
      </c>
      <c r="AY308" s="251"/>
      <c r="AZ308" s="326" t="str">
        <f>+Idiomas!$D$251</f>
        <v>Pegar valores Predictor</v>
      </c>
      <c r="BA308" s="322">
        <f t="shared" ref="BA308" si="798">+COUNTIF($H$308,AZ308)*SUM($D$34:$D$40)+COUNTIF($H$309,AZ308)*SUM($D$35:$D$40)+COUNTIF($H$310:$H$311,AZ308)*SUM($D$36:$D$40)+COUNTIF($H$312:$H$315,AZ308)*SUM($D$37:$D$40)+COUNTIF($H$316:$H$323,AZ308)*SUM($D$38:$D$40)+COUNTIF($H$324:$H$331,AZ308)*SUM($D$39:$D$40)+COUNTIF($H$332:$H$343,AZ308)*$D$40</f>
        <v>0</v>
      </c>
      <c r="BB308" s="251"/>
      <c r="BC308" s="326" t="str">
        <f>+Idiomas!$D$251</f>
        <v>Pegar valores Predictor</v>
      </c>
      <c r="BD308" s="322">
        <f t="shared" ref="BD308" si="799">+COUNTIF($H$308,BC308)*SUM($D$34:$D$40)+COUNTIF($H$309,BC308)*SUM($D$35:$D$40)+COUNTIF($H$310:$H$311,BC308)*SUM($D$36:$D$40)+COUNTIF($H$312:$H$315,BC308)*SUM($D$37:$D$40)+COUNTIF($H$316:$H$323,BC308)*SUM($D$38:$D$40)+COUNTIF($H$324:$H$331,BC308)*SUM($D$39:$D$40)+COUNTIF($H$332:$H$343,BC308)*$D$40</f>
        <v>0</v>
      </c>
      <c r="BE308" s="251"/>
      <c r="BF308" s="326" t="str">
        <f>+Idiomas!$D$251</f>
        <v>Pegar valores Predictor</v>
      </c>
      <c r="BG308" s="322">
        <f t="shared" ref="BG308" si="800">+COUNTIF($H$308,BF308)*SUM($D$34:$D$40)+COUNTIF($H$309,BF308)*SUM($D$35:$D$40)+COUNTIF($H$310:$H$311,BF308)*SUM($D$36:$D$40)+COUNTIF($H$312:$H$315,BF308)*SUM($D$37:$D$40)+COUNTIF($H$316:$H$323,BF308)*SUM($D$38:$D$40)+COUNTIF($H$324:$H$331,BF308)*SUM($D$39:$D$40)+COUNTIF($H$332:$H$343,BF308)*$D$40</f>
        <v>0</v>
      </c>
      <c r="BH308" s="251"/>
      <c r="BI308" s="326" t="str">
        <f>+Idiomas!$D$251</f>
        <v>Pegar valores Predictor</v>
      </c>
      <c r="BJ308" s="322">
        <f t="shared" ref="BJ308" si="801">+COUNTIF($H$308,BI308)*SUM($D$34:$D$40)+COUNTIF($H$309,BI308)*SUM($D$35:$D$40)+COUNTIF($H$310:$H$311,BI308)*SUM($D$36:$D$40)+COUNTIF($H$312:$H$315,BI308)*SUM($D$37:$D$40)+COUNTIF($H$316:$H$323,BI308)*SUM($D$38:$D$40)+COUNTIF($H$324:$H$331,BI308)*SUM($D$39:$D$40)+COUNTIF($H$332:$H$343,BI308)*$D$40</f>
        <v>0</v>
      </c>
      <c r="BK308" s="251"/>
      <c r="BL308" s="326" t="str">
        <f>+Idiomas!$D$251</f>
        <v>Pegar valores Predictor</v>
      </c>
      <c r="BM308" s="322">
        <f t="shared" ref="BM308" si="802">+COUNTIF($H$308,BL308)*SUM($D$34:$D$40)+COUNTIF($H$309,BL308)*SUM($D$35:$D$40)+COUNTIF($H$310:$H$311,BL308)*SUM($D$36:$D$40)+COUNTIF($H$312:$H$315,BL308)*SUM($D$37:$D$40)+COUNTIF($H$316:$H$323,BL308)*SUM($D$38:$D$40)+COUNTIF($H$324:$H$331,BL308)*SUM($D$39:$D$40)+COUNTIF($H$332:$H$343,BL308)*$D$40</f>
        <v>0</v>
      </c>
      <c r="BN308" s="251"/>
      <c r="BO308" s="326" t="str">
        <f>+Idiomas!$D$251</f>
        <v>Pegar valores Predictor</v>
      </c>
      <c r="BP308" s="322">
        <f t="shared" ref="BP308" si="803">+COUNTIF($H$308,BO308)*SUM($D$34:$D$40)+COUNTIF($H$309,BO308)*SUM($D$35:$D$40)+COUNTIF($H$310:$H$311,BO308)*SUM($D$36:$D$40)+COUNTIF($H$312:$H$315,BO308)*SUM($D$37:$D$40)+COUNTIF($H$316:$H$323,BO308)*SUM($D$38:$D$40)+COUNTIF($H$324:$H$331,BO308)*SUM($D$39:$D$40)+COUNTIF($H$332:$H$343,BO308)*$D$40</f>
        <v>0</v>
      </c>
      <c r="BQ308" s="251"/>
      <c r="BR308" s="326" t="str">
        <f>+Idiomas!$D$251</f>
        <v>Pegar valores Predictor</v>
      </c>
      <c r="BS308" s="322">
        <f t="shared" ref="BS308" si="804">+COUNTIF($H$308,BR308)*SUM($D$34:$D$40)+COUNTIF($H$309,BR308)*SUM($D$35:$D$40)+COUNTIF($H$310:$H$311,BR308)*SUM($D$36:$D$40)+COUNTIF($H$312:$H$315,BR308)*SUM($D$37:$D$40)+COUNTIF($H$316:$H$323,BR308)*SUM($D$38:$D$40)+COUNTIF($H$324:$H$331,BR308)*SUM($D$39:$D$40)+COUNTIF($H$332:$H$343,BR308)*$D$40</f>
        <v>0</v>
      </c>
      <c r="BT308" s="251"/>
      <c r="BU308" s="326" t="str">
        <f>+Idiomas!$D$251</f>
        <v>Pegar valores Predictor</v>
      </c>
      <c r="BV308" s="322">
        <f t="shared" ref="BV308" si="805">+COUNTIF($H$308,BU308)*SUM($D$34:$D$40)+COUNTIF($H$309,BU308)*SUM($D$35:$D$40)+COUNTIF($H$310:$H$311,BU308)*SUM($D$36:$D$40)+COUNTIF($H$312:$H$315,BU308)*SUM($D$37:$D$40)+COUNTIF($H$316:$H$323,BU308)*SUM($D$38:$D$40)+COUNTIF($H$324:$H$331,BU308)*SUM($D$39:$D$40)+COUNTIF($H$332:$H$343,BU308)*$D$40</f>
        <v>0</v>
      </c>
      <c r="BW308" s="251"/>
      <c r="BX308" s="326" t="str">
        <f>+Idiomas!$D$251</f>
        <v>Pegar valores Predictor</v>
      </c>
      <c r="BY308" s="322">
        <f t="shared" ref="BY308" si="806">+COUNTIF($H$308,BX308)*SUM($D$34:$D$40)+COUNTIF($H$309,BX308)*SUM($D$35:$D$40)+COUNTIF($H$310:$H$311,BX308)*SUM($D$36:$D$40)+COUNTIF($H$312:$H$315,BX308)*SUM($D$37:$D$40)+COUNTIF($H$316:$H$323,BX308)*SUM($D$38:$D$40)+COUNTIF($H$324:$H$331,BX308)*SUM($D$39:$D$40)+COUNTIF($H$332:$H$343,BX308)*$D$40</f>
        <v>0</v>
      </c>
      <c r="BZ308" s="251"/>
      <c r="CA308" s="326" t="str">
        <f>+Idiomas!$D$251</f>
        <v>Pegar valores Predictor</v>
      </c>
      <c r="CB308" s="322">
        <f t="shared" ref="CB308" si="807">+COUNTIF($H$308,CA308)*SUM($D$34:$D$40)+COUNTIF($H$309,CA308)*SUM($D$35:$D$40)+COUNTIF($H$310:$H$311,CA308)*SUM($D$36:$D$40)+COUNTIF($H$312:$H$315,CA308)*SUM($D$37:$D$40)+COUNTIF($H$316:$H$323,CA308)*SUM($D$38:$D$40)+COUNTIF($H$324:$H$331,CA308)*SUM($D$39:$D$40)+COUNTIF($H$332:$H$343,CA308)*$D$40</f>
        <v>0</v>
      </c>
      <c r="CC308" s="251"/>
      <c r="CD308" s="326" t="str">
        <f>+Idiomas!$D$251</f>
        <v>Pegar valores Predictor</v>
      </c>
      <c r="CE308" s="322">
        <f t="shared" ref="CE308" si="808">+COUNTIF($H$308,CD308)*SUM($D$34:$D$40)+COUNTIF($H$309,CD308)*SUM($D$35:$D$40)+COUNTIF($H$310:$H$311,CD308)*SUM($D$36:$D$40)+COUNTIF($H$312:$H$315,CD308)*SUM($D$37:$D$40)+COUNTIF($H$316:$H$323,CD308)*SUM($D$38:$D$40)+COUNTIF($H$324:$H$331,CD308)*SUM($D$39:$D$40)+COUNTIF($H$332:$H$343,CD308)*$D$40</f>
        <v>0</v>
      </c>
      <c r="CF308" s="251"/>
      <c r="CG308" s="251"/>
      <c r="CH308" s="251"/>
    </row>
    <row r="309" spans="1:86" ht="15" customHeight="1">
      <c r="A309" s="219"/>
      <c r="B309" s="219"/>
      <c r="C309" s="219"/>
      <c r="D309" s="219"/>
      <c r="E309" s="219"/>
      <c r="F309" s="564"/>
      <c r="G309" s="394" t="str">
        <f>+Idiomas!D367</f>
        <v>Final</v>
      </c>
      <c r="H309" s="395" t="str">
        <f>IF(AND(OR(League!G200="",League!H200="")),"LF",IF(League!G200&gt;League!H200,League!K200,IF(League!G200&lt;League!H200,League!D200,IF(AND(League!G200=League!H200,League!F200=League!I200),"LF",IF(AND(League!G200=League!H200,OR(League!F200="",League!I200="")),"LF",IF(AND(League!G200=League!H200,League!F200&gt;League!I200),League!K200,League!D200))))))</f>
        <v>LF</v>
      </c>
      <c r="I309" s="219"/>
      <c r="J309" s="396"/>
      <c r="K309" s="397">
        <f>+COUNTIF($H$308:$H$309,J309)*SUM($D$35:$D$40)+COUNTIF($H$310:$H$311,J309)*SUM($D$36:$D$40)+COUNTIF($H$312:$H$315,J309)*SUM($D$37:$D$40)+COUNTIF($H$316:$H$323,J309)*SUM($D$38:$D$40)+COUNTIF($H$324:$H$331,J309)*SUM($D$39:$D$40)+COUNTIF($H$332:$H$343,J309)*$D$40</f>
        <v>0</v>
      </c>
      <c r="L309" s="251"/>
      <c r="M309" s="396"/>
      <c r="N309" s="397">
        <f t="shared" ref="N309" si="809">+COUNTIF($H$308:$H$309,M309)*SUM($D$35:$D$40)+COUNTIF($H$310:$H$311,M309)*SUM($D$36:$D$40)+COUNTIF($H$312:$H$315,M309)*SUM($D$37:$D$40)+COUNTIF($H$316:$H$323,M309)*SUM($D$38:$D$40)+COUNTIF($H$324:$H$331,M309)*SUM($D$39:$D$40)+COUNTIF($H$332:$H$343,M309)*$D$40</f>
        <v>0</v>
      </c>
      <c r="O309" s="251"/>
      <c r="P309" s="396"/>
      <c r="Q309" s="397">
        <f t="shared" ref="Q309" si="810">+COUNTIF($H$308:$H$309,P309)*SUM($D$35:$D$40)+COUNTIF($H$310:$H$311,P309)*SUM($D$36:$D$40)+COUNTIF($H$312:$H$315,P309)*SUM($D$37:$D$40)+COUNTIF($H$316:$H$323,P309)*SUM($D$38:$D$40)+COUNTIF($H$324:$H$331,P309)*SUM($D$39:$D$40)+COUNTIF($H$332:$H$343,P309)*$D$40</f>
        <v>0</v>
      </c>
      <c r="R309" s="251"/>
      <c r="S309" s="396"/>
      <c r="T309" s="397">
        <f t="shared" ref="T309" si="811">+COUNTIF($H$308:$H$309,S309)*SUM($D$35:$D$40)+COUNTIF($H$310:$H$311,S309)*SUM($D$36:$D$40)+COUNTIF($H$312:$H$315,S309)*SUM($D$37:$D$40)+COUNTIF($H$316:$H$323,S309)*SUM($D$38:$D$40)+COUNTIF($H$324:$H$331,S309)*SUM($D$39:$D$40)+COUNTIF($H$332:$H$343,S309)*$D$40</f>
        <v>0</v>
      </c>
      <c r="U309" s="251"/>
      <c r="V309" s="396"/>
      <c r="W309" s="397">
        <f t="shared" ref="W309" si="812">+COUNTIF($H$308:$H$309,V309)*SUM($D$35:$D$40)+COUNTIF($H$310:$H$311,V309)*SUM($D$36:$D$40)+COUNTIF($H$312:$H$315,V309)*SUM($D$37:$D$40)+COUNTIF($H$316:$H$323,V309)*SUM($D$38:$D$40)+COUNTIF($H$324:$H$331,V309)*SUM($D$39:$D$40)+COUNTIF($H$332:$H$343,V309)*$D$40</f>
        <v>0</v>
      </c>
      <c r="X309" s="251"/>
      <c r="Y309" s="396"/>
      <c r="Z309" s="397">
        <f t="shared" ref="Z309" si="813">+COUNTIF($H$308:$H$309,Y309)*SUM($D$35:$D$40)+COUNTIF($H$310:$H$311,Y309)*SUM($D$36:$D$40)+COUNTIF($H$312:$H$315,Y309)*SUM($D$37:$D$40)+COUNTIF($H$316:$H$323,Y309)*SUM($D$38:$D$40)+COUNTIF($H$324:$H$331,Y309)*SUM($D$39:$D$40)+COUNTIF($H$332:$H$343,Y309)*$D$40</f>
        <v>0</v>
      </c>
      <c r="AA309" s="251"/>
      <c r="AB309" s="396"/>
      <c r="AC309" s="397">
        <f t="shared" ref="AC309" si="814">+COUNTIF($H$308:$H$309,AB309)*SUM($D$35:$D$40)+COUNTIF($H$310:$H$311,AB309)*SUM($D$36:$D$40)+COUNTIF($H$312:$H$315,AB309)*SUM($D$37:$D$40)+COUNTIF($H$316:$H$323,AB309)*SUM($D$38:$D$40)+COUNTIF($H$324:$H$331,AB309)*SUM($D$39:$D$40)+COUNTIF($H$332:$H$343,AB309)*$D$40</f>
        <v>0</v>
      </c>
      <c r="AD309" s="251"/>
      <c r="AE309" s="396"/>
      <c r="AF309" s="397">
        <f t="shared" ref="AF309" si="815">+COUNTIF($H$308:$H$309,AE309)*SUM($D$35:$D$40)+COUNTIF($H$310:$H$311,AE309)*SUM($D$36:$D$40)+COUNTIF($H$312:$H$315,AE309)*SUM($D$37:$D$40)+COUNTIF($H$316:$H$323,AE309)*SUM($D$38:$D$40)+COUNTIF($H$324:$H$331,AE309)*SUM($D$39:$D$40)+COUNTIF($H$332:$H$343,AE309)*$D$40</f>
        <v>0</v>
      </c>
      <c r="AG309" s="251"/>
      <c r="AH309" s="396"/>
      <c r="AI309" s="397">
        <f t="shared" ref="AI309" si="816">+COUNTIF($H$308:$H$309,AH309)*SUM($D$35:$D$40)+COUNTIF($H$310:$H$311,AH309)*SUM($D$36:$D$40)+COUNTIF($H$312:$H$315,AH309)*SUM($D$37:$D$40)+COUNTIF($H$316:$H$323,AH309)*SUM($D$38:$D$40)+COUNTIF($H$324:$H$331,AH309)*SUM($D$39:$D$40)+COUNTIF($H$332:$H$343,AH309)*$D$40</f>
        <v>0</v>
      </c>
      <c r="AJ309" s="251"/>
      <c r="AK309" s="396"/>
      <c r="AL309" s="397">
        <f t="shared" ref="AL309" si="817">+COUNTIF($H$308:$H$309,AK309)*SUM($D$35:$D$40)+COUNTIF($H$310:$H$311,AK309)*SUM($D$36:$D$40)+COUNTIF($H$312:$H$315,AK309)*SUM($D$37:$D$40)+COUNTIF($H$316:$H$323,AK309)*SUM($D$38:$D$40)+COUNTIF($H$324:$H$331,AK309)*SUM($D$39:$D$40)+COUNTIF($H$332:$H$343,AK309)*$D$40</f>
        <v>0</v>
      </c>
      <c r="AM309" s="251"/>
      <c r="AN309" s="396"/>
      <c r="AO309" s="397">
        <f t="shared" ref="AO309" si="818">+COUNTIF($H$308:$H$309,AN309)*SUM($D$35:$D$40)+COUNTIF($H$310:$H$311,AN309)*SUM($D$36:$D$40)+COUNTIF($H$312:$H$315,AN309)*SUM($D$37:$D$40)+COUNTIF($H$316:$H$323,AN309)*SUM($D$38:$D$40)+COUNTIF($H$324:$H$331,AN309)*SUM($D$39:$D$40)+COUNTIF($H$332:$H$343,AN309)*$D$40</f>
        <v>0</v>
      </c>
      <c r="AP309" s="251"/>
      <c r="AQ309" s="396"/>
      <c r="AR309" s="397">
        <f t="shared" ref="AR309" si="819">+COUNTIF($H$308:$H$309,AQ309)*SUM($D$35:$D$40)+COUNTIF($H$310:$H$311,AQ309)*SUM($D$36:$D$40)+COUNTIF($H$312:$H$315,AQ309)*SUM($D$37:$D$40)+COUNTIF($H$316:$H$323,AQ309)*SUM($D$38:$D$40)+COUNTIF($H$324:$H$331,AQ309)*SUM($D$39:$D$40)+COUNTIF($H$332:$H$343,AQ309)*$D$40</f>
        <v>0</v>
      </c>
      <c r="AS309" s="251"/>
      <c r="AT309" s="396"/>
      <c r="AU309" s="397">
        <f t="shared" ref="AU309" si="820">+COUNTIF($H$308:$H$309,AT309)*SUM($D$35:$D$40)+COUNTIF($H$310:$H$311,AT309)*SUM($D$36:$D$40)+COUNTIF($H$312:$H$315,AT309)*SUM($D$37:$D$40)+COUNTIF($H$316:$H$323,AT309)*SUM($D$38:$D$40)+COUNTIF($H$324:$H$331,AT309)*SUM($D$39:$D$40)+COUNTIF($H$332:$H$343,AT309)*$D$40</f>
        <v>0</v>
      </c>
      <c r="AV309" s="251"/>
      <c r="AW309" s="396"/>
      <c r="AX309" s="397">
        <f t="shared" ref="AX309" si="821">+COUNTIF($H$308:$H$309,AW309)*SUM($D$35:$D$40)+COUNTIF($H$310:$H$311,AW309)*SUM($D$36:$D$40)+COUNTIF($H$312:$H$315,AW309)*SUM($D$37:$D$40)+COUNTIF($H$316:$H$323,AW309)*SUM($D$38:$D$40)+COUNTIF($H$324:$H$331,AW309)*SUM($D$39:$D$40)+COUNTIF($H$332:$H$343,AW309)*$D$40</f>
        <v>0</v>
      </c>
      <c r="AY309" s="251"/>
      <c r="AZ309" s="396"/>
      <c r="BA309" s="397">
        <f t="shared" ref="BA309" si="822">+COUNTIF($H$308:$H$309,AZ309)*SUM($D$35:$D$40)+COUNTIF($H$310:$H$311,AZ309)*SUM($D$36:$D$40)+COUNTIF($H$312:$H$315,AZ309)*SUM($D$37:$D$40)+COUNTIF($H$316:$H$323,AZ309)*SUM($D$38:$D$40)+COUNTIF($H$324:$H$331,AZ309)*SUM($D$39:$D$40)+COUNTIF($H$332:$H$343,AZ309)*$D$40</f>
        <v>0</v>
      </c>
      <c r="BB309" s="251"/>
      <c r="BC309" s="396"/>
      <c r="BD309" s="397">
        <f t="shared" ref="BD309" si="823">+COUNTIF($H$308:$H$309,BC309)*SUM($D$35:$D$40)+COUNTIF($H$310:$H$311,BC309)*SUM($D$36:$D$40)+COUNTIF($H$312:$H$315,BC309)*SUM($D$37:$D$40)+COUNTIF($H$316:$H$323,BC309)*SUM($D$38:$D$40)+COUNTIF($H$324:$H$331,BC309)*SUM($D$39:$D$40)+COUNTIF($H$332:$H$343,BC309)*$D$40</f>
        <v>0</v>
      </c>
      <c r="BE309" s="251"/>
      <c r="BF309" s="396"/>
      <c r="BG309" s="397">
        <f t="shared" ref="BG309" si="824">+COUNTIF($H$308:$H$309,BF309)*SUM($D$35:$D$40)+COUNTIF($H$310:$H$311,BF309)*SUM($D$36:$D$40)+COUNTIF($H$312:$H$315,BF309)*SUM($D$37:$D$40)+COUNTIF($H$316:$H$323,BF309)*SUM($D$38:$D$40)+COUNTIF($H$324:$H$331,BF309)*SUM($D$39:$D$40)+COUNTIF($H$332:$H$343,BF309)*$D$40</f>
        <v>0</v>
      </c>
      <c r="BH309" s="251"/>
      <c r="BI309" s="396"/>
      <c r="BJ309" s="397">
        <f t="shared" ref="BJ309" si="825">+COUNTIF($H$308:$H$309,BI309)*SUM($D$35:$D$40)+COUNTIF($H$310:$H$311,BI309)*SUM($D$36:$D$40)+COUNTIF($H$312:$H$315,BI309)*SUM($D$37:$D$40)+COUNTIF($H$316:$H$323,BI309)*SUM($D$38:$D$40)+COUNTIF($H$324:$H$331,BI309)*SUM($D$39:$D$40)+COUNTIF($H$332:$H$343,BI309)*$D$40</f>
        <v>0</v>
      </c>
      <c r="BK309" s="251"/>
      <c r="BL309" s="396"/>
      <c r="BM309" s="397">
        <f t="shared" ref="BM309" si="826">+COUNTIF($H$308:$H$309,BL309)*SUM($D$35:$D$40)+COUNTIF($H$310:$H$311,BL309)*SUM($D$36:$D$40)+COUNTIF($H$312:$H$315,BL309)*SUM($D$37:$D$40)+COUNTIF($H$316:$H$323,BL309)*SUM($D$38:$D$40)+COUNTIF($H$324:$H$331,BL309)*SUM($D$39:$D$40)+COUNTIF($H$332:$H$343,BL309)*$D$40</f>
        <v>0</v>
      </c>
      <c r="BN309" s="251"/>
      <c r="BO309" s="396"/>
      <c r="BP309" s="397">
        <f t="shared" ref="BP309" si="827">+COUNTIF($H$308:$H$309,BO309)*SUM($D$35:$D$40)+COUNTIF($H$310:$H$311,BO309)*SUM($D$36:$D$40)+COUNTIF($H$312:$H$315,BO309)*SUM($D$37:$D$40)+COUNTIF($H$316:$H$323,BO309)*SUM($D$38:$D$40)+COUNTIF($H$324:$H$331,BO309)*SUM($D$39:$D$40)+COUNTIF($H$332:$H$343,BO309)*$D$40</f>
        <v>0</v>
      </c>
      <c r="BQ309" s="251"/>
      <c r="BR309" s="396"/>
      <c r="BS309" s="397">
        <f t="shared" ref="BS309" si="828">+COUNTIF($H$308:$H$309,BR309)*SUM($D$35:$D$40)+COUNTIF($H$310:$H$311,BR309)*SUM($D$36:$D$40)+COUNTIF($H$312:$H$315,BR309)*SUM($D$37:$D$40)+COUNTIF($H$316:$H$323,BR309)*SUM($D$38:$D$40)+COUNTIF($H$324:$H$331,BR309)*SUM($D$39:$D$40)+COUNTIF($H$332:$H$343,BR309)*$D$40</f>
        <v>0</v>
      </c>
      <c r="BT309" s="251"/>
      <c r="BU309" s="396"/>
      <c r="BV309" s="397">
        <f t="shared" ref="BV309" si="829">+COUNTIF($H$308:$H$309,BU309)*SUM($D$35:$D$40)+COUNTIF($H$310:$H$311,BU309)*SUM($D$36:$D$40)+COUNTIF($H$312:$H$315,BU309)*SUM($D$37:$D$40)+COUNTIF($H$316:$H$323,BU309)*SUM($D$38:$D$40)+COUNTIF($H$324:$H$331,BU309)*SUM($D$39:$D$40)+COUNTIF($H$332:$H$343,BU309)*$D$40</f>
        <v>0</v>
      </c>
      <c r="BW309" s="251"/>
      <c r="BX309" s="396"/>
      <c r="BY309" s="397">
        <f t="shared" ref="BY309" si="830">+COUNTIF($H$308:$H$309,BX309)*SUM($D$35:$D$40)+COUNTIF($H$310:$H$311,BX309)*SUM($D$36:$D$40)+COUNTIF($H$312:$H$315,BX309)*SUM($D$37:$D$40)+COUNTIF($H$316:$H$323,BX309)*SUM($D$38:$D$40)+COUNTIF($H$324:$H$331,BX309)*SUM($D$39:$D$40)+COUNTIF($H$332:$H$343,BX309)*$D$40</f>
        <v>0</v>
      </c>
      <c r="BZ309" s="251"/>
      <c r="CA309" s="396"/>
      <c r="CB309" s="397">
        <f t="shared" ref="CB309" si="831">+COUNTIF($H$308:$H$309,CA309)*SUM($D$35:$D$40)+COUNTIF($H$310:$H$311,CA309)*SUM($D$36:$D$40)+COUNTIF($H$312:$H$315,CA309)*SUM($D$37:$D$40)+COUNTIF($H$316:$H$323,CA309)*SUM($D$38:$D$40)+COUNTIF($H$324:$H$331,CA309)*SUM($D$39:$D$40)+COUNTIF($H$332:$H$343,CA309)*$D$40</f>
        <v>0</v>
      </c>
      <c r="CC309" s="251"/>
      <c r="CD309" s="396"/>
      <c r="CE309" s="397">
        <f t="shared" ref="CE309" si="832">+COUNTIF($H$308:$H$309,CD309)*SUM($D$35:$D$40)+COUNTIF($H$310:$H$311,CD309)*SUM($D$36:$D$40)+COUNTIF($H$312:$H$315,CD309)*SUM($D$37:$D$40)+COUNTIF($H$316:$H$323,CD309)*SUM($D$38:$D$40)+COUNTIF($H$324:$H$331,CD309)*SUM($D$39:$D$40)+COUNTIF($H$332:$H$343,CD309)*$D$40</f>
        <v>0</v>
      </c>
      <c r="CF309" s="251"/>
      <c r="CG309" s="251"/>
      <c r="CH309" s="251"/>
    </row>
    <row r="310" spans="1:86" ht="15" customHeight="1">
      <c r="A310" s="219"/>
      <c r="B310" s="219"/>
      <c r="C310" s="219"/>
      <c r="D310" s="219"/>
      <c r="E310" s="219"/>
      <c r="F310" s="564"/>
      <c r="G310" s="320" t="str">
        <f>+Idiomas!D368</f>
        <v>Semifinales</v>
      </c>
      <c r="H310" s="398" t="str">
        <f>IF(AND(OR(League!G195="",League!H195="",League!G194="",League!H194="")),"L"&amp;League!A195,IF(League!G194+League!H195&gt;League!H194+League!G195,League!D195,IF(League!G194+League!H195&lt;League!H194+League!G195,League!K195,IF(AND(League!G194+League!H195=League!H194+League!G195,League!F195=League!I195),"L"&amp;League!A195,IF(AND(League!G194+League!H195=League!H194+League!G195,OR(League!F195="",League!I195="")),"L"&amp;League!A195,IF(AND(League!G194+League!H195=League!H194+League!G195,League!F195&gt;League!I195),League!K195,League!D195))))))</f>
        <v>LS1</v>
      </c>
      <c r="I310" s="219"/>
      <c r="J310" s="326"/>
      <c r="K310" s="341">
        <f>+COUNTIF($H$308:$H$311,J310)*SUM($D$36:$D$40)+COUNTIF($H$312:$H$315,J310)*SUM($D$37:$D$40)+COUNTIF($H$316:$H$323,J310)*SUM($D$38:$D$40)+COUNTIF($H$324:$H$331,J310)*SUM($D$39:$D$40)+COUNTIF($H$332:$H$343,J310)*$D$40</f>
        <v>0</v>
      </c>
      <c r="L310" s="251"/>
      <c r="M310" s="326"/>
      <c r="N310" s="341">
        <f t="shared" ref="N310" si="833">+COUNTIF($H$308:$H$311,M310)*SUM($D$36:$D$40)+COUNTIF($H$312:$H$315,M310)*SUM($D$37:$D$40)+COUNTIF($H$316:$H$323,M310)*SUM($D$38:$D$40)+COUNTIF($H$324:$H$331,M310)*SUM($D$39:$D$40)+COUNTIF($H$332:$H$343,M310)*$D$40</f>
        <v>0</v>
      </c>
      <c r="O310" s="251"/>
      <c r="P310" s="326"/>
      <c r="Q310" s="341">
        <f t="shared" ref="Q310" si="834">+COUNTIF($H$308:$H$311,P310)*SUM($D$36:$D$40)+COUNTIF($H$312:$H$315,P310)*SUM($D$37:$D$40)+COUNTIF($H$316:$H$323,P310)*SUM($D$38:$D$40)+COUNTIF($H$324:$H$331,P310)*SUM($D$39:$D$40)+COUNTIF($H$332:$H$343,P310)*$D$40</f>
        <v>0</v>
      </c>
      <c r="R310" s="251"/>
      <c r="S310" s="326"/>
      <c r="T310" s="341">
        <f t="shared" ref="T310" si="835">+COUNTIF($H$308:$H$311,S310)*SUM($D$36:$D$40)+COUNTIF($H$312:$H$315,S310)*SUM($D$37:$D$40)+COUNTIF($H$316:$H$323,S310)*SUM($D$38:$D$40)+COUNTIF($H$324:$H$331,S310)*SUM($D$39:$D$40)+COUNTIF($H$332:$H$343,S310)*$D$40</f>
        <v>0</v>
      </c>
      <c r="U310" s="251"/>
      <c r="V310" s="326"/>
      <c r="W310" s="341">
        <f t="shared" ref="W310" si="836">+COUNTIF($H$308:$H$311,V310)*SUM($D$36:$D$40)+COUNTIF($H$312:$H$315,V310)*SUM($D$37:$D$40)+COUNTIF($H$316:$H$323,V310)*SUM($D$38:$D$40)+COUNTIF($H$324:$H$331,V310)*SUM($D$39:$D$40)+COUNTIF($H$332:$H$343,V310)*$D$40</f>
        <v>0</v>
      </c>
      <c r="X310" s="251"/>
      <c r="Y310" s="326"/>
      <c r="Z310" s="341">
        <f t="shared" ref="Z310" si="837">+COUNTIF($H$308:$H$311,Y310)*SUM($D$36:$D$40)+COUNTIF($H$312:$H$315,Y310)*SUM($D$37:$D$40)+COUNTIF($H$316:$H$323,Y310)*SUM($D$38:$D$40)+COUNTIF($H$324:$H$331,Y310)*SUM($D$39:$D$40)+COUNTIF($H$332:$H$343,Y310)*$D$40</f>
        <v>0</v>
      </c>
      <c r="AA310" s="251"/>
      <c r="AB310" s="326"/>
      <c r="AC310" s="341">
        <f t="shared" ref="AC310" si="838">+COUNTIF($H$308:$H$311,AB310)*SUM($D$36:$D$40)+COUNTIF($H$312:$H$315,AB310)*SUM($D$37:$D$40)+COUNTIF($H$316:$H$323,AB310)*SUM($D$38:$D$40)+COUNTIF($H$324:$H$331,AB310)*SUM($D$39:$D$40)+COUNTIF($H$332:$H$343,AB310)*$D$40</f>
        <v>0</v>
      </c>
      <c r="AD310" s="251"/>
      <c r="AE310" s="326"/>
      <c r="AF310" s="341">
        <f t="shared" ref="AF310" si="839">+COUNTIF($H$308:$H$311,AE310)*SUM($D$36:$D$40)+COUNTIF($H$312:$H$315,AE310)*SUM($D$37:$D$40)+COUNTIF($H$316:$H$323,AE310)*SUM($D$38:$D$40)+COUNTIF($H$324:$H$331,AE310)*SUM($D$39:$D$40)+COUNTIF($H$332:$H$343,AE310)*$D$40</f>
        <v>0</v>
      </c>
      <c r="AG310" s="251"/>
      <c r="AH310" s="326"/>
      <c r="AI310" s="341">
        <f t="shared" ref="AI310" si="840">+COUNTIF($H$308:$H$311,AH310)*SUM($D$36:$D$40)+COUNTIF($H$312:$H$315,AH310)*SUM($D$37:$D$40)+COUNTIF($H$316:$H$323,AH310)*SUM($D$38:$D$40)+COUNTIF($H$324:$H$331,AH310)*SUM($D$39:$D$40)+COUNTIF($H$332:$H$343,AH310)*$D$40</f>
        <v>0</v>
      </c>
      <c r="AJ310" s="251"/>
      <c r="AK310" s="326"/>
      <c r="AL310" s="341">
        <f t="shared" ref="AL310" si="841">+COUNTIF($H$308:$H$311,AK310)*SUM($D$36:$D$40)+COUNTIF($H$312:$H$315,AK310)*SUM($D$37:$D$40)+COUNTIF($H$316:$H$323,AK310)*SUM($D$38:$D$40)+COUNTIF($H$324:$H$331,AK310)*SUM($D$39:$D$40)+COUNTIF($H$332:$H$343,AK310)*$D$40</f>
        <v>0</v>
      </c>
      <c r="AM310" s="251"/>
      <c r="AN310" s="326"/>
      <c r="AO310" s="341">
        <f t="shared" ref="AO310" si="842">+COUNTIF($H$308:$H$311,AN310)*SUM($D$36:$D$40)+COUNTIF($H$312:$H$315,AN310)*SUM($D$37:$D$40)+COUNTIF($H$316:$H$323,AN310)*SUM($D$38:$D$40)+COUNTIF($H$324:$H$331,AN310)*SUM($D$39:$D$40)+COUNTIF($H$332:$H$343,AN310)*$D$40</f>
        <v>0</v>
      </c>
      <c r="AP310" s="251"/>
      <c r="AQ310" s="326"/>
      <c r="AR310" s="341">
        <f t="shared" ref="AR310" si="843">+COUNTIF($H$308:$H$311,AQ310)*SUM($D$36:$D$40)+COUNTIF($H$312:$H$315,AQ310)*SUM($D$37:$D$40)+COUNTIF($H$316:$H$323,AQ310)*SUM($D$38:$D$40)+COUNTIF($H$324:$H$331,AQ310)*SUM($D$39:$D$40)+COUNTIF($H$332:$H$343,AQ310)*$D$40</f>
        <v>0</v>
      </c>
      <c r="AS310" s="251"/>
      <c r="AT310" s="326"/>
      <c r="AU310" s="341">
        <f t="shared" ref="AU310" si="844">+COUNTIF($H$308:$H$311,AT310)*SUM($D$36:$D$40)+COUNTIF($H$312:$H$315,AT310)*SUM($D$37:$D$40)+COUNTIF($H$316:$H$323,AT310)*SUM($D$38:$D$40)+COUNTIF($H$324:$H$331,AT310)*SUM($D$39:$D$40)+COUNTIF($H$332:$H$343,AT310)*$D$40</f>
        <v>0</v>
      </c>
      <c r="AV310" s="251"/>
      <c r="AW310" s="326"/>
      <c r="AX310" s="341">
        <f t="shared" ref="AX310" si="845">+COUNTIF($H$308:$H$311,AW310)*SUM($D$36:$D$40)+COUNTIF($H$312:$H$315,AW310)*SUM($D$37:$D$40)+COUNTIF($H$316:$H$323,AW310)*SUM($D$38:$D$40)+COUNTIF($H$324:$H$331,AW310)*SUM($D$39:$D$40)+COUNTIF($H$332:$H$343,AW310)*$D$40</f>
        <v>0</v>
      </c>
      <c r="AY310" s="251"/>
      <c r="AZ310" s="326"/>
      <c r="BA310" s="341">
        <f t="shared" ref="BA310" si="846">+COUNTIF($H$308:$H$311,AZ310)*SUM($D$36:$D$40)+COUNTIF($H$312:$H$315,AZ310)*SUM($D$37:$D$40)+COUNTIF($H$316:$H$323,AZ310)*SUM($D$38:$D$40)+COUNTIF($H$324:$H$331,AZ310)*SUM($D$39:$D$40)+COUNTIF($H$332:$H$343,AZ310)*$D$40</f>
        <v>0</v>
      </c>
      <c r="BB310" s="251"/>
      <c r="BC310" s="326"/>
      <c r="BD310" s="341">
        <f t="shared" ref="BD310" si="847">+COUNTIF($H$308:$H$311,BC310)*SUM($D$36:$D$40)+COUNTIF($H$312:$H$315,BC310)*SUM($D$37:$D$40)+COUNTIF($H$316:$H$323,BC310)*SUM($D$38:$D$40)+COUNTIF($H$324:$H$331,BC310)*SUM($D$39:$D$40)+COUNTIF($H$332:$H$343,BC310)*$D$40</f>
        <v>0</v>
      </c>
      <c r="BE310" s="251"/>
      <c r="BF310" s="326"/>
      <c r="BG310" s="341">
        <f t="shared" ref="BG310" si="848">+COUNTIF($H$308:$H$311,BF310)*SUM($D$36:$D$40)+COUNTIF($H$312:$H$315,BF310)*SUM($D$37:$D$40)+COUNTIF($H$316:$H$323,BF310)*SUM($D$38:$D$40)+COUNTIF($H$324:$H$331,BF310)*SUM($D$39:$D$40)+COUNTIF($H$332:$H$343,BF310)*$D$40</f>
        <v>0</v>
      </c>
      <c r="BH310" s="251"/>
      <c r="BI310" s="326"/>
      <c r="BJ310" s="341">
        <f t="shared" ref="BJ310" si="849">+COUNTIF($H$308:$H$311,BI310)*SUM($D$36:$D$40)+COUNTIF($H$312:$H$315,BI310)*SUM($D$37:$D$40)+COUNTIF($H$316:$H$323,BI310)*SUM($D$38:$D$40)+COUNTIF($H$324:$H$331,BI310)*SUM($D$39:$D$40)+COUNTIF($H$332:$H$343,BI310)*$D$40</f>
        <v>0</v>
      </c>
      <c r="BK310" s="251"/>
      <c r="BL310" s="326"/>
      <c r="BM310" s="341">
        <f t="shared" ref="BM310" si="850">+COUNTIF($H$308:$H$311,BL310)*SUM($D$36:$D$40)+COUNTIF($H$312:$H$315,BL310)*SUM($D$37:$D$40)+COUNTIF($H$316:$H$323,BL310)*SUM($D$38:$D$40)+COUNTIF($H$324:$H$331,BL310)*SUM($D$39:$D$40)+COUNTIF($H$332:$H$343,BL310)*$D$40</f>
        <v>0</v>
      </c>
      <c r="BN310" s="251"/>
      <c r="BO310" s="326"/>
      <c r="BP310" s="341">
        <f t="shared" ref="BP310" si="851">+COUNTIF($H$308:$H$311,BO310)*SUM($D$36:$D$40)+COUNTIF($H$312:$H$315,BO310)*SUM($D$37:$D$40)+COUNTIF($H$316:$H$323,BO310)*SUM($D$38:$D$40)+COUNTIF($H$324:$H$331,BO310)*SUM($D$39:$D$40)+COUNTIF($H$332:$H$343,BO310)*$D$40</f>
        <v>0</v>
      </c>
      <c r="BQ310" s="251"/>
      <c r="BR310" s="326"/>
      <c r="BS310" s="341">
        <f t="shared" ref="BS310" si="852">+COUNTIF($H$308:$H$311,BR310)*SUM($D$36:$D$40)+COUNTIF($H$312:$H$315,BR310)*SUM($D$37:$D$40)+COUNTIF($H$316:$H$323,BR310)*SUM($D$38:$D$40)+COUNTIF($H$324:$H$331,BR310)*SUM($D$39:$D$40)+COUNTIF($H$332:$H$343,BR310)*$D$40</f>
        <v>0</v>
      </c>
      <c r="BT310" s="251"/>
      <c r="BU310" s="326"/>
      <c r="BV310" s="341">
        <f t="shared" ref="BV310" si="853">+COUNTIF($H$308:$H$311,BU310)*SUM($D$36:$D$40)+COUNTIF($H$312:$H$315,BU310)*SUM($D$37:$D$40)+COUNTIF($H$316:$H$323,BU310)*SUM($D$38:$D$40)+COUNTIF($H$324:$H$331,BU310)*SUM($D$39:$D$40)+COUNTIF($H$332:$H$343,BU310)*$D$40</f>
        <v>0</v>
      </c>
      <c r="BW310" s="251"/>
      <c r="BX310" s="326"/>
      <c r="BY310" s="341">
        <f t="shared" ref="BY310" si="854">+COUNTIF($H$308:$H$311,BX310)*SUM($D$36:$D$40)+COUNTIF($H$312:$H$315,BX310)*SUM($D$37:$D$40)+COUNTIF($H$316:$H$323,BX310)*SUM($D$38:$D$40)+COUNTIF($H$324:$H$331,BX310)*SUM($D$39:$D$40)+COUNTIF($H$332:$H$343,BX310)*$D$40</f>
        <v>0</v>
      </c>
      <c r="BZ310" s="251"/>
      <c r="CA310" s="326"/>
      <c r="CB310" s="341">
        <f t="shared" ref="CB310" si="855">+COUNTIF($H$308:$H$311,CA310)*SUM($D$36:$D$40)+COUNTIF($H$312:$H$315,CA310)*SUM($D$37:$D$40)+COUNTIF($H$316:$H$323,CA310)*SUM($D$38:$D$40)+COUNTIF($H$324:$H$331,CA310)*SUM($D$39:$D$40)+COUNTIF($H$332:$H$343,CA310)*$D$40</f>
        <v>0</v>
      </c>
      <c r="CC310" s="251"/>
      <c r="CD310" s="326"/>
      <c r="CE310" s="341">
        <f t="shared" ref="CE310" si="856">+COUNTIF($H$308:$H$311,CD310)*SUM($D$36:$D$40)+COUNTIF($H$312:$H$315,CD310)*SUM($D$37:$D$40)+COUNTIF($H$316:$H$323,CD310)*SUM($D$38:$D$40)+COUNTIF($H$324:$H$331,CD310)*SUM($D$39:$D$40)+COUNTIF($H$332:$H$343,CD310)*$D$40</f>
        <v>0</v>
      </c>
      <c r="CF310" s="251"/>
      <c r="CG310" s="251"/>
      <c r="CH310" s="251"/>
    </row>
    <row r="311" spans="1:86" ht="15" customHeight="1">
      <c r="A311" s="219"/>
      <c r="B311" s="219"/>
      <c r="C311" s="219"/>
      <c r="D311" s="219"/>
      <c r="E311" s="219"/>
      <c r="F311" s="564"/>
      <c r="G311" s="394" t="str">
        <f>+Idiomas!D368</f>
        <v>Semifinales</v>
      </c>
      <c r="H311" s="395" t="str">
        <f>IF(AND(OR(League!G197="",League!H197="",League!G196="",League!H196="")),"L"&amp;League!A197,IF(League!G196+League!H197&gt;League!H196+League!G197,League!D197,IF(League!G196+League!H197&lt;League!H196+League!G197,League!K197,IF(AND(League!G196+League!H197=League!H196+League!G197,League!F197=League!I197),"L"&amp;League!A197,IF(AND(League!G196+League!H197=League!H196+League!G197,OR(League!F197="",League!I197="")),"L"&amp;League!A197,IF(AND(League!G196+League!H197=League!H196+League!G197,League!F197&gt;League!I197),League!K197,League!D197))))))</f>
        <v>LS2</v>
      </c>
      <c r="I311" s="219"/>
      <c r="J311" s="396"/>
      <c r="K311" s="397">
        <f>+COUNTIF($H$308:$H$311,J311)*SUM($D$36:$D$40)+COUNTIF($H$312:$H$315,J311)*SUM($D$37:$D$40)+COUNTIF($H$316:$H$323,J311)*SUM($D$38:$D$40)+COUNTIF($H$324:$H$331,J311)*SUM($D$39:$D$40)+COUNTIF($H$332:$H$343,J311)*$D$40</f>
        <v>0</v>
      </c>
      <c r="L311" s="251"/>
      <c r="M311" s="396"/>
      <c r="N311" s="397">
        <f t="shared" ref="N311" si="857">+COUNTIF($H$308:$H$311,M311)*SUM($D$36:$D$40)+COUNTIF($H$312:$H$315,M311)*SUM($D$37:$D$40)+COUNTIF($H$316:$H$323,M311)*SUM($D$38:$D$40)+COUNTIF($H$324:$H$331,M311)*SUM($D$39:$D$40)+COUNTIF($H$332:$H$343,M311)*$D$40</f>
        <v>0</v>
      </c>
      <c r="O311" s="251"/>
      <c r="P311" s="396"/>
      <c r="Q311" s="397">
        <f t="shared" ref="Q311" si="858">+COUNTIF($H$308:$H$311,P311)*SUM($D$36:$D$40)+COUNTIF($H$312:$H$315,P311)*SUM($D$37:$D$40)+COUNTIF($H$316:$H$323,P311)*SUM($D$38:$D$40)+COUNTIF($H$324:$H$331,P311)*SUM($D$39:$D$40)+COUNTIF($H$332:$H$343,P311)*$D$40</f>
        <v>0</v>
      </c>
      <c r="R311" s="251"/>
      <c r="S311" s="396"/>
      <c r="T311" s="397">
        <f t="shared" ref="T311" si="859">+COUNTIF($H$308:$H$311,S311)*SUM($D$36:$D$40)+COUNTIF($H$312:$H$315,S311)*SUM($D$37:$D$40)+COUNTIF($H$316:$H$323,S311)*SUM($D$38:$D$40)+COUNTIF($H$324:$H$331,S311)*SUM($D$39:$D$40)+COUNTIF($H$332:$H$343,S311)*$D$40</f>
        <v>0</v>
      </c>
      <c r="U311" s="251"/>
      <c r="V311" s="396"/>
      <c r="W311" s="397">
        <f t="shared" ref="W311" si="860">+COUNTIF($H$308:$H$311,V311)*SUM($D$36:$D$40)+COUNTIF($H$312:$H$315,V311)*SUM($D$37:$D$40)+COUNTIF($H$316:$H$323,V311)*SUM($D$38:$D$40)+COUNTIF($H$324:$H$331,V311)*SUM($D$39:$D$40)+COUNTIF($H$332:$H$343,V311)*$D$40</f>
        <v>0</v>
      </c>
      <c r="X311" s="251"/>
      <c r="Y311" s="396"/>
      <c r="Z311" s="397">
        <f t="shared" ref="Z311" si="861">+COUNTIF($H$308:$H$311,Y311)*SUM($D$36:$D$40)+COUNTIF($H$312:$H$315,Y311)*SUM($D$37:$D$40)+COUNTIF($H$316:$H$323,Y311)*SUM($D$38:$D$40)+COUNTIF($H$324:$H$331,Y311)*SUM($D$39:$D$40)+COUNTIF($H$332:$H$343,Y311)*$D$40</f>
        <v>0</v>
      </c>
      <c r="AA311" s="251"/>
      <c r="AB311" s="396"/>
      <c r="AC311" s="397">
        <f t="shared" ref="AC311" si="862">+COUNTIF($H$308:$H$311,AB311)*SUM($D$36:$D$40)+COUNTIF($H$312:$H$315,AB311)*SUM($D$37:$D$40)+COUNTIF($H$316:$H$323,AB311)*SUM($D$38:$D$40)+COUNTIF($H$324:$H$331,AB311)*SUM($D$39:$D$40)+COUNTIF($H$332:$H$343,AB311)*$D$40</f>
        <v>0</v>
      </c>
      <c r="AD311" s="251"/>
      <c r="AE311" s="396"/>
      <c r="AF311" s="397">
        <f t="shared" ref="AF311" si="863">+COUNTIF($H$308:$H$311,AE311)*SUM($D$36:$D$40)+COUNTIF($H$312:$H$315,AE311)*SUM($D$37:$D$40)+COUNTIF($H$316:$H$323,AE311)*SUM($D$38:$D$40)+COUNTIF($H$324:$H$331,AE311)*SUM($D$39:$D$40)+COUNTIF($H$332:$H$343,AE311)*$D$40</f>
        <v>0</v>
      </c>
      <c r="AG311" s="251"/>
      <c r="AH311" s="396"/>
      <c r="AI311" s="397">
        <f t="shared" ref="AI311" si="864">+COUNTIF($H$308:$H$311,AH311)*SUM($D$36:$D$40)+COUNTIF($H$312:$H$315,AH311)*SUM($D$37:$D$40)+COUNTIF($H$316:$H$323,AH311)*SUM($D$38:$D$40)+COUNTIF($H$324:$H$331,AH311)*SUM($D$39:$D$40)+COUNTIF($H$332:$H$343,AH311)*$D$40</f>
        <v>0</v>
      </c>
      <c r="AJ311" s="251"/>
      <c r="AK311" s="396"/>
      <c r="AL311" s="397">
        <f t="shared" ref="AL311" si="865">+COUNTIF($H$308:$H$311,AK311)*SUM($D$36:$D$40)+COUNTIF($H$312:$H$315,AK311)*SUM($D$37:$D$40)+COUNTIF($H$316:$H$323,AK311)*SUM($D$38:$D$40)+COUNTIF($H$324:$H$331,AK311)*SUM($D$39:$D$40)+COUNTIF($H$332:$H$343,AK311)*$D$40</f>
        <v>0</v>
      </c>
      <c r="AM311" s="251"/>
      <c r="AN311" s="396"/>
      <c r="AO311" s="397">
        <f t="shared" ref="AO311" si="866">+COUNTIF($H$308:$H$311,AN311)*SUM($D$36:$D$40)+COUNTIF($H$312:$H$315,AN311)*SUM($D$37:$D$40)+COUNTIF($H$316:$H$323,AN311)*SUM($D$38:$D$40)+COUNTIF($H$324:$H$331,AN311)*SUM($D$39:$D$40)+COUNTIF($H$332:$H$343,AN311)*$D$40</f>
        <v>0</v>
      </c>
      <c r="AP311" s="251"/>
      <c r="AQ311" s="396"/>
      <c r="AR311" s="397">
        <f t="shared" ref="AR311" si="867">+COUNTIF($H$308:$H$311,AQ311)*SUM($D$36:$D$40)+COUNTIF($H$312:$H$315,AQ311)*SUM($D$37:$D$40)+COUNTIF($H$316:$H$323,AQ311)*SUM($D$38:$D$40)+COUNTIF($H$324:$H$331,AQ311)*SUM($D$39:$D$40)+COUNTIF($H$332:$H$343,AQ311)*$D$40</f>
        <v>0</v>
      </c>
      <c r="AS311" s="251"/>
      <c r="AT311" s="396"/>
      <c r="AU311" s="397">
        <f t="shared" ref="AU311" si="868">+COUNTIF($H$308:$H$311,AT311)*SUM($D$36:$D$40)+COUNTIF($H$312:$H$315,AT311)*SUM($D$37:$D$40)+COUNTIF($H$316:$H$323,AT311)*SUM($D$38:$D$40)+COUNTIF($H$324:$H$331,AT311)*SUM($D$39:$D$40)+COUNTIF($H$332:$H$343,AT311)*$D$40</f>
        <v>0</v>
      </c>
      <c r="AV311" s="251"/>
      <c r="AW311" s="396"/>
      <c r="AX311" s="397">
        <f t="shared" ref="AX311" si="869">+COUNTIF($H$308:$H$311,AW311)*SUM($D$36:$D$40)+COUNTIF($H$312:$H$315,AW311)*SUM($D$37:$D$40)+COUNTIF($H$316:$H$323,AW311)*SUM($D$38:$D$40)+COUNTIF($H$324:$H$331,AW311)*SUM($D$39:$D$40)+COUNTIF($H$332:$H$343,AW311)*$D$40</f>
        <v>0</v>
      </c>
      <c r="AY311" s="251"/>
      <c r="AZ311" s="396"/>
      <c r="BA311" s="397">
        <f t="shared" ref="BA311" si="870">+COUNTIF($H$308:$H$311,AZ311)*SUM($D$36:$D$40)+COUNTIF($H$312:$H$315,AZ311)*SUM($D$37:$D$40)+COUNTIF($H$316:$H$323,AZ311)*SUM($D$38:$D$40)+COUNTIF($H$324:$H$331,AZ311)*SUM($D$39:$D$40)+COUNTIF($H$332:$H$343,AZ311)*$D$40</f>
        <v>0</v>
      </c>
      <c r="BB311" s="251"/>
      <c r="BC311" s="396"/>
      <c r="BD311" s="397">
        <f t="shared" ref="BD311" si="871">+COUNTIF($H$308:$H$311,BC311)*SUM($D$36:$D$40)+COUNTIF($H$312:$H$315,BC311)*SUM($D$37:$D$40)+COUNTIF($H$316:$H$323,BC311)*SUM($D$38:$D$40)+COUNTIF($H$324:$H$331,BC311)*SUM($D$39:$D$40)+COUNTIF($H$332:$H$343,BC311)*$D$40</f>
        <v>0</v>
      </c>
      <c r="BE311" s="251"/>
      <c r="BF311" s="396"/>
      <c r="BG311" s="397">
        <f t="shared" ref="BG311" si="872">+COUNTIF($H$308:$H$311,BF311)*SUM($D$36:$D$40)+COUNTIF($H$312:$H$315,BF311)*SUM($D$37:$D$40)+COUNTIF($H$316:$H$323,BF311)*SUM($D$38:$D$40)+COUNTIF($H$324:$H$331,BF311)*SUM($D$39:$D$40)+COUNTIF($H$332:$H$343,BF311)*$D$40</f>
        <v>0</v>
      </c>
      <c r="BH311" s="251"/>
      <c r="BI311" s="396"/>
      <c r="BJ311" s="397">
        <f t="shared" ref="BJ311" si="873">+COUNTIF($H$308:$H$311,BI311)*SUM($D$36:$D$40)+COUNTIF($H$312:$H$315,BI311)*SUM($D$37:$D$40)+COUNTIF($H$316:$H$323,BI311)*SUM($D$38:$D$40)+COUNTIF($H$324:$H$331,BI311)*SUM($D$39:$D$40)+COUNTIF($H$332:$H$343,BI311)*$D$40</f>
        <v>0</v>
      </c>
      <c r="BK311" s="251"/>
      <c r="BL311" s="396"/>
      <c r="BM311" s="397">
        <f t="shared" ref="BM311" si="874">+COUNTIF($H$308:$H$311,BL311)*SUM($D$36:$D$40)+COUNTIF($H$312:$H$315,BL311)*SUM($D$37:$D$40)+COUNTIF($H$316:$H$323,BL311)*SUM($D$38:$D$40)+COUNTIF($H$324:$H$331,BL311)*SUM($D$39:$D$40)+COUNTIF($H$332:$H$343,BL311)*$D$40</f>
        <v>0</v>
      </c>
      <c r="BN311" s="251"/>
      <c r="BO311" s="396"/>
      <c r="BP311" s="397">
        <f t="shared" ref="BP311" si="875">+COUNTIF($H$308:$H$311,BO311)*SUM($D$36:$D$40)+COUNTIF($H$312:$H$315,BO311)*SUM($D$37:$D$40)+COUNTIF($H$316:$H$323,BO311)*SUM($D$38:$D$40)+COUNTIF($H$324:$H$331,BO311)*SUM($D$39:$D$40)+COUNTIF($H$332:$H$343,BO311)*$D$40</f>
        <v>0</v>
      </c>
      <c r="BQ311" s="251"/>
      <c r="BR311" s="396"/>
      <c r="BS311" s="397">
        <f t="shared" ref="BS311" si="876">+COUNTIF($H$308:$H$311,BR311)*SUM($D$36:$D$40)+COUNTIF($H$312:$H$315,BR311)*SUM($D$37:$D$40)+COUNTIF($H$316:$H$323,BR311)*SUM($D$38:$D$40)+COUNTIF($H$324:$H$331,BR311)*SUM($D$39:$D$40)+COUNTIF($H$332:$H$343,BR311)*$D$40</f>
        <v>0</v>
      </c>
      <c r="BT311" s="251"/>
      <c r="BU311" s="396"/>
      <c r="BV311" s="397">
        <f t="shared" ref="BV311" si="877">+COUNTIF($H$308:$H$311,BU311)*SUM($D$36:$D$40)+COUNTIF($H$312:$H$315,BU311)*SUM($D$37:$D$40)+COUNTIF($H$316:$H$323,BU311)*SUM($D$38:$D$40)+COUNTIF($H$324:$H$331,BU311)*SUM($D$39:$D$40)+COUNTIF($H$332:$H$343,BU311)*$D$40</f>
        <v>0</v>
      </c>
      <c r="BW311" s="251"/>
      <c r="BX311" s="396"/>
      <c r="BY311" s="397">
        <f t="shared" ref="BY311" si="878">+COUNTIF($H$308:$H$311,BX311)*SUM($D$36:$D$40)+COUNTIF($H$312:$H$315,BX311)*SUM($D$37:$D$40)+COUNTIF($H$316:$H$323,BX311)*SUM($D$38:$D$40)+COUNTIF($H$324:$H$331,BX311)*SUM($D$39:$D$40)+COUNTIF($H$332:$H$343,BX311)*$D$40</f>
        <v>0</v>
      </c>
      <c r="BZ311" s="251"/>
      <c r="CA311" s="396"/>
      <c r="CB311" s="397">
        <f t="shared" ref="CB311" si="879">+COUNTIF($H$308:$H$311,CA311)*SUM($D$36:$D$40)+COUNTIF($H$312:$H$315,CA311)*SUM($D$37:$D$40)+COUNTIF($H$316:$H$323,CA311)*SUM($D$38:$D$40)+COUNTIF($H$324:$H$331,CA311)*SUM($D$39:$D$40)+COUNTIF($H$332:$H$343,CA311)*$D$40</f>
        <v>0</v>
      </c>
      <c r="CC311" s="251"/>
      <c r="CD311" s="396"/>
      <c r="CE311" s="397">
        <f t="shared" ref="CE311" si="880">+COUNTIF($H$308:$H$311,CD311)*SUM($D$36:$D$40)+COUNTIF($H$312:$H$315,CD311)*SUM($D$37:$D$40)+COUNTIF($H$316:$H$323,CD311)*SUM($D$38:$D$40)+COUNTIF($H$324:$H$331,CD311)*SUM($D$39:$D$40)+COUNTIF($H$332:$H$343,CD311)*$D$40</f>
        <v>0</v>
      </c>
      <c r="CF311" s="251"/>
      <c r="CG311" s="251"/>
      <c r="CH311" s="251"/>
    </row>
    <row r="312" spans="1:86" ht="15" customHeight="1">
      <c r="A312" s="219"/>
      <c r="B312" s="219"/>
      <c r="C312" s="219"/>
      <c r="D312" s="219"/>
      <c r="E312" s="219"/>
      <c r="F312" s="564"/>
      <c r="G312" s="320" t="str">
        <f>+Idiomas!D369</f>
        <v>Cuartos de final</v>
      </c>
      <c r="H312" s="398" t="str">
        <f>IF(AND(OR(League!G185="",League!H185="",League!G184="",League!H184="")),"L"&amp;League!A185,IF(League!G184+League!H185&gt;League!H184+League!G185,League!D185,IF(League!G184+League!H185&lt;League!H184+League!G185,League!K185,IF(AND(League!G184+League!H185=League!H184+League!G185,League!F185=League!I185),"L"&amp;League!A185,IF(AND(League!G184+League!H185=League!H184+League!G185,OR(League!F185="",League!I185="")),"L"&amp;League!A185,IF(AND(League!G184+League!H185=League!H184+League!G185,League!F185&gt;League!I185),League!K185,League!D185))))))</f>
        <v>LC1</v>
      </c>
      <c r="I312" s="219"/>
      <c r="J312" s="340"/>
      <c r="K312" s="341">
        <f>+COUNTIF($H$308:$H$315,J312)*SUM($D$37:$D$40)+COUNTIF($H$316:$H$323,J312)*SUM($D$38:$D$40)+COUNTIF($H$324:$H$331,J312)*SUM($D$39:$D$40)+COUNTIF($H$332:$H$343,J312)*$D$40</f>
        <v>0</v>
      </c>
      <c r="L312" s="251"/>
      <c r="M312" s="340"/>
      <c r="N312" s="341">
        <f t="shared" ref="N312" si="881">+COUNTIF($H$308:$H$315,M312)*SUM($D$37:$D$40)+COUNTIF($H$316:$H$323,M312)*SUM($D$38:$D$40)+COUNTIF($H$324:$H$331,M312)*SUM($D$39:$D$40)+COUNTIF($H$332:$H$343,M312)*$D$40</f>
        <v>0</v>
      </c>
      <c r="O312" s="251"/>
      <c r="P312" s="340"/>
      <c r="Q312" s="341">
        <f t="shared" ref="Q312" si="882">+COUNTIF($H$308:$H$315,P312)*SUM($D$37:$D$40)+COUNTIF($H$316:$H$323,P312)*SUM($D$38:$D$40)+COUNTIF($H$324:$H$331,P312)*SUM($D$39:$D$40)+COUNTIF($H$332:$H$343,P312)*$D$40</f>
        <v>0</v>
      </c>
      <c r="R312" s="251"/>
      <c r="S312" s="340"/>
      <c r="T312" s="341">
        <f t="shared" ref="T312" si="883">+COUNTIF($H$308:$H$315,S312)*SUM($D$37:$D$40)+COUNTIF($H$316:$H$323,S312)*SUM($D$38:$D$40)+COUNTIF($H$324:$H$331,S312)*SUM($D$39:$D$40)+COUNTIF($H$332:$H$343,S312)*$D$40</f>
        <v>0</v>
      </c>
      <c r="U312" s="251"/>
      <c r="V312" s="340"/>
      <c r="W312" s="341">
        <f t="shared" ref="W312" si="884">+COUNTIF($H$308:$H$315,V312)*SUM($D$37:$D$40)+COUNTIF($H$316:$H$323,V312)*SUM($D$38:$D$40)+COUNTIF($H$324:$H$331,V312)*SUM($D$39:$D$40)+COUNTIF($H$332:$H$343,V312)*$D$40</f>
        <v>0</v>
      </c>
      <c r="X312" s="251"/>
      <c r="Y312" s="340"/>
      <c r="Z312" s="341">
        <f t="shared" ref="Z312" si="885">+COUNTIF($H$308:$H$315,Y312)*SUM($D$37:$D$40)+COUNTIF($H$316:$H$323,Y312)*SUM($D$38:$D$40)+COUNTIF($H$324:$H$331,Y312)*SUM($D$39:$D$40)+COUNTIF($H$332:$H$343,Y312)*$D$40</f>
        <v>0</v>
      </c>
      <c r="AA312" s="251"/>
      <c r="AB312" s="340"/>
      <c r="AC312" s="341">
        <f t="shared" ref="AC312" si="886">+COUNTIF($H$308:$H$315,AB312)*SUM($D$37:$D$40)+COUNTIF($H$316:$H$323,AB312)*SUM($D$38:$D$40)+COUNTIF($H$324:$H$331,AB312)*SUM($D$39:$D$40)+COUNTIF($H$332:$H$343,AB312)*$D$40</f>
        <v>0</v>
      </c>
      <c r="AD312" s="251"/>
      <c r="AE312" s="340"/>
      <c r="AF312" s="341">
        <f t="shared" ref="AF312" si="887">+COUNTIF($H$308:$H$315,AE312)*SUM($D$37:$D$40)+COUNTIF($H$316:$H$323,AE312)*SUM($D$38:$D$40)+COUNTIF($H$324:$H$331,AE312)*SUM($D$39:$D$40)+COUNTIF($H$332:$H$343,AE312)*$D$40</f>
        <v>0</v>
      </c>
      <c r="AG312" s="251"/>
      <c r="AH312" s="340"/>
      <c r="AI312" s="341">
        <f t="shared" ref="AI312" si="888">+COUNTIF($H$308:$H$315,AH312)*SUM($D$37:$D$40)+COUNTIF($H$316:$H$323,AH312)*SUM($D$38:$D$40)+COUNTIF($H$324:$H$331,AH312)*SUM($D$39:$D$40)+COUNTIF($H$332:$H$343,AH312)*$D$40</f>
        <v>0</v>
      </c>
      <c r="AJ312" s="251"/>
      <c r="AK312" s="340"/>
      <c r="AL312" s="341">
        <f t="shared" ref="AL312" si="889">+COUNTIF($H$308:$H$315,AK312)*SUM($D$37:$D$40)+COUNTIF($H$316:$H$323,AK312)*SUM($D$38:$D$40)+COUNTIF($H$324:$H$331,AK312)*SUM($D$39:$D$40)+COUNTIF($H$332:$H$343,AK312)*$D$40</f>
        <v>0</v>
      </c>
      <c r="AM312" s="251"/>
      <c r="AN312" s="340"/>
      <c r="AO312" s="341">
        <f t="shared" ref="AO312" si="890">+COUNTIF($H$308:$H$315,AN312)*SUM($D$37:$D$40)+COUNTIF($H$316:$H$323,AN312)*SUM($D$38:$D$40)+COUNTIF($H$324:$H$331,AN312)*SUM($D$39:$D$40)+COUNTIF($H$332:$H$343,AN312)*$D$40</f>
        <v>0</v>
      </c>
      <c r="AP312" s="251"/>
      <c r="AQ312" s="340"/>
      <c r="AR312" s="341">
        <f t="shared" ref="AR312" si="891">+COUNTIF($H$308:$H$315,AQ312)*SUM($D$37:$D$40)+COUNTIF($H$316:$H$323,AQ312)*SUM($D$38:$D$40)+COUNTIF($H$324:$H$331,AQ312)*SUM($D$39:$D$40)+COUNTIF($H$332:$H$343,AQ312)*$D$40</f>
        <v>0</v>
      </c>
      <c r="AS312" s="251"/>
      <c r="AT312" s="340"/>
      <c r="AU312" s="341">
        <f t="shared" ref="AU312" si="892">+COUNTIF($H$308:$H$315,AT312)*SUM($D$37:$D$40)+COUNTIF($H$316:$H$323,AT312)*SUM($D$38:$D$40)+COUNTIF($H$324:$H$331,AT312)*SUM($D$39:$D$40)+COUNTIF($H$332:$H$343,AT312)*$D$40</f>
        <v>0</v>
      </c>
      <c r="AV312" s="251"/>
      <c r="AW312" s="340"/>
      <c r="AX312" s="341">
        <f t="shared" ref="AX312" si="893">+COUNTIF($H$308:$H$315,AW312)*SUM($D$37:$D$40)+COUNTIF($H$316:$H$323,AW312)*SUM($D$38:$D$40)+COUNTIF($H$324:$H$331,AW312)*SUM($D$39:$D$40)+COUNTIF($H$332:$H$343,AW312)*$D$40</f>
        <v>0</v>
      </c>
      <c r="AY312" s="251"/>
      <c r="AZ312" s="340"/>
      <c r="BA312" s="341">
        <f t="shared" ref="BA312" si="894">+COUNTIF($H$308:$H$315,AZ312)*SUM($D$37:$D$40)+COUNTIF($H$316:$H$323,AZ312)*SUM($D$38:$D$40)+COUNTIF($H$324:$H$331,AZ312)*SUM($D$39:$D$40)+COUNTIF($H$332:$H$343,AZ312)*$D$40</f>
        <v>0</v>
      </c>
      <c r="BB312" s="251"/>
      <c r="BC312" s="340"/>
      <c r="BD312" s="341">
        <f t="shared" ref="BD312" si="895">+COUNTIF($H$308:$H$315,BC312)*SUM($D$37:$D$40)+COUNTIF($H$316:$H$323,BC312)*SUM($D$38:$D$40)+COUNTIF($H$324:$H$331,BC312)*SUM($D$39:$D$40)+COUNTIF($H$332:$H$343,BC312)*$D$40</f>
        <v>0</v>
      </c>
      <c r="BE312" s="251"/>
      <c r="BF312" s="340"/>
      <c r="BG312" s="341">
        <f t="shared" ref="BG312" si="896">+COUNTIF($H$308:$H$315,BF312)*SUM($D$37:$D$40)+COUNTIF($H$316:$H$323,BF312)*SUM($D$38:$D$40)+COUNTIF($H$324:$H$331,BF312)*SUM($D$39:$D$40)+COUNTIF($H$332:$H$343,BF312)*$D$40</f>
        <v>0</v>
      </c>
      <c r="BH312" s="251"/>
      <c r="BI312" s="340"/>
      <c r="BJ312" s="341">
        <f t="shared" ref="BJ312" si="897">+COUNTIF($H$308:$H$315,BI312)*SUM($D$37:$D$40)+COUNTIF($H$316:$H$323,BI312)*SUM($D$38:$D$40)+COUNTIF($H$324:$H$331,BI312)*SUM($D$39:$D$40)+COUNTIF($H$332:$H$343,BI312)*$D$40</f>
        <v>0</v>
      </c>
      <c r="BK312" s="251"/>
      <c r="BL312" s="340"/>
      <c r="BM312" s="341">
        <f t="shared" ref="BM312" si="898">+COUNTIF($H$308:$H$315,BL312)*SUM($D$37:$D$40)+COUNTIF($H$316:$H$323,BL312)*SUM($D$38:$D$40)+COUNTIF($H$324:$H$331,BL312)*SUM($D$39:$D$40)+COUNTIF($H$332:$H$343,BL312)*$D$40</f>
        <v>0</v>
      </c>
      <c r="BN312" s="251"/>
      <c r="BO312" s="340"/>
      <c r="BP312" s="341">
        <f t="shared" ref="BP312" si="899">+COUNTIF($H$308:$H$315,BO312)*SUM($D$37:$D$40)+COUNTIF($H$316:$H$323,BO312)*SUM($D$38:$D$40)+COUNTIF($H$324:$H$331,BO312)*SUM($D$39:$D$40)+COUNTIF($H$332:$H$343,BO312)*$D$40</f>
        <v>0</v>
      </c>
      <c r="BQ312" s="251"/>
      <c r="BR312" s="340"/>
      <c r="BS312" s="341">
        <f t="shared" ref="BS312" si="900">+COUNTIF($H$308:$H$315,BR312)*SUM($D$37:$D$40)+COUNTIF($H$316:$H$323,BR312)*SUM($D$38:$D$40)+COUNTIF($H$324:$H$331,BR312)*SUM($D$39:$D$40)+COUNTIF($H$332:$H$343,BR312)*$D$40</f>
        <v>0</v>
      </c>
      <c r="BT312" s="251"/>
      <c r="BU312" s="340"/>
      <c r="BV312" s="341">
        <f t="shared" ref="BV312" si="901">+COUNTIF($H$308:$H$315,BU312)*SUM($D$37:$D$40)+COUNTIF($H$316:$H$323,BU312)*SUM($D$38:$D$40)+COUNTIF($H$324:$H$331,BU312)*SUM($D$39:$D$40)+COUNTIF($H$332:$H$343,BU312)*$D$40</f>
        <v>0</v>
      </c>
      <c r="BW312" s="251"/>
      <c r="BX312" s="340"/>
      <c r="BY312" s="341">
        <f t="shared" ref="BY312" si="902">+COUNTIF($H$308:$H$315,BX312)*SUM($D$37:$D$40)+COUNTIF($H$316:$H$323,BX312)*SUM($D$38:$D$40)+COUNTIF($H$324:$H$331,BX312)*SUM($D$39:$D$40)+COUNTIF($H$332:$H$343,BX312)*$D$40</f>
        <v>0</v>
      </c>
      <c r="BZ312" s="251"/>
      <c r="CA312" s="340"/>
      <c r="CB312" s="341">
        <f t="shared" ref="CB312" si="903">+COUNTIF($H$308:$H$315,CA312)*SUM($D$37:$D$40)+COUNTIF($H$316:$H$323,CA312)*SUM($D$38:$D$40)+COUNTIF($H$324:$H$331,CA312)*SUM($D$39:$D$40)+COUNTIF($H$332:$H$343,CA312)*$D$40</f>
        <v>0</v>
      </c>
      <c r="CC312" s="251"/>
      <c r="CD312" s="340"/>
      <c r="CE312" s="341">
        <f t="shared" ref="CE312" si="904">+COUNTIF($H$308:$H$315,CD312)*SUM($D$37:$D$40)+COUNTIF($H$316:$H$323,CD312)*SUM($D$38:$D$40)+COUNTIF($H$324:$H$331,CD312)*SUM($D$39:$D$40)+COUNTIF($H$332:$H$343,CD312)*$D$40</f>
        <v>0</v>
      </c>
      <c r="CF312" s="251"/>
      <c r="CG312" s="251"/>
      <c r="CH312" s="251"/>
    </row>
    <row r="313" spans="1:86" ht="15" customHeight="1">
      <c r="A313" s="219"/>
      <c r="B313" s="219"/>
      <c r="C313" s="219"/>
      <c r="D313" s="219"/>
      <c r="E313" s="219"/>
      <c r="F313" s="564"/>
      <c r="G313" s="320" t="str">
        <f>+Idiomas!D369</f>
        <v>Cuartos de final</v>
      </c>
      <c r="H313" s="398" t="str">
        <f>IF(AND(OR(League!G187="",League!H187="",League!G186="",League!H186="")),"L"&amp;League!A187,IF(League!G186+League!H187&gt;League!H186+League!G187,League!D187,IF(League!G186+League!H187&lt;League!H186+League!G187,League!K187,IF(AND(League!G186+League!H187=League!H186+League!G187,League!F187=League!I187),"L"&amp;League!A187,IF(AND(League!G186+League!H187=League!H186+League!G187,OR(League!F187="",League!I187="")),"L"&amp;League!A187,IF(AND(League!G186+League!H187=League!H186+League!G187,League!F187&gt;League!I187),League!K187,League!D187))))))</f>
        <v>LC2</v>
      </c>
      <c r="I313" s="219"/>
      <c r="J313" s="326"/>
      <c r="K313" s="322">
        <f>+COUNTIF($H$308:$H$315,J313)*SUM($D$37:$D$40)+COUNTIF($H$316:$H$323,J313)*SUM($D$38:$D$40)+COUNTIF($H$324:$H$331,J313)*SUM($D$39:$D$40)+COUNTIF($H$332:$H$343,J313)*$D$40</f>
        <v>0</v>
      </c>
      <c r="L313" s="251"/>
      <c r="M313" s="326"/>
      <c r="N313" s="322">
        <f t="shared" ref="N313" si="905">+COUNTIF($H$308:$H$315,M313)*SUM($D$37:$D$40)+COUNTIF($H$316:$H$323,M313)*SUM($D$38:$D$40)+COUNTIF($H$324:$H$331,M313)*SUM($D$39:$D$40)+COUNTIF($H$332:$H$343,M313)*$D$40</f>
        <v>0</v>
      </c>
      <c r="O313" s="251"/>
      <c r="P313" s="326"/>
      <c r="Q313" s="322">
        <f t="shared" ref="Q313" si="906">+COUNTIF($H$308:$H$315,P313)*SUM($D$37:$D$40)+COUNTIF($H$316:$H$323,P313)*SUM($D$38:$D$40)+COUNTIF($H$324:$H$331,P313)*SUM($D$39:$D$40)+COUNTIF($H$332:$H$343,P313)*$D$40</f>
        <v>0</v>
      </c>
      <c r="R313" s="251"/>
      <c r="S313" s="326"/>
      <c r="T313" s="322">
        <f t="shared" ref="T313" si="907">+COUNTIF($H$308:$H$315,S313)*SUM($D$37:$D$40)+COUNTIF($H$316:$H$323,S313)*SUM($D$38:$D$40)+COUNTIF($H$324:$H$331,S313)*SUM($D$39:$D$40)+COUNTIF($H$332:$H$343,S313)*$D$40</f>
        <v>0</v>
      </c>
      <c r="U313" s="251"/>
      <c r="V313" s="326"/>
      <c r="W313" s="322">
        <f t="shared" ref="W313" si="908">+COUNTIF($H$308:$H$315,V313)*SUM($D$37:$D$40)+COUNTIF($H$316:$H$323,V313)*SUM($D$38:$D$40)+COUNTIF($H$324:$H$331,V313)*SUM($D$39:$D$40)+COUNTIF($H$332:$H$343,V313)*$D$40</f>
        <v>0</v>
      </c>
      <c r="X313" s="251"/>
      <c r="Y313" s="326"/>
      <c r="Z313" s="322">
        <f t="shared" ref="Z313" si="909">+COUNTIF($H$308:$H$315,Y313)*SUM($D$37:$D$40)+COUNTIF($H$316:$H$323,Y313)*SUM($D$38:$D$40)+COUNTIF($H$324:$H$331,Y313)*SUM($D$39:$D$40)+COUNTIF($H$332:$H$343,Y313)*$D$40</f>
        <v>0</v>
      </c>
      <c r="AA313" s="251"/>
      <c r="AB313" s="326"/>
      <c r="AC313" s="322">
        <f t="shared" ref="AC313" si="910">+COUNTIF($H$308:$H$315,AB313)*SUM($D$37:$D$40)+COUNTIF($H$316:$H$323,AB313)*SUM($D$38:$D$40)+COUNTIF($H$324:$H$331,AB313)*SUM($D$39:$D$40)+COUNTIF($H$332:$H$343,AB313)*$D$40</f>
        <v>0</v>
      </c>
      <c r="AD313" s="251"/>
      <c r="AE313" s="326"/>
      <c r="AF313" s="322">
        <f t="shared" ref="AF313" si="911">+COUNTIF($H$308:$H$315,AE313)*SUM($D$37:$D$40)+COUNTIF($H$316:$H$323,AE313)*SUM($D$38:$D$40)+COUNTIF($H$324:$H$331,AE313)*SUM($D$39:$D$40)+COUNTIF($H$332:$H$343,AE313)*$D$40</f>
        <v>0</v>
      </c>
      <c r="AG313" s="251"/>
      <c r="AH313" s="326"/>
      <c r="AI313" s="322">
        <f t="shared" ref="AI313" si="912">+COUNTIF($H$308:$H$315,AH313)*SUM($D$37:$D$40)+COUNTIF($H$316:$H$323,AH313)*SUM($D$38:$D$40)+COUNTIF($H$324:$H$331,AH313)*SUM($D$39:$D$40)+COUNTIF($H$332:$H$343,AH313)*$D$40</f>
        <v>0</v>
      </c>
      <c r="AJ313" s="251"/>
      <c r="AK313" s="326"/>
      <c r="AL313" s="322">
        <f t="shared" ref="AL313" si="913">+COUNTIF($H$308:$H$315,AK313)*SUM($D$37:$D$40)+COUNTIF($H$316:$H$323,AK313)*SUM($D$38:$D$40)+COUNTIF($H$324:$H$331,AK313)*SUM($D$39:$D$40)+COUNTIF($H$332:$H$343,AK313)*$D$40</f>
        <v>0</v>
      </c>
      <c r="AM313" s="251"/>
      <c r="AN313" s="326"/>
      <c r="AO313" s="322">
        <f t="shared" ref="AO313" si="914">+COUNTIF($H$308:$H$315,AN313)*SUM($D$37:$D$40)+COUNTIF($H$316:$H$323,AN313)*SUM($D$38:$D$40)+COUNTIF($H$324:$H$331,AN313)*SUM($D$39:$D$40)+COUNTIF($H$332:$H$343,AN313)*$D$40</f>
        <v>0</v>
      </c>
      <c r="AP313" s="251"/>
      <c r="AQ313" s="326"/>
      <c r="AR313" s="322">
        <f t="shared" ref="AR313" si="915">+COUNTIF($H$308:$H$315,AQ313)*SUM($D$37:$D$40)+COUNTIF($H$316:$H$323,AQ313)*SUM($D$38:$D$40)+COUNTIF($H$324:$H$331,AQ313)*SUM($D$39:$D$40)+COUNTIF($H$332:$H$343,AQ313)*$D$40</f>
        <v>0</v>
      </c>
      <c r="AS313" s="251"/>
      <c r="AT313" s="326"/>
      <c r="AU313" s="322">
        <f t="shared" ref="AU313" si="916">+COUNTIF($H$308:$H$315,AT313)*SUM($D$37:$D$40)+COUNTIF($H$316:$H$323,AT313)*SUM($D$38:$D$40)+COUNTIF($H$324:$H$331,AT313)*SUM($D$39:$D$40)+COUNTIF($H$332:$H$343,AT313)*$D$40</f>
        <v>0</v>
      </c>
      <c r="AV313" s="251"/>
      <c r="AW313" s="326"/>
      <c r="AX313" s="322">
        <f t="shared" ref="AX313" si="917">+COUNTIF($H$308:$H$315,AW313)*SUM($D$37:$D$40)+COUNTIF($H$316:$H$323,AW313)*SUM($D$38:$D$40)+COUNTIF($H$324:$H$331,AW313)*SUM($D$39:$D$40)+COUNTIF($H$332:$H$343,AW313)*$D$40</f>
        <v>0</v>
      </c>
      <c r="AY313" s="251"/>
      <c r="AZ313" s="326"/>
      <c r="BA313" s="322">
        <f t="shared" ref="BA313" si="918">+COUNTIF($H$308:$H$315,AZ313)*SUM($D$37:$D$40)+COUNTIF($H$316:$H$323,AZ313)*SUM($D$38:$D$40)+COUNTIF($H$324:$H$331,AZ313)*SUM($D$39:$D$40)+COUNTIF($H$332:$H$343,AZ313)*$D$40</f>
        <v>0</v>
      </c>
      <c r="BB313" s="251"/>
      <c r="BC313" s="326"/>
      <c r="BD313" s="322">
        <f t="shared" ref="BD313" si="919">+COUNTIF($H$308:$H$315,BC313)*SUM($D$37:$D$40)+COUNTIF($H$316:$H$323,BC313)*SUM($D$38:$D$40)+COUNTIF($H$324:$H$331,BC313)*SUM($D$39:$D$40)+COUNTIF($H$332:$H$343,BC313)*$D$40</f>
        <v>0</v>
      </c>
      <c r="BE313" s="251"/>
      <c r="BF313" s="326"/>
      <c r="BG313" s="322">
        <f t="shared" ref="BG313" si="920">+COUNTIF($H$308:$H$315,BF313)*SUM($D$37:$D$40)+COUNTIF($H$316:$H$323,BF313)*SUM($D$38:$D$40)+COUNTIF($H$324:$H$331,BF313)*SUM($D$39:$D$40)+COUNTIF($H$332:$H$343,BF313)*$D$40</f>
        <v>0</v>
      </c>
      <c r="BH313" s="251"/>
      <c r="BI313" s="326"/>
      <c r="BJ313" s="322">
        <f t="shared" ref="BJ313" si="921">+COUNTIF($H$308:$H$315,BI313)*SUM($D$37:$D$40)+COUNTIF($H$316:$H$323,BI313)*SUM($D$38:$D$40)+COUNTIF($H$324:$H$331,BI313)*SUM($D$39:$D$40)+COUNTIF($H$332:$H$343,BI313)*$D$40</f>
        <v>0</v>
      </c>
      <c r="BK313" s="251"/>
      <c r="BL313" s="326"/>
      <c r="BM313" s="322">
        <f t="shared" ref="BM313" si="922">+COUNTIF($H$308:$H$315,BL313)*SUM($D$37:$D$40)+COUNTIF($H$316:$H$323,BL313)*SUM($D$38:$D$40)+COUNTIF($H$324:$H$331,BL313)*SUM($D$39:$D$40)+COUNTIF($H$332:$H$343,BL313)*$D$40</f>
        <v>0</v>
      </c>
      <c r="BN313" s="251"/>
      <c r="BO313" s="326"/>
      <c r="BP313" s="322">
        <f t="shared" ref="BP313" si="923">+COUNTIF($H$308:$H$315,BO313)*SUM($D$37:$D$40)+COUNTIF($H$316:$H$323,BO313)*SUM($D$38:$D$40)+COUNTIF($H$324:$H$331,BO313)*SUM($D$39:$D$40)+COUNTIF($H$332:$H$343,BO313)*$D$40</f>
        <v>0</v>
      </c>
      <c r="BQ313" s="251"/>
      <c r="BR313" s="326"/>
      <c r="BS313" s="322">
        <f t="shared" ref="BS313" si="924">+COUNTIF($H$308:$H$315,BR313)*SUM($D$37:$D$40)+COUNTIF($H$316:$H$323,BR313)*SUM($D$38:$D$40)+COUNTIF($H$324:$H$331,BR313)*SUM($D$39:$D$40)+COUNTIF($H$332:$H$343,BR313)*$D$40</f>
        <v>0</v>
      </c>
      <c r="BT313" s="251"/>
      <c r="BU313" s="326"/>
      <c r="BV313" s="322">
        <f t="shared" ref="BV313" si="925">+COUNTIF($H$308:$H$315,BU313)*SUM($D$37:$D$40)+COUNTIF($H$316:$H$323,BU313)*SUM($D$38:$D$40)+COUNTIF($H$324:$H$331,BU313)*SUM($D$39:$D$40)+COUNTIF($H$332:$H$343,BU313)*$D$40</f>
        <v>0</v>
      </c>
      <c r="BW313" s="251"/>
      <c r="BX313" s="326"/>
      <c r="BY313" s="322">
        <f t="shared" ref="BY313" si="926">+COUNTIF($H$308:$H$315,BX313)*SUM($D$37:$D$40)+COUNTIF($H$316:$H$323,BX313)*SUM($D$38:$D$40)+COUNTIF($H$324:$H$331,BX313)*SUM($D$39:$D$40)+COUNTIF($H$332:$H$343,BX313)*$D$40</f>
        <v>0</v>
      </c>
      <c r="BZ313" s="251"/>
      <c r="CA313" s="326"/>
      <c r="CB313" s="322">
        <f t="shared" ref="CB313" si="927">+COUNTIF($H$308:$H$315,CA313)*SUM($D$37:$D$40)+COUNTIF($H$316:$H$323,CA313)*SUM($D$38:$D$40)+COUNTIF($H$324:$H$331,CA313)*SUM($D$39:$D$40)+COUNTIF($H$332:$H$343,CA313)*$D$40</f>
        <v>0</v>
      </c>
      <c r="CC313" s="251"/>
      <c r="CD313" s="326"/>
      <c r="CE313" s="322">
        <f t="shared" ref="CE313" si="928">+COUNTIF($H$308:$H$315,CD313)*SUM($D$37:$D$40)+COUNTIF($H$316:$H$323,CD313)*SUM($D$38:$D$40)+COUNTIF($H$324:$H$331,CD313)*SUM($D$39:$D$40)+COUNTIF($H$332:$H$343,CD313)*$D$40</f>
        <v>0</v>
      </c>
      <c r="CF313" s="251"/>
      <c r="CG313" s="251"/>
      <c r="CH313" s="251"/>
    </row>
    <row r="314" spans="1:86" ht="15" customHeight="1">
      <c r="A314" s="219"/>
      <c r="B314" s="219"/>
      <c r="C314" s="219"/>
      <c r="D314" s="219"/>
      <c r="E314" s="219"/>
      <c r="F314" s="564"/>
      <c r="G314" s="320" t="str">
        <f>+Idiomas!D369</f>
        <v>Cuartos de final</v>
      </c>
      <c r="H314" s="398" t="str">
        <f>IF(AND(OR(League!G189="",League!H189="",League!G188="",League!H188="")),"L"&amp;League!A189,IF(League!G188+League!H189&gt;League!H188+League!G189,League!D189,IF(League!G188+League!H189&lt;League!H188+League!G189,League!K189,IF(AND(League!G188+League!H189=League!H188+League!G189,League!F189=League!I189),"L"&amp;League!A189,IF(AND(League!G188+League!H189=League!H188+League!G189,OR(League!F189="",League!I189="")),"L"&amp;League!A189,IF(AND(League!G188+League!H189=League!H188+League!G189,League!F189&gt;League!I189),League!K189,League!D189))))))</f>
        <v>LC3</v>
      </c>
      <c r="I314" s="219"/>
      <c r="J314" s="326"/>
      <c r="K314" s="322">
        <f>+COUNTIF($H$308:$H$315,J314)*SUM($D$37:$D$40)+COUNTIF($H$316:$H$323,J314)*SUM($D$38:$D$40)+COUNTIF($H$324:$H$331,J314)*SUM($D$39:$D$40)+COUNTIF($H$332:$H$343,J314)*$D$40</f>
        <v>0</v>
      </c>
      <c r="L314" s="251"/>
      <c r="M314" s="326"/>
      <c r="N314" s="322">
        <f t="shared" ref="N314" si="929">+COUNTIF($H$308:$H$315,M314)*SUM($D$37:$D$40)+COUNTIF($H$316:$H$323,M314)*SUM($D$38:$D$40)+COUNTIF($H$324:$H$331,M314)*SUM($D$39:$D$40)+COUNTIF($H$332:$H$343,M314)*$D$40</f>
        <v>0</v>
      </c>
      <c r="O314" s="251"/>
      <c r="P314" s="326"/>
      <c r="Q314" s="322">
        <f t="shared" ref="Q314" si="930">+COUNTIF($H$308:$H$315,P314)*SUM($D$37:$D$40)+COUNTIF($H$316:$H$323,P314)*SUM($D$38:$D$40)+COUNTIF($H$324:$H$331,P314)*SUM($D$39:$D$40)+COUNTIF($H$332:$H$343,P314)*$D$40</f>
        <v>0</v>
      </c>
      <c r="R314" s="251"/>
      <c r="S314" s="326"/>
      <c r="T314" s="322">
        <f t="shared" ref="T314" si="931">+COUNTIF($H$308:$H$315,S314)*SUM($D$37:$D$40)+COUNTIF($H$316:$H$323,S314)*SUM($D$38:$D$40)+COUNTIF($H$324:$H$331,S314)*SUM($D$39:$D$40)+COUNTIF($H$332:$H$343,S314)*$D$40</f>
        <v>0</v>
      </c>
      <c r="U314" s="251"/>
      <c r="V314" s="326"/>
      <c r="W314" s="322">
        <f t="shared" ref="W314" si="932">+COUNTIF($H$308:$H$315,V314)*SUM($D$37:$D$40)+COUNTIF($H$316:$H$323,V314)*SUM($D$38:$D$40)+COUNTIF($H$324:$H$331,V314)*SUM($D$39:$D$40)+COUNTIF($H$332:$H$343,V314)*$D$40</f>
        <v>0</v>
      </c>
      <c r="X314" s="251"/>
      <c r="Y314" s="326"/>
      <c r="Z314" s="322">
        <f t="shared" ref="Z314" si="933">+COUNTIF($H$308:$H$315,Y314)*SUM($D$37:$D$40)+COUNTIF($H$316:$H$323,Y314)*SUM($D$38:$D$40)+COUNTIF($H$324:$H$331,Y314)*SUM($D$39:$D$40)+COUNTIF($H$332:$H$343,Y314)*$D$40</f>
        <v>0</v>
      </c>
      <c r="AA314" s="251"/>
      <c r="AB314" s="326"/>
      <c r="AC314" s="322">
        <f t="shared" ref="AC314" si="934">+COUNTIF($H$308:$H$315,AB314)*SUM($D$37:$D$40)+COUNTIF($H$316:$H$323,AB314)*SUM($D$38:$D$40)+COUNTIF($H$324:$H$331,AB314)*SUM($D$39:$D$40)+COUNTIF($H$332:$H$343,AB314)*$D$40</f>
        <v>0</v>
      </c>
      <c r="AD314" s="251"/>
      <c r="AE314" s="326"/>
      <c r="AF314" s="322">
        <f t="shared" ref="AF314" si="935">+COUNTIF($H$308:$H$315,AE314)*SUM($D$37:$D$40)+COUNTIF($H$316:$H$323,AE314)*SUM($D$38:$D$40)+COUNTIF($H$324:$H$331,AE314)*SUM($D$39:$D$40)+COUNTIF($H$332:$H$343,AE314)*$D$40</f>
        <v>0</v>
      </c>
      <c r="AG314" s="251"/>
      <c r="AH314" s="326"/>
      <c r="AI314" s="322">
        <f t="shared" ref="AI314" si="936">+COUNTIF($H$308:$H$315,AH314)*SUM($D$37:$D$40)+COUNTIF($H$316:$H$323,AH314)*SUM($D$38:$D$40)+COUNTIF($H$324:$H$331,AH314)*SUM($D$39:$D$40)+COUNTIF($H$332:$H$343,AH314)*$D$40</f>
        <v>0</v>
      </c>
      <c r="AJ314" s="251"/>
      <c r="AK314" s="326"/>
      <c r="AL314" s="322">
        <f t="shared" ref="AL314" si="937">+COUNTIF($H$308:$H$315,AK314)*SUM($D$37:$D$40)+COUNTIF($H$316:$H$323,AK314)*SUM($D$38:$D$40)+COUNTIF($H$324:$H$331,AK314)*SUM($D$39:$D$40)+COUNTIF($H$332:$H$343,AK314)*$D$40</f>
        <v>0</v>
      </c>
      <c r="AM314" s="251"/>
      <c r="AN314" s="326"/>
      <c r="AO314" s="322">
        <f t="shared" ref="AO314" si="938">+COUNTIF($H$308:$H$315,AN314)*SUM($D$37:$D$40)+COUNTIF($H$316:$H$323,AN314)*SUM($D$38:$D$40)+COUNTIF($H$324:$H$331,AN314)*SUM($D$39:$D$40)+COUNTIF($H$332:$H$343,AN314)*$D$40</f>
        <v>0</v>
      </c>
      <c r="AP314" s="251"/>
      <c r="AQ314" s="326"/>
      <c r="AR314" s="322">
        <f t="shared" ref="AR314" si="939">+COUNTIF($H$308:$H$315,AQ314)*SUM($D$37:$D$40)+COUNTIF($H$316:$H$323,AQ314)*SUM($D$38:$D$40)+COUNTIF($H$324:$H$331,AQ314)*SUM($D$39:$D$40)+COUNTIF($H$332:$H$343,AQ314)*$D$40</f>
        <v>0</v>
      </c>
      <c r="AS314" s="251"/>
      <c r="AT314" s="326"/>
      <c r="AU314" s="322">
        <f t="shared" ref="AU314" si="940">+COUNTIF($H$308:$H$315,AT314)*SUM($D$37:$D$40)+COUNTIF($H$316:$H$323,AT314)*SUM($D$38:$D$40)+COUNTIF($H$324:$H$331,AT314)*SUM($D$39:$D$40)+COUNTIF($H$332:$H$343,AT314)*$D$40</f>
        <v>0</v>
      </c>
      <c r="AV314" s="251"/>
      <c r="AW314" s="326"/>
      <c r="AX314" s="322">
        <f t="shared" ref="AX314" si="941">+COUNTIF($H$308:$H$315,AW314)*SUM($D$37:$D$40)+COUNTIF($H$316:$H$323,AW314)*SUM($D$38:$D$40)+COUNTIF($H$324:$H$331,AW314)*SUM($D$39:$D$40)+COUNTIF($H$332:$H$343,AW314)*$D$40</f>
        <v>0</v>
      </c>
      <c r="AY314" s="251"/>
      <c r="AZ314" s="326"/>
      <c r="BA314" s="322">
        <f t="shared" ref="BA314" si="942">+COUNTIF($H$308:$H$315,AZ314)*SUM($D$37:$D$40)+COUNTIF($H$316:$H$323,AZ314)*SUM($D$38:$D$40)+COUNTIF($H$324:$H$331,AZ314)*SUM($D$39:$D$40)+COUNTIF($H$332:$H$343,AZ314)*$D$40</f>
        <v>0</v>
      </c>
      <c r="BB314" s="251"/>
      <c r="BC314" s="326"/>
      <c r="BD314" s="322">
        <f t="shared" ref="BD314" si="943">+COUNTIF($H$308:$H$315,BC314)*SUM($D$37:$D$40)+COUNTIF($H$316:$H$323,BC314)*SUM($D$38:$D$40)+COUNTIF($H$324:$H$331,BC314)*SUM($D$39:$D$40)+COUNTIF($H$332:$H$343,BC314)*$D$40</f>
        <v>0</v>
      </c>
      <c r="BE314" s="251"/>
      <c r="BF314" s="326"/>
      <c r="BG314" s="322">
        <f t="shared" ref="BG314" si="944">+COUNTIF($H$308:$H$315,BF314)*SUM($D$37:$D$40)+COUNTIF($H$316:$H$323,BF314)*SUM($D$38:$D$40)+COUNTIF($H$324:$H$331,BF314)*SUM($D$39:$D$40)+COUNTIF($H$332:$H$343,BF314)*$D$40</f>
        <v>0</v>
      </c>
      <c r="BH314" s="251"/>
      <c r="BI314" s="326"/>
      <c r="BJ314" s="322">
        <f t="shared" ref="BJ314" si="945">+COUNTIF($H$308:$H$315,BI314)*SUM($D$37:$D$40)+COUNTIF($H$316:$H$323,BI314)*SUM($D$38:$D$40)+COUNTIF($H$324:$H$331,BI314)*SUM($D$39:$D$40)+COUNTIF($H$332:$H$343,BI314)*$D$40</f>
        <v>0</v>
      </c>
      <c r="BK314" s="251"/>
      <c r="BL314" s="326"/>
      <c r="BM314" s="322">
        <f t="shared" ref="BM314" si="946">+COUNTIF($H$308:$H$315,BL314)*SUM($D$37:$D$40)+COUNTIF($H$316:$H$323,BL314)*SUM($D$38:$D$40)+COUNTIF($H$324:$H$331,BL314)*SUM($D$39:$D$40)+COUNTIF($H$332:$H$343,BL314)*$D$40</f>
        <v>0</v>
      </c>
      <c r="BN314" s="251"/>
      <c r="BO314" s="326"/>
      <c r="BP314" s="322">
        <f t="shared" ref="BP314" si="947">+COUNTIF($H$308:$H$315,BO314)*SUM($D$37:$D$40)+COUNTIF($H$316:$H$323,BO314)*SUM($D$38:$D$40)+COUNTIF($H$324:$H$331,BO314)*SUM($D$39:$D$40)+COUNTIF($H$332:$H$343,BO314)*$D$40</f>
        <v>0</v>
      </c>
      <c r="BQ314" s="251"/>
      <c r="BR314" s="326"/>
      <c r="BS314" s="322">
        <f t="shared" ref="BS314" si="948">+COUNTIF($H$308:$H$315,BR314)*SUM($D$37:$D$40)+COUNTIF($H$316:$H$323,BR314)*SUM($D$38:$D$40)+COUNTIF($H$324:$H$331,BR314)*SUM($D$39:$D$40)+COUNTIF($H$332:$H$343,BR314)*$D$40</f>
        <v>0</v>
      </c>
      <c r="BT314" s="251"/>
      <c r="BU314" s="326"/>
      <c r="BV314" s="322">
        <f t="shared" ref="BV314" si="949">+COUNTIF($H$308:$H$315,BU314)*SUM($D$37:$D$40)+COUNTIF($H$316:$H$323,BU314)*SUM($D$38:$D$40)+COUNTIF($H$324:$H$331,BU314)*SUM($D$39:$D$40)+COUNTIF($H$332:$H$343,BU314)*$D$40</f>
        <v>0</v>
      </c>
      <c r="BW314" s="251"/>
      <c r="BX314" s="326"/>
      <c r="BY314" s="322">
        <f t="shared" ref="BY314" si="950">+COUNTIF($H$308:$H$315,BX314)*SUM($D$37:$D$40)+COUNTIF($H$316:$H$323,BX314)*SUM($D$38:$D$40)+COUNTIF($H$324:$H$331,BX314)*SUM($D$39:$D$40)+COUNTIF($H$332:$H$343,BX314)*$D$40</f>
        <v>0</v>
      </c>
      <c r="BZ314" s="251"/>
      <c r="CA314" s="326"/>
      <c r="CB314" s="322">
        <f t="shared" ref="CB314" si="951">+COUNTIF($H$308:$H$315,CA314)*SUM($D$37:$D$40)+COUNTIF($H$316:$H$323,CA314)*SUM($D$38:$D$40)+COUNTIF($H$324:$H$331,CA314)*SUM($D$39:$D$40)+COUNTIF($H$332:$H$343,CA314)*$D$40</f>
        <v>0</v>
      </c>
      <c r="CC314" s="251"/>
      <c r="CD314" s="326"/>
      <c r="CE314" s="322">
        <f t="shared" ref="CE314" si="952">+COUNTIF($H$308:$H$315,CD314)*SUM($D$37:$D$40)+COUNTIF($H$316:$H$323,CD314)*SUM($D$38:$D$40)+COUNTIF($H$324:$H$331,CD314)*SUM($D$39:$D$40)+COUNTIF($H$332:$H$343,CD314)*$D$40</f>
        <v>0</v>
      </c>
      <c r="CF314" s="251"/>
      <c r="CG314" s="251"/>
      <c r="CH314" s="251"/>
    </row>
    <row r="315" spans="1:86" ht="15" customHeight="1">
      <c r="A315" s="219"/>
      <c r="B315" s="219"/>
      <c r="C315" s="219"/>
      <c r="D315" s="219"/>
      <c r="E315" s="219"/>
      <c r="F315" s="564"/>
      <c r="G315" s="394" t="str">
        <f>+Idiomas!D369</f>
        <v>Cuartos de final</v>
      </c>
      <c r="H315" s="395" t="str">
        <f>IF(AND(OR(League!G191="",League!H191="",League!G190="",League!H190="")),"L"&amp;League!A191,IF(League!G190+League!H191&gt;League!H190+League!G191,League!D191,IF(League!G190+League!H191&lt;League!H190+League!G191,League!K191,IF(AND(League!G190+League!H191=League!H190+League!G191,League!F191=League!I191),"L"&amp;League!A191,IF(AND(League!G190+League!H191=League!H190+League!G191,OR(League!F191="",League!I191="")),"L"&amp;League!A191,IF(AND(League!G190+League!H191=League!H190+League!G191,League!F191&gt;League!I191),League!K191,League!D191))))))</f>
        <v>LC4</v>
      </c>
      <c r="I315" s="219"/>
      <c r="J315" s="396"/>
      <c r="K315" s="397">
        <f>+COUNTIF($H$308:$H$315,J315)*SUM($D$37:$D$40)+COUNTIF($H$316:$H$323,J315)*SUM($D$38:$D$40)+COUNTIF($H$324:$H$331,J315)*SUM($D$39:$D$40)+COUNTIF($H$332:$H$343,J315)*$D$40</f>
        <v>0</v>
      </c>
      <c r="L315" s="251"/>
      <c r="M315" s="396"/>
      <c r="N315" s="397">
        <f t="shared" ref="N315" si="953">+COUNTIF($H$308:$H$315,M315)*SUM($D$37:$D$40)+COUNTIF($H$316:$H$323,M315)*SUM($D$38:$D$40)+COUNTIF($H$324:$H$331,M315)*SUM($D$39:$D$40)+COUNTIF($H$332:$H$343,M315)*$D$40</f>
        <v>0</v>
      </c>
      <c r="O315" s="251"/>
      <c r="P315" s="396"/>
      <c r="Q315" s="397">
        <f t="shared" ref="Q315" si="954">+COUNTIF($H$308:$H$315,P315)*SUM($D$37:$D$40)+COUNTIF($H$316:$H$323,P315)*SUM($D$38:$D$40)+COUNTIF($H$324:$H$331,P315)*SUM($D$39:$D$40)+COUNTIF($H$332:$H$343,P315)*$D$40</f>
        <v>0</v>
      </c>
      <c r="R315" s="251"/>
      <c r="S315" s="396"/>
      <c r="T315" s="397">
        <f t="shared" ref="T315" si="955">+COUNTIF($H$308:$H$315,S315)*SUM($D$37:$D$40)+COUNTIF($H$316:$H$323,S315)*SUM($D$38:$D$40)+COUNTIF($H$324:$H$331,S315)*SUM($D$39:$D$40)+COUNTIF($H$332:$H$343,S315)*$D$40</f>
        <v>0</v>
      </c>
      <c r="U315" s="251"/>
      <c r="V315" s="396"/>
      <c r="W315" s="397">
        <f t="shared" ref="W315" si="956">+COUNTIF($H$308:$H$315,V315)*SUM($D$37:$D$40)+COUNTIF($H$316:$H$323,V315)*SUM($D$38:$D$40)+COUNTIF($H$324:$H$331,V315)*SUM($D$39:$D$40)+COUNTIF($H$332:$H$343,V315)*$D$40</f>
        <v>0</v>
      </c>
      <c r="X315" s="251"/>
      <c r="Y315" s="396"/>
      <c r="Z315" s="397">
        <f t="shared" ref="Z315" si="957">+COUNTIF($H$308:$H$315,Y315)*SUM($D$37:$D$40)+COUNTIF($H$316:$H$323,Y315)*SUM($D$38:$D$40)+COUNTIF($H$324:$H$331,Y315)*SUM($D$39:$D$40)+COUNTIF($H$332:$H$343,Y315)*$D$40</f>
        <v>0</v>
      </c>
      <c r="AA315" s="251"/>
      <c r="AB315" s="396"/>
      <c r="AC315" s="397">
        <f t="shared" ref="AC315" si="958">+COUNTIF($H$308:$H$315,AB315)*SUM($D$37:$D$40)+COUNTIF($H$316:$H$323,AB315)*SUM($D$38:$D$40)+COUNTIF($H$324:$H$331,AB315)*SUM($D$39:$D$40)+COUNTIF($H$332:$H$343,AB315)*$D$40</f>
        <v>0</v>
      </c>
      <c r="AD315" s="251"/>
      <c r="AE315" s="396"/>
      <c r="AF315" s="397">
        <f t="shared" ref="AF315" si="959">+COUNTIF($H$308:$H$315,AE315)*SUM($D$37:$D$40)+COUNTIF($H$316:$H$323,AE315)*SUM($D$38:$D$40)+COUNTIF($H$324:$H$331,AE315)*SUM($D$39:$D$40)+COUNTIF($H$332:$H$343,AE315)*$D$40</f>
        <v>0</v>
      </c>
      <c r="AG315" s="251"/>
      <c r="AH315" s="396"/>
      <c r="AI315" s="397">
        <f t="shared" ref="AI315" si="960">+COUNTIF($H$308:$H$315,AH315)*SUM($D$37:$D$40)+COUNTIF($H$316:$H$323,AH315)*SUM($D$38:$D$40)+COUNTIF($H$324:$H$331,AH315)*SUM($D$39:$D$40)+COUNTIF($H$332:$H$343,AH315)*$D$40</f>
        <v>0</v>
      </c>
      <c r="AJ315" s="251"/>
      <c r="AK315" s="396"/>
      <c r="AL315" s="397">
        <f t="shared" ref="AL315" si="961">+COUNTIF($H$308:$H$315,AK315)*SUM($D$37:$D$40)+COUNTIF($H$316:$H$323,AK315)*SUM($D$38:$D$40)+COUNTIF($H$324:$H$331,AK315)*SUM($D$39:$D$40)+COUNTIF($H$332:$H$343,AK315)*$D$40</f>
        <v>0</v>
      </c>
      <c r="AM315" s="251"/>
      <c r="AN315" s="396"/>
      <c r="AO315" s="397">
        <f t="shared" ref="AO315" si="962">+COUNTIF($H$308:$H$315,AN315)*SUM($D$37:$D$40)+COUNTIF($H$316:$H$323,AN315)*SUM($D$38:$D$40)+COUNTIF($H$324:$H$331,AN315)*SUM($D$39:$D$40)+COUNTIF($H$332:$H$343,AN315)*$D$40</f>
        <v>0</v>
      </c>
      <c r="AP315" s="251"/>
      <c r="AQ315" s="396"/>
      <c r="AR315" s="397">
        <f t="shared" ref="AR315" si="963">+COUNTIF($H$308:$H$315,AQ315)*SUM($D$37:$D$40)+COUNTIF($H$316:$H$323,AQ315)*SUM($D$38:$D$40)+COUNTIF($H$324:$H$331,AQ315)*SUM($D$39:$D$40)+COUNTIF($H$332:$H$343,AQ315)*$D$40</f>
        <v>0</v>
      </c>
      <c r="AS315" s="251"/>
      <c r="AT315" s="396"/>
      <c r="AU315" s="397">
        <f t="shared" ref="AU315" si="964">+COUNTIF($H$308:$H$315,AT315)*SUM($D$37:$D$40)+COUNTIF($H$316:$H$323,AT315)*SUM($D$38:$D$40)+COUNTIF($H$324:$H$331,AT315)*SUM($D$39:$D$40)+COUNTIF($H$332:$H$343,AT315)*$D$40</f>
        <v>0</v>
      </c>
      <c r="AV315" s="251"/>
      <c r="AW315" s="396"/>
      <c r="AX315" s="397">
        <f t="shared" ref="AX315" si="965">+COUNTIF($H$308:$H$315,AW315)*SUM($D$37:$D$40)+COUNTIF($H$316:$H$323,AW315)*SUM($D$38:$D$40)+COUNTIF($H$324:$H$331,AW315)*SUM($D$39:$D$40)+COUNTIF($H$332:$H$343,AW315)*$D$40</f>
        <v>0</v>
      </c>
      <c r="AY315" s="251"/>
      <c r="AZ315" s="396"/>
      <c r="BA315" s="397">
        <f t="shared" ref="BA315" si="966">+COUNTIF($H$308:$H$315,AZ315)*SUM($D$37:$D$40)+COUNTIF($H$316:$H$323,AZ315)*SUM($D$38:$D$40)+COUNTIF($H$324:$H$331,AZ315)*SUM($D$39:$D$40)+COUNTIF($H$332:$H$343,AZ315)*$D$40</f>
        <v>0</v>
      </c>
      <c r="BB315" s="251"/>
      <c r="BC315" s="396"/>
      <c r="BD315" s="397">
        <f t="shared" ref="BD315" si="967">+COUNTIF($H$308:$H$315,BC315)*SUM($D$37:$D$40)+COUNTIF($H$316:$H$323,BC315)*SUM($D$38:$D$40)+COUNTIF($H$324:$H$331,BC315)*SUM($D$39:$D$40)+COUNTIF($H$332:$H$343,BC315)*$D$40</f>
        <v>0</v>
      </c>
      <c r="BE315" s="251"/>
      <c r="BF315" s="396"/>
      <c r="BG315" s="397">
        <f t="shared" ref="BG315" si="968">+COUNTIF($H$308:$H$315,BF315)*SUM($D$37:$D$40)+COUNTIF($H$316:$H$323,BF315)*SUM($D$38:$D$40)+COUNTIF($H$324:$H$331,BF315)*SUM($D$39:$D$40)+COUNTIF($H$332:$H$343,BF315)*$D$40</f>
        <v>0</v>
      </c>
      <c r="BH315" s="251"/>
      <c r="BI315" s="396"/>
      <c r="BJ315" s="397">
        <f t="shared" ref="BJ315" si="969">+COUNTIF($H$308:$H$315,BI315)*SUM($D$37:$D$40)+COUNTIF($H$316:$H$323,BI315)*SUM($D$38:$D$40)+COUNTIF($H$324:$H$331,BI315)*SUM($D$39:$D$40)+COUNTIF($H$332:$H$343,BI315)*$D$40</f>
        <v>0</v>
      </c>
      <c r="BK315" s="251"/>
      <c r="BL315" s="396"/>
      <c r="BM315" s="397">
        <f t="shared" ref="BM315" si="970">+COUNTIF($H$308:$H$315,BL315)*SUM($D$37:$D$40)+COUNTIF($H$316:$H$323,BL315)*SUM($D$38:$D$40)+COUNTIF($H$324:$H$331,BL315)*SUM($D$39:$D$40)+COUNTIF($H$332:$H$343,BL315)*$D$40</f>
        <v>0</v>
      </c>
      <c r="BN315" s="251"/>
      <c r="BO315" s="396"/>
      <c r="BP315" s="397">
        <f t="shared" ref="BP315" si="971">+COUNTIF($H$308:$H$315,BO315)*SUM($D$37:$D$40)+COUNTIF($H$316:$H$323,BO315)*SUM($D$38:$D$40)+COUNTIF($H$324:$H$331,BO315)*SUM($D$39:$D$40)+COUNTIF($H$332:$H$343,BO315)*$D$40</f>
        <v>0</v>
      </c>
      <c r="BQ315" s="251"/>
      <c r="BR315" s="396"/>
      <c r="BS315" s="397">
        <f t="shared" ref="BS315" si="972">+COUNTIF($H$308:$H$315,BR315)*SUM($D$37:$D$40)+COUNTIF($H$316:$H$323,BR315)*SUM($D$38:$D$40)+COUNTIF($H$324:$H$331,BR315)*SUM($D$39:$D$40)+COUNTIF($H$332:$H$343,BR315)*$D$40</f>
        <v>0</v>
      </c>
      <c r="BT315" s="251"/>
      <c r="BU315" s="396"/>
      <c r="BV315" s="397">
        <f t="shared" ref="BV315" si="973">+COUNTIF($H$308:$H$315,BU315)*SUM($D$37:$D$40)+COUNTIF($H$316:$H$323,BU315)*SUM($D$38:$D$40)+COUNTIF($H$324:$H$331,BU315)*SUM($D$39:$D$40)+COUNTIF($H$332:$H$343,BU315)*$D$40</f>
        <v>0</v>
      </c>
      <c r="BW315" s="251"/>
      <c r="BX315" s="396"/>
      <c r="BY315" s="397">
        <f t="shared" ref="BY315" si="974">+COUNTIF($H$308:$H$315,BX315)*SUM($D$37:$D$40)+COUNTIF($H$316:$H$323,BX315)*SUM($D$38:$D$40)+COUNTIF($H$324:$H$331,BX315)*SUM($D$39:$D$40)+COUNTIF($H$332:$H$343,BX315)*$D$40</f>
        <v>0</v>
      </c>
      <c r="BZ315" s="251"/>
      <c r="CA315" s="396"/>
      <c r="CB315" s="397">
        <f t="shared" ref="CB315" si="975">+COUNTIF($H$308:$H$315,CA315)*SUM($D$37:$D$40)+COUNTIF($H$316:$H$323,CA315)*SUM($D$38:$D$40)+COUNTIF($H$324:$H$331,CA315)*SUM($D$39:$D$40)+COUNTIF($H$332:$H$343,CA315)*$D$40</f>
        <v>0</v>
      </c>
      <c r="CC315" s="251"/>
      <c r="CD315" s="396"/>
      <c r="CE315" s="397">
        <f t="shared" ref="CE315" si="976">+COUNTIF($H$308:$H$315,CD315)*SUM($D$37:$D$40)+COUNTIF($H$316:$H$323,CD315)*SUM($D$38:$D$40)+COUNTIF($H$324:$H$331,CD315)*SUM($D$39:$D$40)+COUNTIF($H$332:$H$343,CD315)*$D$40</f>
        <v>0</v>
      </c>
      <c r="CF315" s="251"/>
      <c r="CG315" s="251"/>
      <c r="CH315" s="251"/>
    </row>
    <row r="316" spans="1:86" ht="15" customHeight="1">
      <c r="A316" s="219"/>
      <c r="B316" s="219"/>
      <c r="C316" s="219"/>
      <c r="D316" s="219"/>
      <c r="E316" s="219"/>
      <c r="F316" s="564"/>
      <c r="G316" s="320" t="str">
        <f>+Idiomas!$D$370</f>
        <v>Octavos de final</v>
      </c>
      <c r="H316" s="398" t="str">
        <f>IF(AND(OR(League!G167="",League!H167="",League!G166="",League!H166="")),"L"&amp;League!A167,IF(League!G166+League!H167&gt;League!H166+League!G167,League!D167,IF(League!G166+League!H167&lt;League!H166+League!G167,League!K167,IF(AND(League!G166+League!H167=League!H166+League!G167,League!F167=League!I167),"L"&amp;League!A167,IF(AND(League!G166+League!H167=League!H166+League!G167,OR(League!F167="",League!I167="")),"L"&amp;League!A167,IF(AND(League!G166+League!H167=League!H166+League!G167,League!F167&gt;League!I167),League!K167,League!D167))))))</f>
        <v>LO1</v>
      </c>
      <c r="I316" s="219"/>
      <c r="J316" s="340"/>
      <c r="K316" s="341">
        <f t="shared" ref="K316:K323" si="977">+COUNTIF($H$308:$H$323,J316)*SUM($D$38:$D$40)+COUNTIF($H$324:$H$331,J316)*SUM($D$39:$D$40)+COUNTIF($H$332:$H$343,J316)*$D$40</f>
        <v>0</v>
      </c>
      <c r="L316" s="251"/>
      <c r="M316" s="340"/>
      <c r="N316" s="341">
        <f t="shared" ref="N316:BY323" si="978">+COUNTIF($H$308:$H$323,M316)*SUM($D$38:$D$40)+COUNTIF($H$324:$H$331,M316)*SUM($D$39:$D$40)+COUNTIF($H$332:$H$343,M316)*$D$40</f>
        <v>0</v>
      </c>
      <c r="O316" s="251"/>
      <c r="P316" s="340"/>
      <c r="Q316" s="341">
        <f t="shared" si="978"/>
        <v>0</v>
      </c>
      <c r="R316" s="251"/>
      <c r="S316" s="340"/>
      <c r="T316" s="341">
        <f t="shared" si="978"/>
        <v>0</v>
      </c>
      <c r="U316" s="251"/>
      <c r="V316" s="340"/>
      <c r="W316" s="341">
        <f t="shared" si="978"/>
        <v>0</v>
      </c>
      <c r="X316" s="251"/>
      <c r="Y316" s="340"/>
      <c r="Z316" s="341">
        <f t="shared" si="978"/>
        <v>0</v>
      </c>
      <c r="AA316" s="251"/>
      <c r="AB316" s="340"/>
      <c r="AC316" s="341">
        <f t="shared" si="978"/>
        <v>0</v>
      </c>
      <c r="AD316" s="251"/>
      <c r="AE316" s="340"/>
      <c r="AF316" s="341">
        <f t="shared" si="978"/>
        <v>0</v>
      </c>
      <c r="AG316" s="251"/>
      <c r="AH316" s="340"/>
      <c r="AI316" s="341">
        <f t="shared" si="978"/>
        <v>0</v>
      </c>
      <c r="AJ316" s="251"/>
      <c r="AK316" s="340"/>
      <c r="AL316" s="341">
        <f t="shared" si="978"/>
        <v>0</v>
      </c>
      <c r="AM316" s="251"/>
      <c r="AN316" s="340"/>
      <c r="AO316" s="341">
        <f t="shared" si="978"/>
        <v>0</v>
      </c>
      <c r="AP316" s="251"/>
      <c r="AQ316" s="340"/>
      <c r="AR316" s="341">
        <f t="shared" si="978"/>
        <v>0</v>
      </c>
      <c r="AS316" s="251"/>
      <c r="AT316" s="340"/>
      <c r="AU316" s="341">
        <f t="shared" si="978"/>
        <v>0</v>
      </c>
      <c r="AV316" s="251"/>
      <c r="AW316" s="340"/>
      <c r="AX316" s="341">
        <f t="shared" si="978"/>
        <v>0</v>
      </c>
      <c r="AY316" s="251"/>
      <c r="AZ316" s="340"/>
      <c r="BA316" s="341">
        <f t="shared" si="978"/>
        <v>0</v>
      </c>
      <c r="BB316" s="251"/>
      <c r="BC316" s="340"/>
      <c r="BD316" s="341">
        <f t="shared" si="978"/>
        <v>0</v>
      </c>
      <c r="BE316" s="251"/>
      <c r="BF316" s="340"/>
      <c r="BG316" s="341">
        <f t="shared" si="978"/>
        <v>0</v>
      </c>
      <c r="BH316" s="251"/>
      <c r="BI316" s="340"/>
      <c r="BJ316" s="341">
        <f t="shared" si="978"/>
        <v>0</v>
      </c>
      <c r="BK316" s="251"/>
      <c r="BL316" s="340"/>
      <c r="BM316" s="341">
        <f t="shared" si="978"/>
        <v>0</v>
      </c>
      <c r="BN316" s="251"/>
      <c r="BO316" s="340"/>
      <c r="BP316" s="341">
        <f t="shared" si="978"/>
        <v>0</v>
      </c>
      <c r="BQ316" s="251"/>
      <c r="BR316" s="340"/>
      <c r="BS316" s="341">
        <f t="shared" si="978"/>
        <v>0</v>
      </c>
      <c r="BT316" s="251"/>
      <c r="BU316" s="340"/>
      <c r="BV316" s="341">
        <f t="shared" si="978"/>
        <v>0</v>
      </c>
      <c r="BW316" s="251"/>
      <c r="BX316" s="340"/>
      <c r="BY316" s="341">
        <f t="shared" si="978"/>
        <v>0</v>
      </c>
      <c r="BZ316" s="251"/>
      <c r="CA316" s="340"/>
      <c r="CB316" s="341">
        <f t="shared" ref="CB316:CE323" si="979">+COUNTIF($H$308:$H$323,CA316)*SUM($D$38:$D$40)+COUNTIF($H$324:$H$331,CA316)*SUM($D$39:$D$40)+COUNTIF($H$332:$H$343,CA316)*$D$40</f>
        <v>0</v>
      </c>
      <c r="CC316" s="251"/>
      <c r="CD316" s="340"/>
      <c r="CE316" s="341">
        <f t="shared" si="979"/>
        <v>0</v>
      </c>
      <c r="CF316" s="251"/>
      <c r="CG316" s="251"/>
      <c r="CH316" s="251"/>
    </row>
    <row r="317" spans="1:86" ht="15" customHeight="1">
      <c r="A317" s="219"/>
      <c r="B317" s="219"/>
      <c r="C317" s="219"/>
      <c r="D317" s="219"/>
      <c r="E317" s="219"/>
      <c r="F317" s="564"/>
      <c r="G317" s="320" t="str">
        <f>+Idiomas!$D$370</f>
        <v>Octavos de final</v>
      </c>
      <c r="H317" s="398" t="str">
        <f>IF(AND(OR(League!G169="",League!H169="",League!G168="",League!H168="")),"L"&amp;League!A169,IF(League!G168+League!H169&gt;League!H168+League!G169,League!D169,IF(League!G168+League!H169&lt;League!H168+League!G169,League!K169,IF(AND(League!G168+League!H169=League!H168+League!G169,League!F169=League!I169),"L"&amp;League!A169,IF(AND(League!G168+League!H169=League!H168+League!G169,OR(League!F169="",League!I169="")),"L"&amp;League!A169,IF(AND(League!G168+League!H169=League!H168+League!G169,League!F169&gt;League!I169),League!K169,League!D169))))))</f>
        <v>LO2</v>
      </c>
      <c r="I317" s="219"/>
      <c r="J317" s="326"/>
      <c r="K317" s="322">
        <f t="shared" si="977"/>
        <v>0</v>
      </c>
      <c r="L317" s="251"/>
      <c r="M317" s="326"/>
      <c r="N317" s="322">
        <f t="shared" si="978"/>
        <v>0</v>
      </c>
      <c r="O317" s="251"/>
      <c r="P317" s="326"/>
      <c r="Q317" s="322">
        <f t="shared" si="978"/>
        <v>0</v>
      </c>
      <c r="R317" s="251"/>
      <c r="S317" s="326"/>
      <c r="T317" s="322">
        <f t="shared" si="978"/>
        <v>0</v>
      </c>
      <c r="U317" s="251"/>
      <c r="V317" s="326"/>
      <c r="W317" s="322">
        <f t="shared" si="978"/>
        <v>0</v>
      </c>
      <c r="X317" s="251"/>
      <c r="Y317" s="326"/>
      <c r="Z317" s="322">
        <f t="shared" si="978"/>
        <v>0</v>
      </c>
      <c r="AA317" s="251"/>
      <c r="AB317" s="326"/>
      <c r="AC317" s="322">
        <f t="shared" si="978"/>
        <v>0</v>
      </c>
      <c r="AD317" s="251"/>
      <c r="AE317" s="326"/>
      <c r="AF317" s="322">
        <f t="shared" si="978"/>
        <v>0</v>
      </c>
      <c r="AG317" s="251"/>
      <c r="AH317" s="326"/>
      <c r="AI317" s="322">
        <f t="shared" si="978"/>
        <v>0</v>
      </c>
      <c r="AJ317" s="251"/>
      <c r="AK317" s="326"/>
      <c r="AL317" s="322">
        <f t="shared" si="978"/>
        <v>0</v>
      </c>
      <c r="AM317" s="251"/>
      <c r="AN317" s="326"/>
      <c r="AO317" s="322">
        <f t="shared" si="978"/>
        <v>0</v>
      </c>
      <c r="AP317" s="251"/>
      <c r="AQ317" s="326"/>
      <c r="AR317" s="322">
        <f t="shared" si="978"/>
        <v>0</v>
      </c>
      <c r="AS317" s="251"/>
      <c r="AT317" s="326"/>
      <c r="AU317" s="322">
        <f t="shared" si="978"/>
        <v>0</v>
      </c>
      <c r="AV317" s="251"/>
      <c r="AW317" s="326"/>
      <c r="AX317" s="322">
        <f t="shared" si="978"/>
        <v>0</v>
      </c>
      <c r="AY317" s="251"/>
      <c r="AZ317" s="326"/>
      <c r="BA317" s="322">
        <f t="shared" si="978"/>
        <v>0</v>
      </c>
      <c r="BB317" s="251"/>
      <c r="BC317" s="326"/>
      <c r="BD317" s="322">
        <f t="shared" si="978"/>
        <v>0</v>
      </c>
      <c r="BE317" s="251"/>
      <c r="BF317" s="326"/>
      <c r="BG317" s="322">
        <f t="shared" si="978"/>
        <v>0</v>
      </c>
      <c r="BH317" s="251"/>
      <c r="BI317" s="326"/>
      <c r="BJ317" s="322">
        <f t="shared" si="978"/>
        <v>0</v>
      </c>
      <c r="BK317" s="251"/>
      <c r="BL317" s="326"/>
      <c r="BM317" s="322">
        <f t="shared" si="978"/>
        <v>0</v>
      </c>
      <c r="BN317" s="251"/>
      <c r="BO317" s="326"/>
      <c r="BP317" s="322">
        <f t="shared" si="978"/>
        <v>0</v>
      </c>
      <c r="BQ317" s="251"/>
      <c r="BR317" s="326"/>
      <c r="BS317" s="322">
        <f t="shared" si="978"/>
        <v>0</v>
      </c>
      <c r="BT317" s="251"/>
      <c r="BU317" s="326"/>
      <c r="BV317" s="322">
        <f t="shared" si="978"/>
        <v>0</v>
      </c>
      <c r="BW317" s="251"/>
      <c r="BX317" s="326"/>
      <c r="BY317" s="322">
        <f t="shared" si="978"/>
        <v>0</v>
      </c>
      <c r="BZ317" s="251"/>
      <c r="CA317" s="326"/>
      <c r="CB317" s="322">
        <f t="shared" si="979"/>
        <v>0</v>
      </c>
      <c r="CC317" s="251"/>
      <c r="CD317" s="326"/>
      <c r="CE317" s="322">
        <f t="shared" si="979"/>
        <v>0</v>
      </c>
      <c r="CF317" s="251"/>
      <c r="CG317" s="251"/>
      <c r="CH317" s="251"/>
    </row>
    <row r="318" spans="1:86" ht="15" customHeight="1">
      <c r="A318" s="219"/>
      <c r="B318" s="219"/>
      <c r="C318" s="219"/>
      <c r="D318" s="219"/>
      <c r="E318" s="219"/>
      <c r="F318" s="564"/>
      <c r="G318" s="320" t="str">
        <f>+Idiomas!$D$370</f>
        <v>Octavos de final</v>
      </c>
      <c r="H318" s="398" t="str">
        <f>IF(AND(OR(League!G171="",League!H171="",League!G170="",League!H170="")),"L"&amp;League!A171,IF(League!G170+League!H171&gt;League!H170+League!G171,League!D171,IF(League!G170+League!H171&lt;League!H170+League!G171,League!K171,IF(AND(League!G170+League!H171=League!H170+League!G171,League!F171=League!I171),"L"&amp;League!A171,IF(AND(League!G170+League!H171=League!H170+League!G171,OR(League!F171="",League!I171="")),"L"&amp;League!A171,IF(AND(League!G170+League!H171=League!H170+League!G171,League!F171&gt;League!I171),League!K171,League!D171))))))</f>
        <v>LO3</v>
      </c>
      <c r="I318" s="219"/>
      <c r="J318" s="326"/>
      <c r="K318" s="322">
        <f t="shared" si="977"/>
        <v>0</v>
      </c>
      <c r="L318" s="251"/>
      <c r="M318" s="326"/>
      <c r="N318" s="322">
        <f t="shared" si="978"/>
        <v>0</v>
      </c>
      <c r="O318" s="251"/>
      <c r="P318" s="326"/>
      <c r="Q318" s="322">
        <f t="shared" si="978"/>
        <v>0</v>
      </c>
      <c r="R318" s="251"/>
      <c r="S318" s="326"/>
      <c r="T318" s="322">
        <f t="shared" si="978"/>
        <v>0</v>
      </c>
      <c r="U318" s="251"/>
      <c r="V318" s="326"/>
      <c r="W318" s="322">
        <f t="shared" si="978"/>
        <v>0</v>
      </c>
      <c r="X318" s="251"/>
      <c r="Y318" s="326"/>
      <c r="Z318" s="322">
        <f t="shared" si="978"/>
        <v>0</v>
      </c>
      <c r="AA318" s="251"/>
      <c r="AB318" s="326"/>
      <c r="AC318" s="322">
        <f t="shared" si="978"/>
        <v>0</v>
      </c>
      <c r="AD318" s="251"/>
      <c r="AE318" s="326"/>
      <c r="AF318" s="322">
        <f t="shared" si="978"/>
        <v>0</v>
      </c>
      <c r="AG318" s="251"/>
      <c r="AH318" s="326"/>
      <c r="AI318" s="322">
        <f t="shared" si="978"/>
        <v>0</v>
      </c>
      <c r="AJ318" s="251"/>
      <c r="AK318" s="326"/>
      <c r="AL318" s="322">
        <f t="shared" si="978"/>
        <v>0</v>
      </c>
      <c r="AM318" s="251"/>
      <c r="AN318" s="326"/>
      <c r="AO318" s="322">
        <f t="shared" si="978"/>
        <v>0</v>
      </c>
      <c r="AP318" s="251"/>
      <c r="AQ318" s="326"/>
      <c r="AR318" s="322">
        <f t="shared" si="978"/>
        <v>0</v>
      </c>
      <c r="AS318" s="251"/>
      <c r="AT318" s="326"/>
      <c r="AU318" s="322">
        <f t="shared" si="978"/>
        <v>0</v>
      </c>
      <c r="AV318" s="251"/>
      <c r="AW318" s="326"/>
      <c r="AX318" s="322">
        <f t="shared" si="978"/>
        <v>0</v>
      </c>
      <c r="AY318" s="251"/>
      <c r="AZ318" s="326"/>
      <c r="BA318" s="322">
        <f t="shared" si="978"/>
        <v>0</v>
      </c>
      <c r="BB318" s="251"/>
      <c r="BC318" s="326"/>
      <c r="BD318" s="322">
        <f t="shared" si="978"/>
        <v>0</v>
      </c>
      <c r="BE318" s="251"/>
      <c r="BF318" s="326"/>
      <c r="BG318" s="322">
        <f t="shared" si="978"/>
        <v>0</v>
      </c>
      <c r="BH318" s="251"/>
      <c r="BI318" s="326"/>
      <c r="BJ318" s="322">
        <f t="shared" si="978"/>
        <v>0</v>
      </c>
      <c r="BK318" s="251"/>
      <c r="BL318" s="326"/>
      <c r="BM318" s="322">
        <f t="shared" si="978"/>
        <v>0</v>
      </c>
      <c r="BN318" s="251"/>
      <c r="BO318" s="326"/>
      <c r="BP318" s="322">
        <f t="shared" si="978"/>
        <v>0</v>
      </c>
      <c r="BQ318" s="251"/>
      <c r="BR318" s="326"/>
      <c r="BS318" s="322">
        <f t="shared" si="978"/>
        <v>0</v>
      </c>
      <c r="BT318" s="251"/>
      <c r="BU318" s="326"/>
      <c r="BV318" s="322">
        <f t="shared" si="978"/>
        <v>0</v>
      </c>
      <c r="BW318" s="251"/>
      <c r="BX318" s="326"/>
      <c r="BY318" s="322">
        <f t="shared" si="978"/>
        <v>0</v>
      </c>
      <c r="BZ318" s="251"/>
      <c r="CA318" s="326"/>
      <c r="CB318" s="322">
        <f t="shared" si="979"/>
        <v>0</v>
      </c>
      <c r="CC318" s="251"/>
      <c r="CD318" s="326"/>
      <c r="CE318" s="322">
        <f t="shared" si="979"/>
        <v>0</v>
      </c>
      <c r="CF318" s="251"/>
      <c r="CG318" s="251"/>
      <c r="CH318" s="251"/>
    </row>
    <row r="319" spans="1:86" ht="15" customHeight="1">
      <c r="A319" s="219"/>
      <c r="B319" s="219"/>
      <c r="C319" s="219"/>
      <c r="D319" s="219"/>
      <c r="E319" s="219"/>
      <c r="F319" s="564"/>
      <c r="G319" s="320" t="str">
        <f>+Idiomas!$D$370</f>
        <v>Octavos de final</v>
      </c>
      <c r="H319" s="398" t="str">
        <f>IF(AND(OR(League!G173="",League!H173="",League!G172="",League!H172="")),"L"&amp;League!A173,IF(League!G172+League!H173&gt;League!H172+League!G173,League!D173,IF(League!G172+League!H173&lt;League!H172+League!G173,League!K173,IF(AND(League!G172+League!H173=League!H172+League!G173,League!F173=League!I173),"L"&amp;League!A173,IF(AND(League!G172+League!H173=League!H172+League!G173,OR(League!F173="",League!I173="")),"L"&amp;League!A173,IF(AND(League!G172+League!H173=League!H172+League!G173,League!F173&gt;League!I173),League!K173,League!D173))))))</f>
        <v>LO4</v>
      </c>
      <c r="I319" s="219"/>
      <c r="J319" s="326"/>
      <c r="K319" s="322">
        <f t="shared" si="977"/>
        <v>0</v>
      </c>
      <c r="L319" s="251"/>
      <c r="M319" s="326"/>
      <c r="N319" s="322">
        <f t="shared" si="978"/>
        <v>0</v>
      </c>
      <c r="O319" s="251"/>
      <c r="P319" s="326"/>
      <c r="Q319" s="322">
        <f t="shared" si="978"/>
        <v>0</v>
      </c>
      <c r="R319" s="251"/>
      <c r="S319" s="326"/>
      <c r="T319" s="322">
        <f t="shared" si="978"/>
        <v>0</v>
      </c>
      <c r="U319" s="251"/>
      <c r="V319" s="326"/>
      <c r="W319" s="322">
        <f t="shared" si="978"/>
        <v>0</v>
      </c>
      <c r="X319" s="251"/>
      <c r="Y319" s="326"/>
      <c r="Z319" s="322">
        <f t="shared" si="978"/>
        <v>0</v>
      </c>
      <c r="AA319" s="251"/>
      <c r="AB319" s="326"/>
      <c r="AC319" s="322">
        <f t="shared" si="978"/>
        <v>0</v>
      </c>
      <c r="AD319" s="251"/>
      <c r="AE319" s="326"/>
      <c r="AF319" s="322">
        <f t="shared" si="978"/>
        <v>0</v>
      </c>
      <c r="AG319" s="251"/>
      <c r="AH319" s="326"/>
      <c r="AI319" s="322">
        <f t="shared" si="978"/>
        <v>0</v>
      </c>
      <c r="AJ319" s="251"/>
      <c r="AK319" s="326"/>
      <c r="AL319" s="322">
        <f t="shared" si="978"/>
        <v>0</v>
      </c>
      <c r="AM319" s="251"/>
      <c r="AN319" s="326"/>
      <c r="AO319" s="322">
        <f t="shared" si="978"/>
        <v>0</v>
      </c>
      <c r="AP319" s="251"/>
      <c r="AQ319" s="326"/>
      <c r="AR319" s="322">
        <f t="shared" si="978"/>
        <v>0</v>
      </c>
      <c r="AS319" s="251"/>
      <c r="AT319" s="326"/>
      <c r="AU319" s="322">
        <f t="shared" si="978"/>
        <v>0</v>
      </c>
      <c r="AV319" s="251"/>
      <c r="AW319" s="326"/>
      <c r="AX319" s="322">
        <f t="shared" si="978"/>
        <v>0</v>
      </c>
      <c r="AY319" s="251"/>
      <c r="AZ319" s="326"/>
      <c r="BA319" s="322">
        <f t="shared" si="978"/>
        <v>0</v>
      </c>
      <c r="BB319" s="251"/>
      <c r="BC319" s="326"/>
      <c r="BD319" s="322">
        <f t="shared" si="978"/>
        <v>0</v>
      </c>
      <c r="BE319" s="251"/>
      <c r="BF319" s="326"/>
      <c r="BG319" s="322">
        <f t="shared" si="978"/>
        <v>0</v>
      </c>
      <c r="BH319" s="251"/>
      <c r="BI319" s="326"/>
      <c r="BJ319" s="322">
        <f t="shared" si="978"/>
        <v>0</v>
      </c>
      <c r="BK319" s="251"/>
      <c r="BL319" s="326"/>
      <c r="BM319" s="322">
        <f t="shared" si="978"/>
        <v>0</v>
      </c>
      <c r="BN319" s="251"/>
      <c r="BO319" s="326"/>
      <c r="BP319" s="322">
        <f t="shared" si="978"/>
        <v>0</v>
      </c>
      <c r="BQ319" s="251"/>
      <c r="BR319" s="326"/>
      <c r="BS319" s="322">
        <f t="shared" si="978"/>
        <v>0</v>
      </c>
      <c r="BT319" s="251"/>
      <c r="BU319" s="326"/>
      <c r="BV319" s="322">
        <f t="shared" si="978"/>
        <v>0</v>
      </c>
      <c r="BW319" s="251"/>
      <c r="BX319" s="326"/>
      <c r="BY319" s="322">
        <f t="shared" si="978"/>
        <v>0</v>
      </c>
      <c r="BZ319" s="251"/>
      <c r="CA319" s="326"/>
      <c r="CB319" s="322">
        <f t="shared" si="979"/>
        <v>0</v>
      </c>
      <c r="CC319" s="251"/>
      <c r="CD319" s="326"/>
      <c r="CE319" s="322">
        <f t="shared" si="979"/>
        <v>0</v>
      </c>
      <c r="CF319" s="251"/>
      <c r="CG319" s="251"/>
      <c r="CH319" s="251"/>
    </row>
    <row r="320" spans="1:86" ht="15" customHeight="1">
      <c r="A320" s="219"/>
      <c r="B320" s="219"/>
      <c r="C320" s="219"/>
      <c r="D320" s="219"/>
      <c r="E320" s="219"/>
      <c r="F320" s="564"/>
      <c r="G320" s="320" t="str">
        <f>+Idiomas!$D$370</f>
        <v>Octavos de final</v>
      </c>
      <c r="H320" s="398" t="str">
        <f>IF(AND(OR(League!G175="",League!H175="",League!G174="",League!H174="")),"L"&amp;League!A175,IF(League!G174+League!H175&gt;League!H174+League!G175,League!D175,IF(League!G174+League!H175&lt;League!H174+League!G175,League!K175,IF(AND(League!G174+League!H175=League!H174+League!G175,League!F175=League!I175),"L"&amp;League!A175,IF(AND(League!G174+League!H175=League!H174+League!G175,OR(League!F175="",League!I175="")),"L"&amp;League!A175,IF(AND(League!G174+League!H175=League!H174+League!G175,League!F175&gt;League!I175),League!K175,League!D175))))))</f>
        <v>LO5</v>
      </c>
      <c r="I320" s="219"/>
      <c r="J320" s="326"/>
      <c r="K320" s="322">
        <f t="shared" si="977"/>
        <v>0</v>
      </c>
      <c r="L320" s="251"/>
      <c r="M320" s="326"/>
      <c r="N320" s="322">
        <f t="shared" si="978"/>
        <v>0</v>
      </c>
      <c r="O320" s="251"/>
      <c r="P320" s="326"/>
      <c r="Q320" s="322">
        <f t="shared" si="978"/>
        <v>0</v>
      </c>
      <c r="R320" s="251"/>
      <c r="S320" s="326"/>
      <c r="T320" s="322">
        <f t="shared" si="978"/>
        <v>0</v>
      </c>
      <c r="U320" s="251"/>
      <c r="V320" s="326"/>
      <c r="W320" s="322">
        <f t="shared" si="978"/>
        <v>0</v>
      </c>
      <c r="X320" s="251"/>
      <c r="Y320" s="326"/>
      <c r="Z320" s="322">
        <f t="shared" si="978"/>
        <v>0</v>
      </c>
      <c r="AA320" s="251"/>
      <c r="AB320" s="326"/>
      <c r="AC320" s="322">
        <f t="shared" si="978"/>
        <v>0</v>
      </c>
      <c r="AD320" s="251"/>
      <c r="AE320" s="326"/>
      <c r="AF320" s="322">
        <f t="shared" si="978"/>
        <v>0</v>
      </c>
      <c r="AG320" s="251"/>
      <c r="AH320" s="326"/>
      <c r="AI320" s="322">
        <f t="shared" si="978"/>
        <v>0</v>
      </c>
      <c r="AJ320" s="251"/>
      <c r="AK320" s="326"/>
      <c r="AL320" s="322">
        <f t="shared" si="978"/>
        <v>0</v>
      </c>
      <c r="AM320" s="251"/>
      <c r="AN320" s="326"/>
      <c r="AO320" s="322">
        <f t="shared" si="978"/>
        <v>0</v>
      </c>
      <c r="AP320" s="251"/>
      <c r="AQ320" s="326"/>
      <c r="AR320" s="322">
        <f t="shared" si="978"/>
        <v>0</v>
      </c>
      <c r="AS320" s="251"/>
      <c r="AT320" s="326"/>
      <c r="AU320" s="322">
        <f t="shared" si="978"/>
        <v>0</v>
      </c>
      <c r="AV320" s="251"/>
      <c r="AW320" s="326"/>
      <c r="AX320" s="322">
        <f t="shared" si="978"/>
        <v>0</v>
      </c>
      <c r="AY320" s="251"/>
      <c r="AZ320" s="326"/>
      <c r="BA320" s="322">
        <f t="shared" si="978"/>
        <v>0</v>
      </c>
      <c r="BB320" s="251"/>
      <c r="BC320" s="326"/>
      <c r="BD320" s="322">
        <f t="shared" si="978"/>
        <v>0</v>
      </c>
      <c r="BE320" s="251"/>
      <c r="BF320" s="326"/>
      <c r="BG320" s="322">
        <f t="shared" si="978"/>
        <v>0</v>
      </c>
      <c r="BH320" s="251"/>
      <c r="BI320" s="326"/>
      <c r="BJ320" s="322">
        <f t="shared" si="978"/>
        <v>0</v>
      </c>
      <c r="BK320" s="251"/>
      <c r="BL320" s="326"/>
      <c r="BM320" s="322">
        <f t="shared" si="978"/>
        <v>0</v>
      </c>
      <c r="BN320" s="251"/>
      <c r="BO320" s="326"/>
      <c r="BP320" s="322">
        <f t="shared" si="978"/>
        <v>0</v>
      </c>
      <c r="BQ320" s="251"/>
      <c r="BR320" s="326"/>
      <c r="BS320" s="322">
        <f t="shared" si="978"/>
        <v>0</v>
      </c>
      <c r="BT320" s="251"/>
      <c r="BU320" s="326"/>
      <c r="BV320" s="322">
        <f t="shared" si="978"/>
        <v>0</v>
      </c>
      <c r="BW320" s="251"/>
      <c r="BX320" s="326"/>
      <c r="BY320" s="322">
        <f t="shared" si="978"/>
        <v>0</v>
      </c>
      <c r="BZ320" s="251"/>
      <c r="CA320" s="326"/>
      <c r="CB320" s="322">
        <f t="shared" si="979"/>
        <v>0</v>
      </c>
      <c r="CC320" s="251"/>
      <c r="CD320" s="326"/>
      <c r="CE320" s="322">
        <f t="shared" si="979"/>
        <v>0</v>
      </c>
      <c r="CF320" s="251"/>
      <c r="CG320" s="251"/>
      <c r="CH320" s="251"/>
    </row>
    <row r="321" spans="1:86" ht="15" customHeight="1">
      <c r="A321" s="219"/>
      <c r="B321" s="219"/>
      <c r="C321" s="219"/>
      <c r="D321" s="219"/>
      <c r="E321" s="219"/>
      <c r="F321" s="564"/>
      <c r="G321" s="320" t="str">
        <f>+Idiomas!$D$370</f>
        <v>Octavos de final</v>
      </c>
      <c r="H321" s="398" t="str">
        <f>IF(AND(OR(League!G177="",League!H177="",League!G176="",League!H176="")),"L"&amp;League!A177,IF(League!G176+League!H177&gt;League!H176+League!G177,League!D177,IF(League!G176+League!H177&lt;League!H176+League!G177,League!K177,IF(AND(League!G176+League!H177=League!H176+League!G177,League!F177=League!I177),"L"&amp;League!A177,IF(AND(League!G176+League!H177=League!H176+League!G177,OR(League!F177="",League!I177="")),"L"&amp;League!A177,IF(AND(League!G176+League!H177=League!H176+League!G177,League!F177&gt;League!I177),League!K177,League!D177))))))</f>
        <v>LO6</v>
      </c>
      <c r="I321" s="219"/>
      <c r="J321" s="326"/>
      <c r="K321" s="322">
        <f t="shared" si="977"/>
        <v>0</v>
      </c>
      <c r="L321" s="251"/>
      <c r="M321" s="326"/>
      <c r="N321" s="322">
        <f t="shared" si="978"/>
        <v>0</v>
      </c>
      <c r="O321" s="251"/>
      <c r="P321" s="326"/>
      <c r="Q321" s="322">
        <f t="shared" si="978"/>
        <v>0</v>
      </c>
      <c r="R321" s="251"/>
      <c r="S321" s="326"/>
      <c r="T321" s="322">
        <f t="shared" si="978"/>
        <v>0</v>
      </c>
      <c r="U321" s="251"/>
      <c r="V321" s="326"/>
      <c r="W321" s="322">
        <f t="shared" si="978"/>
        <v>0</v>
      </c>
      <c r="X321" s="251"/>
      <c r="Y321" s="326"/>
      <c r="Z321" s="322">
        <f t="shared" si="978"/>
        <v>0</v>
      </c>
      <c r="AA321" s="251"/>
      <c r="AB321" s="326"/>
      <c r="AC321" s="322">
        <f t="shared" si="978"/>
        <v>0</v>
      </c>
      <c r="AD321" s="251"/>
      <c r="AE321" s="326"/>
      <c r="AF321" s="322">
        <f t="shared" si="978"/>
        <v>0</v>
      </c>
      <c r="AG321" s="251"/>
      <c r="AH321" s="326"/>
      <c r="AI321" s="322">
        <f t="shared" si="978"/>
        <v>0</v>
      </c>
      <c r="AJ321" s="251"/>
      <c r="AK321" s="326"/>
      <c r="AL321" s="322">
        <f t="shared" si="978"/>
        <v>0</v>
      </c>
      <c r="AM321" s="251"/>
      <c r="AN321" s="326"/>
      <c r="AO321" s="322">
        <f t="shared" si="978"/>
        <v>0</v>
      </c>
      <c r="AP321" s="251"/>
      <c r="AQ321" s="326"/>
      <c r="AR321" s="322">
        <f t="shared" si="978"/>
        <v>0</v>
      </c>
      <c r="AS321" s="251"/>
      <c r="AT321" s="326"/>
      <c r="AU321" s="322">
        <f t="shared" si="978"/>
        <v>0</v>
      </c>
      <c r="AV321" s="251"/>
      <c r="AW321" s="326"/>
      <c r="AX321" s="322">
        <f t="shared" si="978"/>
        <v>0</v>
      </c>
      <c r="AY321" s="251"/>
      <c r="AZ321" s="326"/>
      <c r="BA321" s="322">
        <f t="shared" si="978"/>
        <v>0</v>
      </c>
      <c r="BB321" s="251"/>
      <c r="BC321" s="326"/>
      <c r="BD321" s="322">
        <f t="shared" si="978"/>
        <v>0</v>
      </c>
      <c r="BE321" s="251"/>
      <c r="BF321" s="326"/>
      <c r="BG321" s="322">
        <f t="shared" si="978"/>
        <v>0</v>
      </c>
      <c r="BH321" s="251"/>
      <c r="BI321" s="326"/>
      <c r="BJ321" s="322">
        <f t="shared" si="978"/>
        <v>0</v>
      </c>
      <c r="BK321" s="251"/>
      <c r="BL321" s="326"/>
      <c r="BM321" s="322">
        <f t="shared" si="978"/>
        <v>0</v>
      </c>
      <c r="BN321" s="251"/>
      <c r="BO321" s="326"/>
      <c r="BP321" s="322">
        <f t="shared" si="978"/>
        <v>0</v>
      </c>
      <c r="BQ321" s="251"/>
      <c r="BR321" s="326"/>
      <c r="BS321" s="322">
        <f t="shared" si="978"/>
        <v>0</v>
      </c>
      <c r="BT321" s="251"/>
      <c r="BU321" s="326"/>
      <c r="BV321" s="322">
        <f t="shared" si="978"/>
        <v>0</v>
      </c>
      <c r="BW321" s="251"/>
      <c r="BX321" s="326"/>
      <c r="BY321" s="322">
        <f t="shared" si="978"/>
        <v>0</v>
      </c>
      <c r="BZ321" s="251"/>
      <c r="CA321" s="326"/>
      <c r="CB321" s="322">
        <f t="shared" si="979"/>
        <v>0</v>
      </c>
      <c r="CC321" s="251"/>
      <c r="CD321" s="326"/>
      <c r="CE321" s="322">
        <f t="shared" si="979"/>
        <v>0</v>
      </c>
      <c r="CF321" s="251"/>
      <c r="CG321" s="251"/>
      <c r="CH321" s="251"/>
    </row>
    <row r="322" spans="1:86" ht="15" customHeight="1">
      <c r="A322" s="219"/>
      <c r="B322" s="219"/>
      <c r="C322" s="219"/>
      <c r="D322" s="219"/>
      <c r="E322" s="219"/>
      <c r="F322" s="564"/>
      <c r="G322" s="320" t="str">
        <f>+Idiomas!$D$370</f>
        <v>Octavos de final</v>
      </c>
      <c r="H322" s="398" t="str">
        <f>IF(AND(OR(League!G179="",League!H179="",League!G178="",League!H178="")),"L"&amp;League!A179,IF(League!G178+League!H179&gt;League!H178+League!G179,League!D179,IF(League!G178+League!H179&lt;League!H178+League!G179,League!K179,IF(AND(League!G178+League!H179=League!H178+League!G179,League!F179=League!I179),"L"&amp;League!A179,IF(AND(League!G178+League!H179=League!H178+League!G179,OR(League!F179="",League!I179="")),"L"&amp;League!A179,IF(AND(League!G178+League!H179=League!H178+League!G179,League!F179&gt;League!I179),League!K179,League!D179))))))</f>
        <v>LO7</v>
      </c>
      <c r="I322" s="219"/>
      <c r="J322" s="326"/>
      <c r="K322" s="322">
        <f t="shared" si="977"/>
        <v>0</v>
      </c>
      <c r="L322" s="251"/>
      <c r="M322" s="326"/>
      <c r="N322" s="322">
        <f t="shared" si="978"/>
        <v>0</v>
      </c>
      <c r="O322" s="251"/>
      <c r="P322" s="326"/>
      <c r="Q322" s="322">
        <f t="shared" si="978"/>
        <v>0</v>
      </c>
      <c r="R322" s="251"/>
      <c r="S322" s="326"/>
      <c r="T322" s="322">
        <f t="shared" si="978"/>
        <v>0</v>
      </c>
      <c r="U322" s="251"/>
      <c r="V322" s="326"/>
      <c r="W322" s="322">
        <f t="shared" si="978"/>
        <v>0</v>
      </c>
      <c r="X322" s="251"/>
      <c r="Y322" s="326"/>
      <c r="Z322" s="322">
        <f t="shared" si="978"/>
        <v>0</v>
      </c>
      <c r="AA322" s="251"/>
      <c r="AB322" s="326"/>
      <c r="AC322" s="322">
        <f t="shared" si="978"/>
        <v>0</v>
      </c>
      <c r="AD322" s="251"/>
      <c r="AE322" s="326"/>
      <c r="AF322" s="322">
        <f t="shared" si="978"/>
        <v>0</v>
      </c>
      <c r="AG322" s="251"/>
      <c r="AH322" s="326"/>
      <c r="AI322" s="322">
        <f t="shared" si="978"/>
        <v>0</v>
      </c>
      <c r="AJ322" s="251"/>
      <c r="AK322" s="326"/>
      <c r="AL322" s="322">
        <f t="shared" si="978"/>
        <v>0</v>
      </c>
      <c r="AM322" s="251"/>
      <c r="AN322" s="326"/>
      <c r="AO322" s="322">
        <f t="shared" si="978"/>
        <v>0</v>
      </c>
      <c r="AP322" s="251"/>
      <c r="AQ322" s="326"/>
      <c r="AR322" s="322">
        <f t="shared" si="978"/>
        <v>0</v>
      </c>
      <c r="AS322" s="251"/>
      <c r="AT322" s="326"/>
      <c r="AU322" s="322">
        <f t="shared" si="978"/>
        <v>0</v>
      </c>
      <c r="AV322" s="251"/>
      <c r="AW322" s="326"/>
      <c r="AX322" s="322">
        <f t="shared" si="978"/>
        <v>0</v>
      </c>
      <c r="AY322" s="251"/>
      <c r="AZ322" s="326"/>
      <c r="BA322" s="322">
        <f t="shared" si="978"/>
        <v>0</v>
      </c>
      <c r="BB322" s="251"/>
      <c r="BC322" s="326"/>
      <c r="BD322" s="322">
        <f t="shared" si="978"/>
        <v>0</v>
      </c>
      <c r="BE322" s="251"/>
      <c r="BF322" s="326"/>
      <c r="BG322" s="322">
        <f t="shared" si="978"/>
        <v>0</v>
      </c>
      <c r="BH322" s="251"/>
      <c r="BI322" s="326"/>
      <c r="BJ322" s="322">
        <f t="shared" si="978"/>
        <v>0</v>
      </c>
      <c r="BK322" s="251"/>
      <c r="BL322" s="326"/>
      <c r="BM322" s="322">
        <f t="shared" si="978"/>
        <v>0</v>
      </c>
      <c r="BN322" s="251"/>
      <c r="BO322" s="326"/>
      <c r="BP322" s="322">
        <f t="shared" si="978"/>
        <v>0</v>
      </c>
      <c r="BQ322" s="251"/>
      <c r="BR322" s="326"/>
      <c r="BS322" s="322">
        <f t="shared" si="978"/>
        <v>0</v>
      </c>
      <c r="BT322" s="251"/>
      <c r="BU322" s="326"/>
      <c r="BV322" s="322">
        <f t="shared" si="978"/>
        <v>0</v>
      </c>
      <c r="BW322" s="251"/>
      <c r="BX322" s="326"/>
      <c r="BY322" s="322">
        <f t="shared" si="978"/>
        <v>0</v>
      </c>
      <c r="BZ322" s="251"/>
      <c r="CA322" s="326"/>
      <c r="CB322" s="322">
        <f t="shared" si="979"/>
        <v>0</v>
      </c>
      <c r="CC322" s="251"/>
      <c r="CD322" s="326"/>
      <c r="CE322" s="322">
        <f t="shared" si="979"/>
        <v>0</v>
      </c>
      <c r="CF322" s="251"/>
      <c r="CG322" s="251"/>
      <c r="CH322" s="251"/>
    </row>
    <row r="323" spans="1:86" ht="15" customHeight="1">
      <c r="A323" s="219"/>
      <c r="B323" s="219"/>
      <c r="C323" s="219"/>
      <c r="D323" s="219"/>
      <c r="E323" s="219"/>
      <c r="F323" s="564"/>
      <c r="G323" s="394" t="str">
        <f>+Idiomas!$D$370</f>
        <v>Octavos de final</v>
      </c>
      <c r="H323" s="395" t="str">
        <f>IF(AND(OR(League!G181="",League!H181="",League!G180="",League!H180="")),"L"&amp;League!A181,IF(League!G180+League!H181&gt;League!H180+League!G181,League!D181,IF(League!G180+League!H181&lt;League!H180+League!G181,League!K181,IF(AND(League!G180+League!H181=League!H180+League!G181,League!F181=League!I181),"L"&amp;League!A181,IF(AND(League!G180+League!H181=League!H180+League!G181,OR(League!F181="",League!I181="")),"L"&amp;League!A181,IF(AND(League!G180+League!H181=League!H180+League!G181,League!F181&gt;League!I181),League!K181,League!D181))))))</f>
        <v>LO8</v>
      </c>
      <c r="I323" s="219"/>
      <c r="J323" s="396"/>
      <c r="K323" s="397">
        <f t="shared" si="977"/>
        <v>0</v>
      </c>
      <c r="L323" s="251"/>
      <c r="M323" s="396"/>
      <c r="N323" s="397">
        <f t="shared" si="978"/>
        <v>0</v>
      </c>
      <c r="O323" s="251"/>
      <c r="P323" s="396"/>
      <c r="Q323" s="397">
        <f t="shared" si="978"/>
        <v>0</v>
      </c>
      <c r="R323" s="251"/>
      <c r="S323" s="396"/>
      <c r="T323" s="397">
        <f t="shared" si="978"/>
        <v>0</v>
      </c>
      <c r="U323" s="251"/>
      <c r="V323" s="396"/>
      <c r="W323" s="397">
        <f t="shared" si="978"/>
        <v>0</v>
      </c>
      <c r="X323" s="251"/>
      <c r="Y323" s="396"/>
      <c r="Z323" s="397">
        <f t="shared" si="978"/>
        <v>0</v>
      </c>
      <c r="AA323" s="251"/>
      <c r="AB323" s="396"/>
      <c r="AC323" s="397">
        <f t="shared" si="978"/>
        <v>0</v>
      </c>
      <c r="AD323" s="251"/>
      <c r="AE323" s="396"/>
      <c r="AF323" s="397">
        <f t="shared" si="978"/>
        <v>0</v>
      </c>
      <c r="AG323" s="251"/>
      <c r="AH323" s="396"/>
      <c r="AI323" s="397">
        <f t="shared" si="978"/>
        <v>0</v>
      </c>
      <c r="AJ323" s="251"/>
      <c r="AK323" s="396"/>
      <c r="AL323" s="397">
        <f t="shared" si="978"/>
        <v>0</v>
      </c>
      <c r="AM323" s="251"/>
      <c r="AN323" s="396"/>
      <c r="AO323" s="397">
        <f t="shared" si="978"/>
        <v>0</v>
      </c>
      <c r="AP323" s="251"/>
      <c r="AQ323" s="396"/>
      <c r="AR323" s="397">
        <f t="shared" si="978"/>
        <v>0</v>
      </c>
      <c r="AS323" s="251"/>
      <c r="AT323" s="396"/>
      <c r="AU323" s="397">
        <f t="shared" si="978"/>
        <v>0</v>
      </c>
      <c r="AV323" s="251"/>
      <c r="AW323" s="396"/>
      <c r="AX323" s="397">
        <f t="shared" si="978"/>
        <v>0</v>
      </c>
      <c r="AY323" s="251"/>
      <c r="AZ323" s="396"/>
      <c r="BA323" s="397">
        <f t="shared" si="978"/>
        <v>0</v>
      </c>
      <c r="BB323" s="251"/>
      <c r="BC323" s="396"/>
      <c r="BD323" s="397">
        <f t="shared" si="978"/>
        <v>0</v>
      </c>
      <c r="BE323" s="251"/>
      <c r="BF323" s="396"/>
      <c r="BG323" s="397">
        <f t="shared" si="978"/>
        <v>0</v>
      </c>
      <c r="BH323" s="251"/>
      <c r="BI323" s="396"/>
      <c r="BJ323" s="397">
        <f t="shared" si="978"/>
        <v>0</v>
      </c>
      <c r="BK323" s="251"/>
      <c r="BL323" s="396"/>
      <c r="BM323" s="397">
        <f t="shared" si="978"/>
        <v>0</v>
      </c>
      <c r="BN323" s="251"/>
      <c r="BO323" s="396"/>
      <c r="BP323" s="397">
        <f t="shared" si="978"/>
        <v>0</v>
      </c>
      <c r="BQ323" s="251"/>
      <c r="BR323" s="396"/>
      <c r="BS323" s="397">
        <f t="shared" si="978"/>
        <v>0</v>
      </c>
      <c r="BT323" s="251"/>
      <c r="BU323" s="396"/>
      <c r="BV323" s="397">
        <f t="shared" si="978"/>
        <v>0</v>
      </c>
      <c r="BW323" s="251"/>
      <c r="BX323" s="396"/>
      <c r="BY323" s="397">
        <f t="shared" si="978"/>
        <v>0</v>
      </c>
      <c r="BZ323" s="251"/>
      <c r="CA323" s="396"/>
      <c r="CB323" s="397">
        <f t="shared" si="979"/>
        <v>0</v>
      </c>
      <c r="CC323" s="251"/>
      <c r="CD323" s="396"/>
      <c r="CE323" s="397">
        <f t="shared" si="979"/>
        <v>0</v>
      </c>
      <c r="CF323" s="251"/>
      <c r="CG323" s="251"/>
      <c r="CH323" s="251"/>
    </row>
    <row r="324" spans="1:86" ht="15" customHeight="1">
      <c r="A324" s="219"/>
      <c r="B324" s="219"/>
      <c r="C324" s="219"/>
      <c r="D324" s="219"/>
      <c r="E324" s="219"/>
      <c r="F324" s="564"/>
      <c r="G324" s="320" t="str">
        <f>+Idiomas!$D$371</f>
        <v>Playoffs</v>
      </c>
      <c r="H324" s="398" t="str">
        <f>IF(AND(OR(League!G149="",League!H149="",League!G148="",League!H148="")),"L"&amp;League!A149,IF(League!G148+League!H149&gt;League!H148+League!G149,League!D149,IF(League!G148+League!H149&lt;League!H148+League!G149,League!K149,IF(AND(League!G148+League!H149=League!H148+League!G149,League!F149=League!I149),"L"&amp;League!A149,IF(AND(League!G148+League!H149=League!H148+League!G149,OR(League!F149="",League!I149="")),"L"&amp;League!A149,IF(AND(League!G148+League!H149=League!H148+League!G149,League!F149&gt;League!I149),League!K149,League!D149))))))</f>
        <v>LPO1</v>
      </c>
      <c r="I324" s="219"/>
      <c r="J324" s="340"/>
      <c r="K324" s="341">
        <f t="shared" ref="K324:K331" si="980">+COUNTIF($H$308:$H$331,J324)*SUM($D$39:$D$40)+COUNTIF($H$332:$H$343,J324)*$D$40</f>
        <v>0</v>
      </c>
      <c r="L324" s="251"/>
      <c r="M324" s="340"/>
      <c r="N324" s="341">
        <f t="shared" ref="N324:BY331" si="981">+COUNTIF($H$308:$H$331,M324)*SUM($D$39:$D$40)+COUNTIF($H$332:$H$343,M324)*$D$40</f>
        <v>0</v>
      </c>
      <c r="O324" s="251"/>
      <c r="P324" s="340"/>
      <c r="Q324" s="341">
        <f t="shared" si="981"/>
        <v>0</v>
      </c>
      <c r="R324" s="251"/>
      <c r="S324" s="340"/>
      <c r="T324" s="341">
        <f t="shared" si="981"/>
        <v>0</v>
      </c>
      <c r="U324" s="251"/>
      <c r="V324" s="340"/>
      <c r="W324" s="341">
        <f t="shared" si="981"/>
        <v>0</v>
      </c>
      <c r="X324" s="251"/>
      <c r="Y324" s="340"/>
      <c r="Z324" s="341">
        <f t="shared" si="981"/>
        <v>0</v>
      </c>
      <c r="AA324" s="251"/>
      <c r="AB324" s="340"/>
      <c r="AC324" s="341">
        <f t="shared" si="981"/>
        <v>0</v>
      </c>
      <c r="AD324" s="251"/>
      <c r="AE324" s="340"/>
      <c r="AF324" s="341">
        <f t="shared" si="981"/>
        <v>0</v>
      </c>
      <c r="AG324" s="251"/>
      <c r="AH324" s="340"/>
      <c r="AI324" s="341">
        <f t="shared" si="981"/>
        <v>0</v>
      </c>
      <c r="AJ324" s="251"/>
      <c r="AK324" s="340"/>
      <c r="AL324" s="341">
        <f t="shared" si="981"/>
        <v>0</v>
      </c>
      <c r="AM324" s="251"/>
      <c r="AN324" s="340"/>
      <c r="AO324" s="341">
        <f t="shared" si="981"/>
        <v>0</v>
      </c>
      <c r="AP324" s="251"/>
      <c r="AQ324" s="340"/>
      <c r="AR324" s="341">
        <f t="shared" si="981"/>
        <v>0</v>
      </c>
      <c r="AS324" s="251"/>
      <c r="AT324" s="340"/>
      <c r="AU324" s="341">
        <f t="shared" si="981"/>
        <v>0</v>
      </c>
      <c r="AV324" s="251"/>
      <c r="AW324" s="340"/>
      <c r="AX324" s="341">
        <f t="shared" si="981"/>
        <v>0</v>
      </c>
      <c r="AY324" s="251"/>
      <c r="AZ324" s="340"/>
      <c r="BA324" s="341">
        <f t="shared" si="981"/>
        <v>0</v>
      </c>
      <c r="BB324" s="251"/>
      <c r="BC324" s="340"/>
      <c r="BD324" s="341">
        <f t="shared" si="981"/>
        <v>0</v>
      </c>
      <c r="BE324" s="251"/>
      <c r="BF324" s="340"/>
      <c r="BG324" s="341">
        <f t="shared" si="981"/>
        <v>0</v>
      </c>
      <c r="BH324" s="251"/>
      <c r="BI324" s="340"/>
      <c r="BJ324" s="341">
        <f t="shared" si="981"/>
        <v>0</v>
      </c>
      <c r="BK324" s="251"/>
      <c r="BL324" s="340"/>
      <c r="BM324" s="341">
        <f t="shared" si="981"/>
        <v>0</v>
      </c>
      <c r="BN324" s="251"/>
      <c r="BO324" s="340"/>
      <c r="BP324" s="341">
        <f t="shared" si="981"/>
        <v>0</v>
      </c>
      <c r="BQ324" s="251"/>
      <c r="BR324" s="340"/>
      <c r="BS324" s="341">
        <f t="shared" si="981"/>
        <v>0</v>
      </c>
      <c r="BT324" s="251"/>
      <c r="BU324" s="340"/>
      <c r="BV324" s="341">
        <f t="shared" si="981"/>
        <v>0</v>
      </c>
      <c r="BW324" s="251"/>
      <c r="BX324" s="340"/>
      <c r="BY324" s="341">
        <f t="shared" si="981"/>
        <v>0</v>
      </c>
      <c r="BZ324" s="251"/>
      <c r="CA324" s="340"/>
      <c r="CB324" s="341">
        <f t="shared" ref="CB324:CE331" si="982">+COUNTIF($H$308:$H$331,CA324)*SUM($D$39:$D$40)+COUNTIF($H$332:$H$343,CA324)*$D$40</f>
        <v>0</v>
      </c>
      <c r="CC324" s="251"/>
      <c r="CD324" s="340"/>
      <c r="CE324" s="341">
        <f t="shared" si="982"/>
        <v>0</v>
      </c>
      <c r="CF324" s="251"/>
      <c r="CG324" s="251"/>
      <c r="CH324" s="251"/>
    </row>
    <row r="325" spans="1:86" ht="15" customHeight="1">
      <c r="A325" s="219"/>
      <c r="B325" s="219"/>
      <c r="C325" s="219"/>
      <c r="D325" s="219"/>
      <c r="E325" s="219"/>
      <c r="F325" s="564"/>
      <c r="G325" s="320" t="str">
        <f>+Idiomas!$D$371</f>
        <v>Playoffs</v>
      </c>
      <c r="H325" s="398" t="str">
        <f>IF(AND(OR(League!G151="",League!H151="",League!G150="",League!H150="")),"L"&amp;League!A151,IF(League!G150+League!H151&gt;League!H150+League!G151,League!D151,IF(League!G150+League!H151&lt;League!H150+League!G151,League!K151,IF(AND(League!G150+League!H151=League!H150+League!G151,League!F151=League!I151),"L"&amp;League!A151,IF(AND(League!G150+League!H151=League!H150+League!G151,OR(League!F151="",League!I151="")),"L"&amp;League!A151,IF(AND(League!G150+League!H151=League!H150+League!G151,League!F151&gt;League!I151),League!K151,League!D151))))))</f>
        <v>LPO2</v>
      </c>
      <c r="I325" s="219"/>
      <c r="J325" s="326"/>
      <c r="K325" s="322">
        <f t="shared" si="980"/>
        <v>0</v>
      </c>
      <c r="L325" s="251"/>
      <c r="M325" s="326"/>
      <c r="N325" s="322">
        <f t="shared" si="981"/>
        <v>0</v>
      </c>
      <c r="O325" s="251"/>
      <c r="P325" s="326"/>
      <c r="Q325" s="322">
        <f t="shared" si="981"/>
        <v>0</v>
      </c>
      <c r="R325" s="251"/>
      <c r="S325" s="326"/>
      <c r="T325" s="322">
        <f t="shared" si="981"/>
        <v>0</v>
      </c>
      <c r="U325" s="251"/>
      <c r="V325" s="326"/>
      <c r="W325" s="322">
        <f t="shared" si="981"/>
        <v>0</v>
      </c>
      <c r="X325" s="251"/>
      <c r="Y325" s="326"/>
      <c r="Z325" s="322">
        <f t="shared" si="981"/>
        <v>0</v>
      </c>
      <c r="AA325" s="251"/>
      <c r="AB325" s="326"/>
      <c r="AC325" s="322">
        <f t="shared" si="981"/>
        <v>0</v>
      </c>
      <c r="AD325" s="251"/>
      <c r="AE325" s="326"/>
      <c r="AF325" s="322">
        <f t="shared" si="981"/>
        <v>0</v>
      </c>
      <c r="AG325" s="251"/>
      <c r="AH325" s="326"/>
      <c r="AI325" s="322">
        <f t="shared" si="981"/>
        <v>0</v>
      </c>
      <c r="AJ325" s="251"/>
      <c r="AK325" s="326"/>
      <c r="AL325" s="322">
        <f t="shared" si="981"/>
        <v>0</v>
      </c>
      <c r="AM325" s="251"/>
      <c r="AN325" s="326"/>
      <c r="AO325" s="322">
        <f t="shared" si="981"/>
        <v>0</v>
      </c>
      <c r="AP325" s="251"/>
      <c r="AQ325" s="326"/>
      <c r="AR325" s="322">
        <f t="shared" si="981"/>
        <v>0</v>
      </c>
      <c r="AS325" s="251"/>
      <c r="AT325" s="326"/>
      <c r="AU325" s="322">
        <f t="shared" si="981"/>
        <v>0</v>
      </c>
      <c r="AV325" s="251"/>
      <c r="AW325" s="326"/>
      <c r="AX325" s="322">
        <f t="shared" si="981"/>
        <v>0</v>
      </c>
      <c r="AY325" s="251"/>
      <c r="AZ325" s="326"/>
      <c r="BA325" s="322">
        <f t="shared" si="981"/>
        <v>0</v>
      </c>
      <c r="BB325" s="251"/>
      <c r="BC325" s="326"/>
      <c r="BD325" s="322">
        <f t="shared" si="981"/>
        <v>0</v>
      </c>
      <c r="BE325" s="251"/>
      <c r="BF325" s="326"/>
      <c r="BG325" s="322">
        <f t="shared" si="981"/>
        <v>0</v>
      </c>
      <c r="BH325" s="251"/>
      <c r="BI325" s="326"/>
      <c r="BJ325" s="322">
        <f t="shared" si="981"/>
        <v>0</v>
      </c>
      <c r="BK325" s="251"/>
      <c r="BL325" s="326"/>
      <c r="BM325" s="322">
        <f t="shared" si="981"/>
        <v>0</v>
      </c>
      <c r="BN325" s="251"/>
      <c r="BO325" s="326"/>
      <c r="BP325" s="322">
        <f t="shared" si="981"/>
        <v>0</v>
      </c>
      <c r="BQ325" s="251"/>
      <c r="BR325" s="326"/>
      <c r="BS325" s="322">
        <f t="shared" si="981"/>
        <v>0</v>
      </c>
      <c r="BT325" s="251"/>
      <c r="BU325" s="326"/>
      <c r="BV325" s="322">
        <f t="shared" si="981"/>
        <v>0</v>
      </c>
      <c r="BW325" s="251"/>
      <c r="BX325" s="326"/>
      <c r="BY325" s="322">
        <f t="shared" si="981"/>
        <v>0</v>
      </c>
      <c r="BZ325" s="251"/>
      <c r="CA325" s="326"/>
      <c r="CB325" s="322">
        <f t="shared" si="982"/>
        <v>0</v>
      </c>
      <c r="CC325" s="251"/>
      <c r="CD325" s="326"/>
      <c r="CE325" s="322">
        <f t="shared" si="982"/>
        <v>0</v>
      </c>
      <c r="CF325" s="251"/>
      <c r="CG325" s="251"/>
      <c r="CH325" s="251"/>
    </row>
    <row r="326" spans="1:86" ht="15" customHeight="1">
      <c r="A326" s="219"/>
      <c r="B326" s="219"/>
      <c r="C326" s="219"/>
      <c r="D326" s="219"/>
      <c r="E326" s="219"/>
      <c r="F326" s="564"/>
      <c r="G326" s="320" t="str">
        <f>+Idiomas!$D$371</f>
        <v>Playoffs</v>
      </c>
      <c r="H326" s="398" t="str">
        <f>IF(AND(OR(League!G153="",League!H153="",League!G152="",League!H152="")),"L"&amp;League!A153,IF(League!G152+League!H153&gt;League!H152+League!G153,League!D153,IF(League!G152+League!H153&lt;League!H152+League!G153,League!K153,IF(AND(League!G152+League!H153=League!H152+League!G153,League!F153=League!I153),"L"&amp;League!A153,IF(AND(League!G152+League!H153=League!H152+League!G153,OR(League!F153="",League!I153="")),"L"&amp;League!A153,IF(AND(League!G152+League!H153=League!H152+League!G153,League!F153&gt;League!I153),League!K153,League!D153))))))</f>
        <v>LPO3</v>
      </c>
      <c r="I326" s="219"/>
      <c r="J326" s="326"/>
      <c r="K326" s="322">
        <f t="shared" si="980"/>
        <v>0</v>
      </c>
      <c r="L326" s="251"/>
      <c r="M326" s="326"/>
      <c r="N326" s="322">
        <f t="shared" si="981"/>
        <v>0</v>
      </c>
      <c r="O326" s="251"/>
      <c r="P326" s="326"/>
      <c r="Q326" s="322">
        <f t="shared" si="981"/>
        <v>0</v>
      </c>
      <c r="R326" s="251"/>
      <c r="S326" s="326"/>
      <c r="T326" s="322">
        <f t="shared" si="981"/>
        <v>0</v>
      </c>
      <c r="U326" s="251"/>
      <c r="V326" s="326"/>
      <c r="W326" s="322">
        <f t="shared" si="981"/>
        <v>0</v>
      </c>
      <c r="X326" s="251"/>
      <c r="Y326" s="326"/>
      <c r="Z326" s="322">
        <f t="shared" si="981"/>
        <v>0</v>
      </c>
      <c r="AA326" s="251"/>
      <c r="AB326" s="326"/>
      <c r="AC326" s="322">
        <f t="shared" si="981"/>
        <v>0</v>
      </c>
      <c r="AD326" s="251"/>
      <c r="AE326" s="326"/>
      <c r="AF326" s="322">
        <f t="shared" si="981"/>
        <v>0</v>
      </c>
      <c r="AG326" s="251"/>
      <c r="AH326" s="326"/>
      <c r="AI326" s="322">
        <f t="shared" si="981"/>
        <v>0</v>
      </c>
      <c r="AJ326" s="251"/>
      <c r="AK326" s="326"/>
      <c r="AL326" s="322">
        <f t="shared" si="981"/>
        <v>0</v>
      </c>
      <c r="AM326" s="251"/>
      <c r="AN326" s="326"/>
      <c r="AO326" s="322">
        <f t="shared" si="981"/>
        <v>0</v>
      </c>
      <c r="AP326" s="251"/>
      <c r="AQ326" s="326"/>
      <c r="AR326" s="322">
        <f t="shared" si="981"/>
        <v>0</v>
      </c>
      <c r="AS326" s="251"/>
      <c r="AT326" s="326"/>
      <c r="AU326" s="322">
        <f t="shared" si="981"/>
        <v>0</v>
      </c>
      <c r="AV326" s="251"/>
      <c r="AW326" s="326"/>
      <c r="AX326" s="322">
        <f t="shared" si="981"/>
        <v>0</v>
      </c>
      <c r="AY326" s="251"/>
      <c r="AZ326" s="326"/>
      <c r="BA326" s="322">
        <f t="shared" si="981"/>
        <v>0</v>
      </c>
      <c r="BB326" s="251"/>
      <c r="BC326" s="326"/>
      <c r="BD326" s="322">
        <f t="shared" si="981"/>
        <v>0</v>
      </c>
      <c r="BE326" s="251"/>
      <c r="BF326" s="326"/>
      <c r="BG326" s="322">
        <f t="shared" si="981"/>
        <v>0</v>
      </c>
      <c r="BH326" s="251"/>
      <c r="BI326" s="326"/>
      <c r="BJ326" s="322">
        <f t="shared" si="981"/>
        <v>0</v>
      </c>
      <c r="BK326" s="251"/>
      <c r="BL326" s="326"/>
      <c r="BM326" s="322">
        <f t="shared" si="981"/>
        <v>0</v>
      </c>
      <c r="BN326" s="251"/>
      <c r="BO326" s="326"/>
      <c r="BP326" s="322">
        <f t="shared" si="981"/>
        <v>0</v>
      </c>
      <c r="BQ326" s="251"/>
      <c r="BR326" s="326"/>
      <c r="BS326" s="322">
        <f t="shared" si="981"/>
        <v>0</v>
      </c>
      <c r="BT326" s="251"/>
      <c r="BU326" s="326"/>
      <c r="BV326" s="322">
        <f t="shared" si="981"/>
        <v>0</v>
      </c>
      <c r="BW326" s="251"/>
      <c r="BX326" s="326"/>
      <c r="BY326" s="322">
        <f t="shared" si="981"/>
        <v>0</v>
      </c>
      <c r="BZ326" s="251"/>
      <c r="CA326" s="326"/>
      <c r="CB326" s="322">
        <f t="shared" si="982"/>
        <v>0</v>
      </c>
      <c r="CC326" s="251"/>
      <c r="CD326" s="326"/>
      <c r="CE326" s="322">
        <f t="shared" si="982"/>
        <v>0</v>
      </c>
      <c r="CF326" s="251"/>
      <c r="CG326" s="251"/>
      <c r="CH326" s="251"/>
    </row>
    <row r="327" spans="1:86" ht="15" customHeight="1">
      <c r="A327" s="219"/>
      <c r="B327" s="219"/>
      <c r="C327" s="219"/>
      <c r="D327" s="219"/>
      <c r="E327" s="219"/>
      <c r="F327" s="564"/>
      <c r="G327" s="320" t="str">
        <f>+Idiomas!$D$371</f>
        <v>Playoffs</v>
      </c>
      <c r="H327" s="398" t="str">
        <f>IF(AND(OR(League!G155="",League!H155="",League!G154="",League!H154="")),"L"&amp;League!A155,IF(League!G154+League!H155&gt;League!H154+League!G155,League!D155,IF(League!G154+League!H155&lt;League!H154+League!G155,League!K155,IF(AND(League!G154+League!H155=League!H154+League!G155,League!F155=League!I155),"L"&amp;League!A155,IF(AND(League!G154+League!H155=League!H154+League!G155,OR(League!F155="",League!I155="")),"L"&amp;League!A155,IF(AND(League!G154+League!H155=League!H154+League!G155,League!F155&gt;League!I155),League!K155,League!D155))))))</f>
        <v>LPO4</v>
      </c>
      <c r="I327" s="219"/>
      <c r="J327" s="326"/>
      <c r="K327" s="322">
        <f t="shared" si="980"/>
        <v>0</v>
      </c>
      <c r="L327" s="251"/>
      <c r="M327" s="326"/>
      <c r="N327" s="322">
        <f t="shared" si="981"/>
        <v>0</v>
      </c>
      <c r="O327" s="251"/>
      <c r="P327" s="326"/>
      <c r="Q327" s="322">
        <f t="shared" si="981"/>
        <v>0</v>
      </c>
      <c r="R327" s="251"/>
      <c r="S327" s="326"/>
      <c r="T327" s="322">
        <f t="shared" si="981"/>
        <v>0</v>
      </c>
      <c r="U327" s="251"/>
      <c r="V327" s="326"/>
      <c r="W327" s="322">
        <f t="shared" si="981"/>
        <v>0</v>
      </c>
      <c r="X327" s="251"/>
      <c r="Y327" s="326"/>
      <c r="Z327" s="322">
        <f t="shared" si="981"/>
        <v>0</v>
      </c>
      <c r="AA327" s="251"/>
      <c r="AB327" s="326"/>
      <c r="AC327" s="322">
        <f t="shared" si="981"/>
        <v>0</v>
      </c>
      <c r="AD327" s="251"/>
      <c r="AE327" s="326"/>
      <c r="AF327" s="322">
        <f t="shared" si="981"/>
        <v>0</v>
      </c>
      <c r="AG327" s="251"/>
      <c r="AH327" s="326"/>
      <c r="AI327" s="322">
        <f t="shared" si="981"/>
        <v>0</v>
      </c>
      <c r="AJ327" s="251"/>
      <c r="AK327" s="326"/>
      <c r="AL327" s="322">
        <f t="shared" si="981"/>
        <v>0</v>
      </c>
      <c r="AM327" s="251"/>
      <c r="AN327" s="326"/>
      <c r="AO327" s="322">
        <f t="shared" si="981"/>
        <v>0</v>
      </c>
      <c r="AP327" s="251"/>
      <c r="AQ327" s="326"/>
      <c r="AR327" s="322">
        <f t="shared" si="981"/>
        <v>0</v>
      </c>
      <c r="AS327" s="251"/>
      <c r="AT327" s="326"/>
      <c r="AU327" s="322">
        <f t="shared" si="981"/>
        <v>0</v>
      </c>
      <c r="AV327" s="251"/>
      <c r="AW327" s="326"/>
      <c r="AX327" s="322">
        <f t="shared" si="981"/>
        <v>0</v>
      </c>
      <c r="AY327" s="251"/>
      <c r="AZ327" s="326"/>
      <c r="BA327" s="322">
        <f t="shared" si="981"/>
        <v>0</v>
      </c>
      <c r="BB327" s="251"/>
      <c r="BC327" s="326"/>
      <c r="BD327" s="322">
        <f t="shared" si="981"/>
        <v>0</v>
      </c>
      <c r="BE327" s="251"/>
      <c r="BF327" s="326"/>
      <c r="BG327" s="322">
        <f t="shared" si="981"/>
        <v>0</v>
      </c>
      <c r="BH327" s="251"/>
      <c r="BI327" s="326"/>
      <c r="BJ327" s="322">
        <f t="shared" si="981"/>
        <v>0</v>
      </c>
      <c r="BK327" s="251"/>
      <c r="BL327" s="326"/>
      <c r="BM327" s="322">
        <f t="shared" si="981"/>
        <v>0</v>
      </c>
      <c r="BN327" s="251"/>
      <c r="BO327" s="326"/>
      <c r="BP327" s="322">
        <f t="shared" si="981"/>
        <v>0</v>
      </c>
      <c r="BQ327" s="251"/>
      <c r="BR327" s="326"/>
      <c r="BS327" s="322">
        <f t="shared" si="981"/>
        <v>0</v>
      </c>
      <c r="BT327" s="251"/>
      <c r="BU327" s="326"/>
      <c r="BV327" s="322">
        <f t="shared" si="981"/>
        <v>0</v>
      </c>
      <c r="BW327" s="251"/>
      <c r="BX327" s="326"/>
      <c r="BY327" s="322">
        <f t="shared" si="981"/>
        <v>0</v>
      </c>
      <c r="BZ327" s="251"/>
      <c r="CA327" s="326"/>
      <c r="CB327" s="322">
        <f t="shared" si="982"/>
        <v>0</v>
      </c>
      <c r="CC327" s="251"/>
      <c r="CD327" s="326"/>
      <c r="CE327" s="322">
        <f t="shared" si="982"/>
        <v>0</v>
      </c>
      <c r="CF327" s="251"/>
      <c r="CG327" s="251"/>
      <c r="CH327" s="251"/>
    </row>
    <row r="328" spans="1:86" ht="15" customHeight="1">
      <c r="A328" s="219"/>
      <c r="B328" s="219"/>
      <c r="C328" s="219"/>
      <c r="D328" s="219"/>
      <c r="E328" s="219"/>
      <c r="F328" s="564"/>
      <c r="G328" s="320" t="str">
        <f>+Idiomas!$D$371</f>
        <v>Playoffs</v>
      </c>
      <c r="H328" s="398" t="str">
        <f>IF(AND(OR(League!G157="",League!H157="",League!G156="",League!H156="")),"L"&amp;League!A157,IF(League!G156+League!H157&gt;League!H156+League!G157,League!D157,IF(League!G156+League!H157&lt;League!H156+League!G157,League!K157,IF(AND(League!G156+League!H157=League!H156+League!G157,League!F157=League!I157),"L"&amp;League!A157,IF(AND(League!G156+League!H157=League!H156+League!G157,OR(League!F157="",League!I157="")),"L"&amp;League!A157,IF(AND(League!G156+League!H157=League!H156+League!G157,League!F157&gt;League!I157),League!K157,League!D157))))))</f>
        <v>LPO5</v>
      </c>
      <c r="I328" s="219"/>
      <c r="J328" s="326"/>
      <c r="K328" s="322">
        <f t="shared" si="980"/>
        <v>0</v>
      </c>
      <c r="L328" s="251"/>
      <c r="M328" s="326"/>
      <c r="N328" s="322">
        <f t="shared" si="981"/>
        <v>0</v>
      </c>
      <c r="O328" s="251"/>
      <c r="P328" s="326"/>
      <c r="Q328" s="322">
        <f t="shared" si="981"/>
        <v>0</v>
      </c>
      <c r="R328" s="251"/>
      <c r="S328" s="326"/>
      <c r="T328" s="322">
        <f t="shared" si="981"/>
        <v>0</v>
      </c>
      <c r="U328" s="251"/>
      <c r="V328" s="326"/>
      <c r="W328" s="322">
        <f t="shared" si="981"/>
        <v>0</v>
      </c>
      <c r="X328" s="251"/>
      <c r="Y328" s="326"/>
      <c r="Z328" s="322">
        <f t="shared" si="981"/>
        <v>0</v>
      </c>
      <c r="AA328" s="251"/>
      <c r="AB328" s="326"/>
      <c r="AC328" s="322">
        <f t="shared" si="981"/>
        <v>0</v>
      </c>
      <c r="AD328" s="251"/>
      <c r="AE328" s="326"/>
      <c r="AF328" s="322">
        <f t="shared" si="981"/>
        <v>0</v>
      </c>
      <c r="AG328" s="251"/>
      <c r="AH328" s="326"/>
      <c r="AI328" s="322">
        <f t="shared" si="981"/>
        <v>0</v>
      </c>
      <c r="AJ328" s="251"/>
      <c r="AK328" s="326"/>
      <c r="AL328" s="322">
        <f t="shared" si="981"/>
        <v>0</v>
      </c>
      <c r="AM328" s="251"/>
      <c r="AN328" s="326"/>
      <c r="AO328" s="322">
        <f t="shared" si="981"/>
        <v>0</v>
      </c>
      <c r="AP328" s="251"/>
      <c r="AQ328" s="326"/>
      <c r="AR328" s="322">
        <f t="shared" si="981"/>
        <v>0</v>
      </c>
      <c r="AS328" s="251"/>
      <c r="AT328" s="326"/>
      <c r="AU328" s="322">
        <f t="shared" si="981"/>
        <v>0</v>
      </c>
      <c r="AV328" s="251"/>
      <c r="AW328" s="326"/>
      <c r="AX328" s="322">
        <f t="shared" si="981"/>
        <v>0</v>
      </c>
      <c r="AY328" s="251"/>
      <c r="AZ328" s="326"/>
      <c r="BA328" s="322">
        <f t="shared" si="981"/>
        <v>0</v>
      </c>
      <c r="BB328" s="251"/>
      <c r="BC328" s="326"/>
      <c r="BD328" s="322">
        <f t="shared" si="981"/>
        <v>0</v>
      </c>
      <c r="BE328" s="251"/>
      <c r="BF328" s="326"/>
      <c r="BG328" s="322">
        <f t="shared" si="981"/>
        <v>0</v>
      </c>
      <c r="BH328" s="251"/>
      <c r="BI328" s="326"/>
      <c r="BJ328" s="322">
        <f t="shared" si="981"/>
        <v>0</v>
      </c>
      <c r="BK328" s="251"/>
      <c r="BL328" s="326"/>
      <c r="BM328" s="322">
        <f t="shared" si="981"/>
        <v>0</v>
      </c>
      <c r="BN328" s="251"/>
      <c r="BO328" s="326"/>
      <c r="BP328" s="322">
        <f t="shared" si="981"/>
        <v>0</v>
      </c>
      <c r="BQ328" s="251"/>
      <c r="BR328" s="326"/>
      <c r="BS328" s="322">
        <f t="shared" si="981"/>
        <v>0</v>
      </c>
      <c r="BT328" s="251"/>
      <c r="BU328" s="326"/>
      <c r="BV328" s="322">
        <f t="shared" si="981"/>
        <v>0</v>
      </c>
      <c r="BW328" s="251"/>
      <c r="BX328" s="326"/>
      <c r="BY328" s="322">
        <f t="shared" si="981"/>
        <v>0</v>
      </c>
      <c r="BZ328" s="251"/>
      <c r="CA328" s="326"/>
      <c r="CB328" s="322">
        <f t="shared" si="982"/>
        <v>0</v>
      </c>
      <c r="CC328" s="251"/>
      <c r="CD328" s="326"/>
      <c r="CE328" s="322">
        <f t="shared" si="982"/>
        <v>0</v>
      </c>
      <c r="CF328" s="251"/>
      <c r="CG328" s="251"/>
      <c r="CH328" s="251"/>
    </row>
    <row r="329" spans="1:86" ht="15" customHeight="1">
      <c r="A329" s="219"/>
      <c r="B329" s="219"/>
      <c r="C329" s="219"/>
      <c r="D329" s="219"/>
      <c r="E329" s="219"/>
      <c r="F329" s="564"/>
      <c r="G329" s="320" t="str">
        <f>+Idiomas!$D$371</f>
        <v>Playoffs</v>
      </c>
      <c r="H329" s="398" t="str">
        <f>IF(AND(OR(League!G159="",League!H159="",League!G158="",League!H158="")),"L"&amp;League!A159,IF(League!G158+League!H159&gt;League!H158+League!G159,League!D159,IF(League!G158+League!H159&lt;League!H158+League!G159,League!K159,IF(AND(League!G158+League!H159=League!H158+League!G159,League!F159=League!I159),"L"&amp;League!A159,IF(AND(League!G158+League!H159=League!H158+League!G159,OR(League!F159="",League!I159="")),"L"&amp;League!A159,IF(AND(League!G158+League!H159=League!H158+League!G159,League!F159&gt;League!I159),League!K159,League!D159))))))</f>
        <v>LPO6</v>
      </c>
      <c r="I329" s="219"/>
      <c r="J329" s="326"/>
      <c r="K329" s="322">
        <f t="shared" si="980"/>
        <v>0</v>
      </c>
      <c r="L329" s="251"/>
      <c r="M329" s="326"/>
      <c r="N329" s="322">
        <f t="shared" si="981"/>
        <v>0</v>
      </c>
      <c r="O329" s="251"/>
      <c r="P329" s="326"/>
      <c r="Q329" s="322">
        <f t="shared" si="981"/>
        <v>0</v>
      </c>
      <c r="R329" s="251"/>
      <c r="S329" s="326"/>
      <c r="T329" s="322">
        <f t="shared" si="981"/>
        <v>0</v>
      </c>
      <c r="U329" s="251"/>
      <c r="V329" s="326"/>
      <c r="W329" s="322">
        <f t="shared" si="981"/>
        <v>0</v>
      </c>
      <c r="X329" s="251"/>
      <c r="Y329" s="326"/>
      <c r="Z329" s="322">
        <f t="shared" si="981"/>
        <v>0</v>
      </c>
      <c r="AA329" s="251"/>
      <c r="AB329" s="326"/>
      <c r="AC329" s="322">
        <f t="shared" si="981"/>
        <v>0</v>
      </c>
      <c r="AD329" s="251"/>
      <c r="AE329" s="326"/>
      <c r="AF329" s="322">
        <f t="shared" si="981"/>
        <v>0</v>
      </c>
      <c r="AG329" s="251"/>
      <c r="AH329" s="326"/>
      <c r="AI329" s="322">
        <f t="shared" si="981"/>
        <v>0</v>
      </c>
      <c r="AJ329" s="251"/>
      <c r="AK329" s="326"/>
      <c r="AL329" s="322">
        <f t="shared" si="981"/>
        <v>0</v>
      </c>
      <c r="AM329" s="251"/>
      <c r="AN329" s="326"/>
      <c r="AO329" s="322">
        <f t="shared" si="981"/>
        <v>0</v>
      </c>
      <c r="AP329" s="251"/>
      <c r="AQ329" s="326"/>
      <c r="AR329" s="322">
        <f t="shared" si="981"/>
        <v>0</v>
      </c>
      <c r="AS329" s="251"/>
      <c r="AT329" s="326"/>
      <c r="AU329" s="322">
        <f t="shared" si="981"/>
        <v>0</v>
      </c>
      <c r="AV329" s="251"/>
      <c r="AW329" s="326"/>
      <c r="AX329" s="322">
        <f t="shared" si="981"/>
        <v>0</v>
      </c>
      <c r="AY329" s="251"/>
      <c r="AZ329" s="326"/>
      <c r="BA329" s="322">
        <f t="shared" si="981"/>
        <v>0</v>
      </c>
      <c r="BB329" s="251"/>
      <c r="BC329" s="326"/>
      <c r="BD329" s="322">
        <f t="shared" si="981"/>
        <v>0</v>
      </c>
      <c r="BE329" s="251"/>
      <c r="BF329" s="326"/>
      <c r="BG329" s="322">
        <f t="shared" si="981"/>
        <v>0</v>
      </c>
      <c r="BH329" s="251"/>
      <c r="BI329" s="326"/>
      <c r="BJ329" s="322">
        <f t="shared" si="981"/>
        <v>0</v>
      </c>
      <c r="BK329" s="251"/>
      <c r="BL329" s="326"/>
      <c r="BM329" s="322">
        <f t="shared" si="981"/>
        <v>0</v>
      </c>
      <c r="BN329" s="251"/>
      <c r="BO329" s="326"/>
      <c r="BP329" s="322">
        <f t="shared" si="981"/>
        <v>0</v>
      </c>
      <c r="BQ329" s="251"/>
      <c r="BR329" s="326"/>
      <c r="BS329" s="322">
        <f t="shared" si="981"/>
        <v>0</v>
      </c>
      <c r="BT329" s="251"/>
      <c r="BU329" s="326"/>
      <c r="BV329" s="322">
        <f t="shared" si="981"/>
        <v>0</v>
      </c>
      <c r="BW329" s="251"/>
      <c r="BX329" s="326"/>
      <c r="BY329" s="322">
        <f t="shared" si="981"/>
        <v>0</v>
      </c>
      <c r="BZ329" s="251"/>
      <c r="CA329" s="326"/>
      <c r="CB329" s="322">
        <f t="shared" si="982"/>
        <v>0</v>
      </c>
      <c r="CC329" s="251"/>
      <c r="CD329" s="326"/>
      <c r="CE329" s="322">
        <f t="shared" si="982"/>
        <v>0</v>
      </c>
      <c r="CF329" s="251"/>
      <c r="CG329" s="251"/>
      <c r="CH329" s="251"/>
    </row>
    <row r="330" spans="1:86" ht="15" customHeight="1">
      <c r="A330" s="219"/>
      <c r="B330" s="219"/>
      <c r="C330" s="219"/>
      <c r="D330" s="219"/>
      <c r="E330" s="219"/>
      <c r="F330" s="564"/>
      <c r="G330" s="320" t="str">
        <f>+Idiomas!$D$371</f>
        <v>Playoffs</v>
      </c>
      <c r="H330" s="398" t="str">
        <f>IF(AND(OR(League!G161="",League!H161="",League!G160="",League!H160="")),"L"&amp;League!A161,IF(League!G160+League!H161&gt;League!H160+League!G161,League!D161,IF(League!G160+League!H161&lt;League!H160+League!G161,League!K161,IF(AND(League!G160+League!H161=League!H160+League!G161,League!F161=League!I161),"L"&amp;League!A161,IF(AND(League!G160+League!H161=League!H160+League!G161,OR(League!F161="",League!I161="")),"L"&amp;League!A161,IF(AND(League!G160+League!H161=League!H160+League!G161,League!F161&gt;League!I161),League!K161,League!D161))))))</f>
        <v>LPO7</v>
      </c>
      <c r="I330" s="219"/>
      <c r="J330" s="326"/>
      <c r="K330" s="322">
        <f t="shared" si="980"/>
        <v>0</v>
      </c>
      <c r="L330" s="251"/>
      <c r="M330" s="326"/>
      <c r="N330" s="322">
        <f t="shared" si="981"/>
        <v>0</v>
      </c>
      <c r="O330" s="251"/>
      <c r="P330" s="326"/>
      <c r="Q330" s="322">
        <f t="shared" si="981"/>
        <v>0</v>
      </c>
      <c r="R330" s="251"/>
      <c r="S330" s="326"/>
      <c r="T330" s="322">
        <f t="shared" si="981"/>
        <v>0</v>
      </c>
      <c r="U330" s="251"/>
      <c r="V330" s="326"/>
      <c r="W330" s="322">
        <f t="shared" si="981"/>
        <v>0</v>
      </c>
      <c r="X330" s="251"/>
      <c r="Y330" s="326"/>
      <c r="Z330" s="322">
        <f t="shared" si="981"/>
        <v>0</v>
      </c>
      <c r="AA330" s="251"/>
      <c r="AB330" s="326"/>
      <c r="AC330" s="322">
        <f t="shared" si="981"/>
        <v>0</v>
      </c>
      <c r="AD330" s="251"/>
      <c r="AE330" s="326"/>
      <c r="AF330" s="322">
        <f t="shared" si="981"/>
        <v>0</v>
      </c>
      <c r="AG330" s="251"/>
      <c r="AH330" s="326"/>
      <c r="AI330" s="322">
        <f t="shared" si="981"/>
        <v>0</v>
      </c>
      <c r="AJ330" s="251"/>
      <c r="AK330" s="326"/>
      <c r="AL330" s="322">
        <f t="shared" si="981"/>
        <v>0</v>
      </c>
      <c r="AM330" s="251"/>
      <c r="AN330" s="326"/>
      <c r="AO330" s="322">
        <f t="shared" si="981"/>
        <v>0</v>
      </c>
      <c r="AP330" s="251"/>
      <c r="AQ330" s="326"/>
      <c r="AR330" s="322">
        <f t="shared" si="981"/>
        <v>0</v>
      </c>
      <c r="AS330" s="251"/>
      <c r="AT330" s="326"/>
      <c r="AU330" s="322">
        <f t="shared" si="981"/>
        <v>0</v>
      </c>
      <c r="AV330" s="251"/>
      <c r="AW330" s="326"/>
      <c r="AX330" s="322">
        <f t="shared" si="981"/>
        <v>0</v>
      </c>
      <c r="AY330" s="251"/>
      <c r="AZ330" s="326"/>
      <c r="BA330" s="322">
        <f t="shared" si="981"/>
        <v>0</v>
      </c>
      <c r="BB330" s="251"/>
      <c r="BC330" s="326"/>
      <c r="BD330" s="322">
        <f t="shared" si="981"/>
        <v>0</v>
      </c>
      <c r="BE330" s="251"/>
      <c r="BF330" s="326"/>
      <c r="BG330" s="322">
        <f t="shared" si="981"/>
        <v>0</v>
      </c>
      <c r="BH330" s="251"/>
      <c r="BI330" s="326"/>
      <c r="BJ330" s="322">
        <f t="shared" si="981"/>
        <v>0</v>
      </c>
      <c r="BK330" s="251"/>
      <c r="BL330" s="326"/>
      <c r="BM330" s="322">
        <f t="shared" si="981"/>
        <v>0</v>
      </c>
      <c r="BN330" s="251"/>
      <c r="BO330" s="326"/>
      <c r="BP330" s="322">
        <f t="shared" si="981"/>
        <v>0</v>
      </c>
      <c r="BQ330" s="251"/>
      <c r="BR330" s="326"/>
      <c r="BS330" s="322">
        <f t="shared" si="981"/>
        <v>0</v>
      </c>
      <c r="BT330" s="251"/>
      <c r="BU330" s="326"/>
      <c r="BV330" s="322">
        <f t="shared" si="981"/>
        <v>0</v>
      </c>
      <c r="BW330" s="251"/>
      <c r="BX330" s="326"/>
      <c r="BY330" s="322">
        <f t="shared" si="981"/>
        <v>0</v>
      </c>
      <c r="BZ330" s="251"/>
      <c r="CA330" s="326"/>
      <c r="CB330" s="322">
        <f t="shared" si="982"/>
        <v>0</v>
      </c>
      <c r="CC330" s="251"/>
      <c r="CD330" s="326"/>
      <c r="CE330" s="322">
        <f t="shared" si="982"/>
        <v>0</v>
      </c>
      <c r="CF330" s="251"/>
      <c r="CG330" s="251"/>
      <c r="CH330" s="251"/>
    </row>
    <row r="331" spans="1:86" ht="15" customHeight="1">
      <c r="A331" s="219"/>
      <c r="B331" s="219"/>
      <c r="C331" s="219"/>
      <c r="D331" s="219"/>
      <c r="E331" s="219"/>
      <c r="F331" s="564"/>
      <c r="G331" s="394" t="str">
        <f>+Idiomas!$D$371</f>
        <v>Playoffs</v>
      </c>
      <c r="H331" s="395" t="str">
        <f>IF(AND(OR(League!G163="",League!H163="",League!G162="",League!H162="")),"L"&amp;League!A163,IF(League!G162+League!H163&gt;League!H162+League!G163,League!D163,IF(League!G162+League!H163&lt;League!H162+League!G163,League!K163,IF(AND(League!G162+League!H163=League!H162+League!G163,League!F163=League!I163),"L"&amp;League!A163,IF(AND(League!G162+League!H163=League!H162+League!G163,OR(League!F163="",League!I163="")),"L"&amp;League!A163,IF(AND(League!G162+League!H163=League!H162+League!G163,League!F163&gt;League!I163),League!K163,League!D163))))))</f>
        <v>LPO8</v>
      </c>
      <c r="I331" s="219"/>
      <c r="J331" s="396"/>
      <c r="K331" s="397">
        <f t="shared" si="980"/>
        <v>0</v>
      </c>
      <c r="L331" s="251"/>
      <c r="M331" s="396"/>
      <c r="N331" s="397">
        <f t="shared" si="981"/>
        <v>0</v>
      </c>
      <c r="O331" s="251"/>
      <c r="P331" s="396"/>
      <c r="Q331" s="397">
        <f t="shared" si="981"/>
        <v>0</v>
      </c>
      <c r="R331" s="251"/>
      <c r="S331" s="396"/>
      <c r="T331" s="397">
        <f t="shared" si="981"/>
        <v>0</v>
      </c>
      <c r="U331" s="251"/>
      <c r="V331" s="396"/>
      <c r="W331" s="397">
        <f t="shared" si="981"/>
        <v>0</v>
      </c>
      <c r="X331" s="251"/>
      <c r="Y331" s="396"/>
      <c r="Z331" s="397">
        <f t="shared" si="981"/>
        <v>0</v>
      </c>
      <c r="AA331" s="251"/>
      <c r="AB331" s="396"/>
      <c r="AC331" s="397">
        <f t="shared" si="981"/>
        <v>0</v>
      </c>
      <c r="AD331" s="251"/>
      <c r="AE331" s="396"/>
      <c r="AF331" s="397">
        <f t="shared" si="981"/>
        <v>0</v>
      </c>
      <c r="AG331" s="251"/>
      <c r="AH331" s="396"/>
      <c r="AI331" s="397">
        <f t="shared" si="981"/>
        <v>0</v>
      </c>
      <c r="AJ331" s="251"/>
      <c r="AK331" s="396"/>
      <c r="AL331" s="397">
        <f t="shared" si="981"/>
        <v>0</v>
      </c>
      <c r="AM331" s="251"/>
      <c r="AN331" s="396"/>
      <c r="AO331" s="397">
        <f t="shared" si="981"/>
        <v>0</v>
      </c>
      <c r="AP331" s="251"/>
      <c r="AQ331" s="396"/>
      <c r="AR331" s="397">
        <f t="shared" si="981"/>
        <v>0</v>
      </c>
      <c r="AS331" s="251"/>
      <c r="AT331" s="396"/>
      <c r="AU331" s="397">
        <f t="shared" si="981"/>
        <v>0</v>
      </c>
      <c r="AV331" s="251"/>
      <c r="AW331" s="396"/>
      <c r="AX331" s="397">
        <f t="shared" si="981"/>
        <v>0</v>
      </c>
      <c r="AY331" s="251"/>
      <c r="AZ331" s="396"/>
      <c r="BA331" s="397">
        <f t="shared" si="981"/>
        <v>0</v>
      </c>
      <c r="BB331" s="251"/>
      <c r="BC331" s="396"/>
      <c r="BD331" s="397">
        <f t="shared" si="981"/>
        <v>0</v>
      </c>
      <c r="BE331" s="251"/>
      <c r="BF331" s="396"/>
      <c r="BG331" s="397">
        <f t="shared" si="981"/>
        <v>0</v>
      </c>
      <c r="BH331" s="251"/>
      <c r="BI331" s="396"/>
      <c r="BJ331" s="397">
        <f t="shared" si="981"/>
        <v>0</v>
      </c>
      <c r="BK331" s="251"/>
      <c r="BL331" s="396"/>
      <c r="BM331" s="397">
        <f t="shared" si="981"/>
        <v>0</v>
      </c>
      <c r="BN331" s="251"/>
      <c r="BO331" s="396"/>
      <c r="BP331" s="397">
        <f t="shared" si="981"/>
        <v>0</v>
      </c>
      <c r="BQ331" s="251"/>
      <c r="BR331" s="396"/>
      <c r="BS331" s="397">
        <f t="shared" si="981"/>
        <v>0</v>
      </c>
      <c r="BT331" s="251"/>
      <c r="BU331" s="396"/>
      <c r="BV331" s="397">
        <f t="shared" si="981"/>
        <v>0</v>
      </c>
      <c r="BW331" s="251"/>
      <c r="BX331" s="396"/>
      <c r="BY331" s="397">
        <f t="shared" si="981"/>
        <v>0</v>
      </c>
      <c r="BZ331" s="251"/>
      <c r="CA331" s="396"/>
      <c r="CB331" s="397">
        <f t="shared" si="982"/>
        <v>0</v>
      </c>
      <c r="CC331" s="251"/>
      <c r="CD331" s="396"/>
      <c r="CE331" s="397">
        <f t="shared" si="982"/>
        <v>0</v>
      </c>
      <c r="CF331" s="251"/>
      <c r="CG331" s="251"/>
      <c r="CH331" s="251"/>
    </row>
    <row r="332" spans="1:86" ht="15" customHeight="1">
      <c r="A332" s="219"/>
      <c r="B332" s="219"/>
      <c r="C332" s="219"/>
      <c r="D332" s="219"/>
      <c r="E332" s="219"/>
      <c r="F332" s="564"/>
      <c r="G332" s="320" t="str">
        <f>+Idiomas!$D$372</f>
        <v>Fase de Liga</v>
      </c>
      <c r="H332" s="398" t="str">
        <f>IF(SUM(Calcs!$B$2:$B$37)=288,League!P26,"Pos.25")</f>
        <v>Pos.25</v>
      </c>
      <c r="I332" s="219"/>
      <c r="J332" s="340"/>
      <c r="K332" s="341">
        <f t="shared" ref="K332:K343" si="983">+COUNTIF($H$308:$H$343,J332)*$D$40</f>
        <v>0</v>
      </c>
      <c r="L332" s="251"/>
      <c r="M332" s="340"/>
      <c r="N332" s="341">
        <f t="shared" ref="N332:BY343" si="984">+COUNTIF($H$308:$H$343,M332)*$D$40</f>
        <v>0</v>
      </c>
      <c r="O332" s="251"/>
      <c r="P332" s="340"/>
      <c r="Q332" s="341">
        <f t="shared" si="984"/>
        <v>0</v>
      </c>
      <c r="R332" s="251"/>
      <c r="S332" s="340"/>
      <c r="T332" s="341">
        <f t="shared" si="984"/>
        <v>0</v>
      </c>
      <c r="U332" s="251"/>
      <c r="V332" s="340"/>
      <c r="W332" s="341">
        <f t="shared" si="984"/>
        <v>0</v>
      </c>
      <c r="X332" s="251"/>
      <c r="Y332" s="340"/>
      <c r="Z332" s="341">
        <f t="shared" si="984"/>
        <v>0</v>
      </c>
      <c r="AA332" s="251"/>
      <c r="AB332" s="340"/>
      <c r="AC332" s="341">
        <f t="shared" si="984"/>
        <v>0</v>
      </c>
      <c r="AD332" s="251"/>
      <c r="AE332" s="340"/>
      <c r="AF332" s="341">
        <f t="shared" si="984"/>
        <v>0</v>
      </c>
      <c r="AG332" s="251"/>
      <c r="AH332" s="340"/>
      <c r="AI332" s="341">
        <f t="shared" si="984"/>
        <v>0</v>
      </c>
      <c r="AJ332" s="251"/>
      <c r="AK332" s="340"/>
      <c r="AL332" s="341">
        <f t="shared" si="984"/>
        <v>0</v>
      </c>
      <c r="AM332" s="251"/>
      <c r="AN332" s="340"/>
      <c r="AO332" s="341">
        <f t="shared" si="984"/>
        <v>0</v>
      </c>
      <c r="AP332" s="251"/>
      <c r="AQ332" s="340"/>
      <c r="AR332" s="341">
        <f t="shared" si="984"/>
        <v>0</v>
      </c>
      <c r="AS332" s="251"/>
      <c r="AT332" s="340"/>
      <c r="AU332" s="341">
        <f t="shared" si="984"/>
        <v>0</v>
      </c>
      <c r="AV332" s="251"/>
      <c r="AW332" s="340"/>
      <c r="AX332" s="341">
        <f t="shared" si="984"/>
        <v>0</v>
      </c>
      <c r="AY332" s="251"/>
      <c r="AZ332" s="340"/>
      <c r="BA332" s="341">
        <f t="shared" si="984"/>
        <v>0</v>
      </c>
      <c r="BB332" s="251"/>
      <c r="BC332" s="340"/>
      <c r="BD332" s="341">
        <f t="shared" si="984"/>
        <v>0</v>
      </c>
      <c r="BE332" s="251"/>
      <c r="BF332" s="340"/>
      <c r="BG332" s="341">
        <f t="shared" si="984"/>
        <v>0</v>
      </c>
      <c r="BH332" s="251"/>
      <c r="BI332" s="340"/>
      <c r="BJ332" s="341">
        <f t="shared" si="984"/>
        <v>0</v>
      </c>
      <c r="BK332" s="251"/>
      <c r="BL332" s="340"/>
      <c r="BM332" s="341">
        <f t="shared" si="984"/>
        <v>0</v>
      </c>
      <c r="BN332" s="251"/>
      <c r="BO332" s="340"/>
      <c r="BP332" s="341">
        <f t="shared" si="984"/>
        <v>0</v>
      </c>
      <c r="BQ332" s="251"/>
      <c r="BR332" s="340"/>
      <c r="BS332" s="341">
        <f t="shared" si="984"/>
        <v>0</v>
      </c>
      <c r="BT332" s="251"/>
      <c r="BU332" s="340"/>
      <c r="BV332" s="341">
        <f t="shared" si="984"/>
        <v>0</v>
      </c>
      <c r="BW332" s="251"/>
      <c r="BX332" s="340"/>
      <c r="BY332" s="341">
        <f t="shared" si="984"/>
        <v>0</v>
      </c>
      <c r="BZ332" s="251"/>
      <c r="CA332" s="340"/>
      <c r="CB332" s="341">
        <f t="shared" ref="CB332:CE342" si="985">+COUNTIF($H$308:$H$343,CA332)*$D$40</f>
        <v>0</v>
      </c>
      <c r="CC332" s="251"/>
      <c r="CD332" s="340"/>
      <c r="CE332" s="341">
        <f t="shared" si="985"/>
        <v>0</v>
      </c>
      <c r="CF332" s="251"/>
      <c r="CG332" s="251"/>
      <c r="CH332" s="251"/>
    </row>
    <row r="333" spans="1:86" ht="15" customHeight="1">
      <c r="A333" s="219"/>
      <c r="B333" s="219"/>
      <c r="C333" s="219"/>
      <c r="D333" s="219"/>
      <c r="E333" s="219"/>
      <c r="F333" s="564"/>
      <c r="G333" s="320" t="str">
        <f>+Idiomas!$D$372</f>
        <v>Fase de Liga</v>
      </c>
      <c r="H333" s="398" t="str">
        <f>IF(SUM(Calcs!$B$2:$B$37)=288,League!P27,"Pos.26")</f>
        <v>Pos.26</v>
      </c>
      <c r="I333" s="219"/>
      <c r="J333" s="326"/>
      <c r="K333" s="322">
        <f t="shared" si="983"/>
        <v>0</v>
      </c>
      <c r="L333" s="251"/>
      <c r="M333" s="326"/>
      <c r="N333" s="322">
        <f t="shared" si="984"/>
        <v>0</v>
      </c>
      <c r="O333" s="251"/>
      <c r="P333" s="326"/>
      <c r="Q333" s="322">
        <f t="shared" si="984"/>
        <v>0</v>
      </c>
      <c r="R333" s="251"/>
      <c r="S333" s="326"/>
      <c r="T333" s="322">
        <f t="shared" si="984"/>
        <v>0</v>
      </c>
      <c r="U333" s="251"/>
      <c r="V333" s="326"/>
      <c r="W333" s="322">
        <f t="shared" si="984"/>
        <v>0</v>
      </c>
      <c r="X333" s="251"/>
      <c r="Y333" s="326"/>
      <c r="Z333" s="322">
        <f t="shared" si="984"/>
        <v>0</v>
      </c>
      <c r="AA333" s="251"/>
      <c r="AB333" s="326"/>
      <c r="AC333" s="322">
        <f t="shared" si="984"/>
        <v>0</v>
      </c>
      <c r="AD333" s="251"/>
      <c r="AE333" s="326"/>
      <c r="AF333" s="322">
        <f t="shared" si="984"/>
        <v>0</v>
      </c>
      <c r="AG333" s="251"/>
      <c r="AH333" s="326"/>
      <c r="AI333" s="322">
        <f t="shared" si="984"/>
        <v>0</v>
      </c>
      <c r="AJ333" s="251"/>
      <c r="AK333" s="326"/>
      <c r="AL333" s="322">
        <f t="shared" si="984"/>
        <v>0</v>
      </c>
      <c r="AM333" s="251"/>
      <c r="AN333" s="326"/>
      <c r="AO333" s="322">
        <f t="shared" si="984"/>
        <v>0</v>
      </c>
      <c r="AP333" s="251"/>
      <c r="AQ333" s="326"/>
      <c r="AR333" s="322">
        <f t="shared" si="984"/>
        <v>0</v>
      </c>
      <c r="AS333" s="251"/>
      <c r="AT333" s="326"/>
      <c r="AU333" s="322">
        <f t="shared" si="984"/>
        <v>0</v>
      </c>
      <c r="AV333" s="251"/>
      <c r="AW333" s="326"/>
      <c r="AX333" s="322">
        <f t="shared" si="984"/>
        <v>0</v>
      </c>
      <c r="AY333" s="251"/>
      <c r="AZ333" s="326"/>
      <c r="BA333" s="322">
        <f t="shared" si="984"/>
        <v>0</v>
      </c>
      <c r="BB333" s="251"/>
      <c r="BC333" s="326"/>
      <c r="BD333" s="322">
        <f t="shared" si="984"/>
        <v>0</v>
      </c>
      <c r="BE333" s="251"/>
      <c r="BF333" s="326"/>
      <c r="BG333" s="322">
        <f t="shared" si="984"/>
        <v>0</v>
      </c>
      <c r="BH333" s="251"/>
      <c r="BI333" s="326"/>
      <c r="BJ333" s="322">
        <f t="shared" si="984"/>
        <v>0</v>
      </c>
      <c r="BK333" s="251"/>
      <c r="BL333" s="326"/>
      <c r="BM333" s="322">
        <f t="shared" si="984"/>
        <v>0</v>
      </c>
      <c r="BN333" s="251"/>
      <c r="BO333" s="326"/>
      <c r="BP333" s="322">
        <f t="shared" si="984"/>
        <v>0</v>
      </c>
      <c r="BQ333" s="251"/>
      <c r="BR333" s="326"/>
      <c r="BS333" s="322">
        <f t="shared" si="984"/>
        <v>0</v>
      </c>
      <c r="BT333" s="251"/>
      <c r="BU333" s="326"/>
      <c r="BV333" s="322">
        <f t="shared" si="984"/>
        <v>0</v>
      </c>
      <c r="BW333" s="251"/>
      <c r="BX333" s="326"/>
      <c r="BY333" s="322">
        <f t="shared" si="984"/>
        <v>0</v>
      </c>
      <c r="BZ333" s="251"/>
      <c r="CA333" s="326"/>
      <c r="CB333" s="322">
        <f t="shared" si="985"/>
        <v>0</v>
      </c>
      <c r="CC333" s="251"/>
      <c r="CD333" s="326"/>
      <c r="CE333" s="322">
        <f t="shared" si="985"/>
        <v>0</v>
      </c>
      <c r="CF333" s="251"/>
      <c r="CG333" s="251"/>
      <c r="CH333" s="251"/>
    </row>
    <row r="334" spans="1:86" ht="15" customHeight="1">
      <c r="A334" s="219"/>
      <c r="B334" s="219"/>
      <c r="C334" s="219"/>
      <c r="D334" s="219"/>
      <c r="E334" s="219"/>
      <c r="F334" s="564"/>
      <c r="G334" s="320" t="str">
        <f>+Idiomas!$D$372</f>
        <v>Fase de Liga</v>
      </c>
      <c r="H334" s="398" t="str">
        <f>IF(SUM(Calcs!$B$2:$B$37)=288,League!P28,"Pos.27")</f>
        <v>Pos.27</v>
      </c>
      <c r="I334" s="219"/>
      <c r="J334" s="326"/>
      <c r="K334" s="322">
        <f t="shared" si="983"/>
        <v>0</v>
      </c>
      <c r="L334" s="251"/>
      <c r="M334" s="326"/>
      <c r="N334" s="322">
        <f t="shared" si="984"/>
        <v>0</v>
      </c>
      <c r="O334" s="251"/>
      <c r="P334" s="326"/>
      <c r="Q334" s="322">
        <f t="shared" si="984"/>
        <v>0</v>
      </c>
      <c r="R334" s="251"/>
      <c r="S334" s="326"/>
      <c r="T334" s="322">
        <f t="shared" si="984"/>
        <v>0</v>
      </c>
      <c r="U334" s="251"/>
      <c r="V334" s="326"/>
      <c r="W334" s="322">
        <f t="shared" si="984"/>
        <v>0</v>
      </c>
      <c r="X334" s="251"/>
      <c r="Y334" s="326"/>
      <c r="Z334" s="322">
        <f t="shared" si="984"/>
        <v>0</v>
      </c>
      <c r="AA334" s="251"/>
      <c r="AB334" s="326"/>
      <c r="AC334" s="322">
        <f t="shared" si="984"/>
        <v>0</v>
      </c>
      <c r="AD334" s="251"/>
      <c r="AE334" s="326"/>
      <c r="AF334" s="322">
        <f t="shared" si="984"/>
        <v>0</v>
      </c>
      <c r="AG334" s="251"/>
      <c r="AH334" s="326"/>
      <c r="AI334" s="322">
        <f t="shared" si="984"/>
        <v>0</v>
      </c>
      <c r="AJ334" s="251"/>
      <c r="AK334" s="326"/>
      <c r="AL334" s="322">
        <f t="shared" si="984"/>
        <v>0</v>
      </c>
      <c r="AM334" s="251"/>
      <c r="AN334" s="326"/>
      <c r="AO334" s="322">
        <f t="shared" si="984"/>
        <v>0</v>
      </c>
      <c r="AP334" s="251"/>
      <c r="AQ334" s="326"/>
      <c r="AR334" s="322">
        <f t="shared" si="984"/>
        <v>0</v>
      </c>
      <c r="AS334" s="251"/>
      <c r="AT334" s="326"/>
      <c r="AU334" s="322">
        <f t="shared" si="984"/>
        <v>0</v>
      </c>
      <c r="AV334" s="251"/>
      <c r="AW334" s="326"/>
      <c r="AX334" s="322">
        <f t="shared" si="984"/>
        <v>0</v>
      </c>
      <c r="AY334" s="251"/>
      <c r="AZ334" s="326"/>
      <c r="BA334" s="322">
        <f t="shared" si="984"/>
        <v>0</v>
      </c>
      <c r="BB334" s="251"/>
      <c r="BC334" s="326"/>
      <c r="BD334" s="322">
        <f t="shared" si="984"/>
        <v>0</v>
      </c>
      <c r="BE334" s="251"/>
      <c r="BF334" s="326"/>
      <c r="BG334" s="322">
        <f t="shared" si="984"/>
        <v>0</v>
      </c>
      <c r="BH334" s="251"/>
      <c r="BI334" s="326"/>
      <c r="BJ334" s="322">
        <f t="shared" si="984"/>
        <v>0</v>
      </c>
      <c r="BK334" s="251"/>
      <c r="BL334" s="326"/>
      <c r="BM334" s="322">
        <f t="shared" si="984"/>
        <v>0</v>
      </c>
      <c r="BN334" s="251"/>
      <c r="BO334" s="326"/>
      <c r="BP334" s="322">
        <f t="shared" si="984"/>
        <v>0</v>
      </c>
      <c r="BQ334" s="251"/>
      <c r="BR334" s="326"/>
      <c r="BS334" s="322">
        <f t="shared" si="984"/>
        <v>0</v>
      </c>
      <c r="BT334" s="251"/>
      <c r="BU334" s="326"/>
      <c r="BV334" s="322">
        <f t="shared" si="984"/>
        <v>0</v>
      </c>
      <c r="BW334" s="251"/>
      <c r="BX334" s="326"/>
      <c r="BY334" s="322">
        <f t="shared" si="984"/>
        <v>0</v>
      </c>
      <c r="BZ334" s="251"/>
      <c r="CA334" s="326"/>
      <c r="CB334" s="322">
        <f t="shared" si="985"/>
        <v>0</v>
      </c>
      <c r="CC334" s="251"/>
      <c r="CD334" s="326"/>
      <c r="CE334" s="322">
        <f t="shared" si="985"/>
        <v>0</v>
      </c>
      <c r="CF334" s="251"/>
      <c r="CG334" s="251"/>
      <c r="CH334" s="251"/>
    </row>
    <row r="335" spans="1:86" ht="15" customHeight="1">
      <c r="A335" s="219"/>
      <c r="B335" s="219"/>
      <c r="C335" s="219"/>
      <c r="D335" s="219"/>
      <c r="E335" s="219"/>
      <c r="F335" s="564"/>
      <c r="G335" s="320" t="str">
        <f>+Idiomas!$D$372</f>
        <v>Fase de Liga</v>
      </c>
      <c r="H335" s="398" t="str">
        <f>IF(SUM(Calcs!$B$2:$B$37)=288,League!P29,"Pos.28")</f>
        <v>Pos.28</v>
      </c>
      <c r="I335" s="219"/>
      <c r="J335" s="326"/>
      <c r="K335" s="322">
        <f t="shared" si="983"/>
        <v>0</v>
      </c>
      <c r="L335" s="251"/>
      <c r="M335" s="326"/>
      <c r="N335" s="322">
        <f t="shared" si="984"/>
        <v>0</v>
      </c>
      <c r="O335" s="251"/>
      <c r="P335" s="326"/>
      <c r="Q335" s="322">
        <f t="shared" si="984"/>
        <v>0</v>
      </c>
      <c r="R335" s="251"/>
      <c r="S335" s="326"/>
      <c r="T335" s="322">
        <f t="shared" si="984"/>
        <v>0</v>
      </c>
      <c r="U335" s="251"/>
      <c r="V335" s="326"/>
      <c r="W335" s="322">
        <f t="shared" si="984"/>
        <v>0</v>
      </c>
      <c r="X335" s="251"/>
      <c r="Y335" s="326"/>
      <c r="Z335" s="322">
        <f t="shared" si="984"/>
        <v>0</v>
      </c>
      <c r="AA335" s="251"/>
      <c r="AB335" s="326"/>
      <c r="AC335" s="322">
        <f t="shared" si="984"/>
        <v>0</v>
      </c>
      <c r="AD335" s="251"/>
      <c r="AE335" s="326"/>
      <c r="AF335" s="322">
        <f t="shared" si="984"/>
        <v>0</v>
      </c>
      <c r="AG335" s="251"/>
      <c r="AH335" s="326"/>
      <c r="AI335" s="322">
        <f t="shared" si="984"/>
        <v>0</v>
      </c>
      <c r="AJ335" s="251"/>
      <c r="AK335" s="326"/>
      <c r="AL335" s="322">
        <f t="shared" si="984"/>
        <v>0</v>
      </c>
      <c r="AM335" s="251"/>
      <c r="AN335" s="326"/>
      <c r="AO335" s="322">
        <f t="shared" si="984"/>
        <v>0</v>
      </c>
      <c r="AP335" s="251"/>
      <c r="AQ335" s="326"/>
      <c r="AR335" s="322">
        <f t="shared" si="984"/>
        <v>0</v>
      </c>
      <c r="AS335" s="251"/>
      <c r="AT335" s="326"/>
      <c r="AU335" s="322">
        <f t="shared" si="984"/>
        <v>0</v>
      </c>
      <c r="AV335" s="251"/>
      <c r="AW335" s="326"/>
      <c r="AX335" s="322">
        <f t="shared" si="984"/>
        <v>0</v>
      </c>
      <c r="AY335" s="251"/>
      <c r="AZ335" s="326"/>
      <c r="BA335" s="322">
        <f t="shared" si="984"/>
        <v>0</v>
      </c>
      <c r="BB335" s="251"/>
      <c r="BC335" s="326"/>
      <c r="BD335" s="322">
        <f t="shared" si="984"/>
        <v>0</v>
      </c>
      <c r="BE335" s="251"/>
      <c r="BF335" s="326"/>
      <c r="BG335" s="322">
        <f t="shared" si="984"/>
        <v>0</v>
      </c>
      <c r="BH335" s="251"/>
      <c r="BI335" s="326"/>
      <c r="BJ335" s="322">
        <f t="shared" si="984"/>
        <v>0</v>
      </c>
      <c r="BK335" s="251"/>
      <c r="BL335" s="326"/>
      <c r="BM335" s="322">
        <f t="shared" si="984"/>
        <v>0</v>
      </c>
      <c r="BN335" s="251"/>
      <c r="BO335" s="326"/>
      <c r="BP335" s="322">
        <f t="shared" si="984"/>
        <v>0</v>
      </c>
      <c r="BQ335" s="251"/>
      <c r="BR335" s="326"/>
      <c r="BS335" s="322">
        <f t="shared" si="984"/>
        <v>0</v>
      </c>
      <c r="BT335" s="251"/>
      <c r="BU335" s="326"/>
      <c r="BV335" s="322">
        <f t="shared" si="984"/>
        <v>0</v>
      </c>
      <c r="BW335" s="251"/>
      <c r="BX335" s="326"/>
      <c r="BY335" s="322">
        <f t="shared" si="984"/>
        <v>0</v>
      </c>
      <c r="BZ335" s="251"/>
      <c r="CA335" s="326"/>
      <c r="CB335" s="322">
        <f t="shared" si="985"/>
        <v>0</v>
      </c>
      <c r="CC335" s="251"/>
      <c r="CD335" s="326"/>
      <c r="CE335" s="322">
        <f t="shared" si="985"/>
        <v>0</v>
      </c>
      <c r="CF335" s="251"/>
      <c r="CG335" s="251"/>
      <c r="CH335" s="251"/>
    </row>
    <row r="336" spans="1:86" ht="15" customHeight="1">
      <c r="A336" s="219"/>
      <c r="B336" s="219"/>
      <c r="C336" s="219"/>
      <c r="D336" s="219"/>
      <c r="E336" s="219"/>
      <c r="F336" s="564"/>
      <c r="G336" s="320" t="str">
        <f>+Idiomas!$D$372</f>
        <v>Fase de Liga</v>
      </c>
      <c r="H336" s="398" t="str">
        <f>IF(SUM(Calcs!$B$2:$B$37)=288,League!P30,"Pos.29")</f>
        <v>Pos.29</v>
      </c>
      <c r="I336" s="219"/>
      <c r="J336" s="326"/>
      <c r="K336" s="322">
        <f t="shared" si="983"/>
        <v>0</v>
      </c>
      <c r="L336" s="251"/>
      <c r="M336" s="326"/>
      <c r="N336" s="322">
        <f t="shared" si="984"/>
        <v>0</v>
      </c>
      <c r="O336" s="251"/>
      <c r="P336" s="326"/>
      <c r="Q336" s="322">
        <f t="shared" si="984"/>
        <v>0</v>
      </c>
      <c r="R336" s="251"/>
      <c r="S336" s="326"/>
      <c r="T336" s="322">
        <f t="shared" si="984"/>
        <v>0</v>
      </c>
      <c r="U336" s="251"/>
      <c r="V336" s="326"/>
      <c r="W336" s="322">
        <f t="shared" si="984"/>
        <v>0</v>
      </c>
      <c r="X336" s="251"/>
      <c r="Y336" s="326"/>
      <c r="Z336" s="322">
        <f t="shared" si="984"/>
        <v>0</v>
      </c>
      <c r="AA336" s="251"/>
      <c r="AB336" s="326"/>
      <c r="AC336" s="322">
        <f t="shared" si="984"/>
        <v>0</v>
      </c>
      <c r="AD336" s="251"/>
      <c r="AE336" s="326"/>
      <c r="AF336" s="322">
        <f t="shared" si="984"/>
        <v>0</v>
      </c>
      <c r="AG336" s="251"/>
      <c r="AH336" s="326"/>
      <c r="AI336" s="322">
        <f t="shared" si="984"/>
        <v>0</v>
      </c>
      <c r="AJ336" s="251"/>
      <c r="AK336" s="326"/>
      <c r="AL336" s="322">
        <f t="shared" si="984"/>
        <v>0</v>
      </c>
      <c r="AM336" s="251"/>
      <c r="AN336" s="326"/>
      <c r="AO336" s="322">
        <f t="shared" si="984"/>
        <v>0</v>
      </c>
      <c r="AP336" s="251"/>
      <c r="AQ336" s="326"/>
      <c r="AR336" s="322">
        <f t="shared" si="984"/>
        <v>0</v>
      </c>
      <c r="AS336" s="251"/>
      <c r="AT336" s="326"/>
      <c r="AU336" s="322">
        <f t="shared" si="984"/>
        <v>0</v>
      </c>
      <c r="AV336" s="251"/>
      <c r="AW336" s="326"/>
      <c r="AX336" s="322">
        <f t="shared" si="984"/>
        <v>0</v>
      </c>
      <c r="AY336" s="251"/>
      <c r="AZ336" s="326"/>
      <c r="BA336" s="322">
        <f t="shared" si="984"/>
        <v>0</v>
      </c>
      <c r="BB336" s="251"/>
      <c r="BC336" s="326"/>
      <c r="BD336" s="322">
        <f t="shared" si="984"/>
        <v>0</v>
      </c>
      <c r="BE336" s="251"/>
      <c r="BF336" s="326"/>
      <c r="BG336" s="322">
        <f t="shared" si="984"/>
        <v>0</v>
      </c>
      <c r="BH336" s="251"/>
      <c r="BI336" s="326"/>
      <c r="BJ336" s="322">
        <f t="shared" si="984"/>
        <v>0</v>
      </c>
      <c r="BK336" s="251"/>
      <c r="BL336" s="326"/>
      <c r="BM336" s="322">
        <f t="shared" si="984"/>
        <v>0</v>
      </c>
      <c r="BN336" s="251"/>
      <c r="BO336" s="326"/>
      <c r="BP336" s="322">
        <f t="shared" si="984"/>
        <v>0</v>
      </c>
      <c r="BQ336" s="251"/>
      <c r="BR336" s="326"/>
      <c r="BS336" s="322">
        <f t="shared" si="984"/>
        <v>0</v>
      </c>
      <c r="BT336" s="251"/>
      <c r="BU336" s="326"/>
      <c r="BV336" s="322">
        <f t="shared" si="984"/>
        <v>0</v>
      </c>
      <c r="BW336" s="251"/>
      <c r="BX336" s="326"/>
      <c r="BY336" s="322">
        <f t="shared" si="984"/>
        <v>0</v>
      </c>
      <c r="BZ336" s="251"/>
      <c r="CA336" s="326"/>
      <c r="CB336" s="322">
        <f t="shared" si="985"/>
        <v>0</v>
      </c>
      <c r="CC336" s="251"/>
      <c r="CD336" s="326"/>
      <c r="CE336" s="322">
        <f t="shared" si="985"/>
        <v>0</v>
      </c>
      <c r="CF336" s="251"/>
      <c r="CG336" s="251"/>
      <c r="CH336" s="251"/>
    </row>
    <row r="337" spans="1:86" ht="15" customHeight="1">
      <c r="A337" s="219"/>
      <c r="B337" s="219"/>
      <c r="C337" s="219"/>
      <c r="D337" s="219"/>
      <c r="E337" s="219"/>
      <c r="F337" s="564"/>
      <c r="G337" s="320" t="str">
        <f>+Idiomas!$D$372</f>
        <v>Fase de Liga</v>
      </c>
      <c r="H337" s="398" t="str">
        <f>IF(SUM(Calcs!$B$2:$B$37)=288,League!P31,"Pos.30")</f>
        <v>Pos.30</v>
      </c>
      <c r="I337" s="219"/>
      <c r="J337" s="326"/>
      <c r="K337" s="322">
        <f t="shared" si="983"/>
        <v>0</v>
      </c>
      <c r="L337" s="251"/>
      <c r="M337" s="326"/>
      <c r="N337" s="322">
        <f t="shared" si="984"/>
        <v>0</v>
      </c>
      <c r="O337" s="251"/>
      <c r="P337" s="326"/>
      <c r="Q337" s="322">
        <f t="shared" si="984"/>
        <v>0</v>
      </c>
      <c r="R337" s="251"/>
      <c r="S337" s="326"/>
      <c r="T337" s="322">
        <f t="shared" si="984"/>
        <v>0</v>
      </c>
      <c r="U337" s="251"/>
      <c r="V337" s="326"/>
      <c r="W337" s="322">
        <f t="shared" si="984"/>
        <v>0</v>
      </c>
      <c r="X337" s="251"/>
      <c r="Y337" s="326"/>
      <c r="Z337" s="322">
        <f t="shared" si="984"/>
        <v>0</v>
      </c>
      <c r="AA337" s="251"/>
      <c r="AB337" s="326"/>
      <c r="AC337" s="322">
        <f t="shared" si="984"/>
        <v>0</v>
      </c>
      <c r="AD337" s="251"/>
      <c r="AE337" s="326"/>
      <c r="AF337" s="322">
        <f t="shared" si="984"/>
        <v>0</v>
      </c>
      <c r="AG337" s="251"/>
      <c r="AH337" s="326"/>
      <c r="AI337" s="322">
        <f t="shared" si="984"/>
        <v>0</v>
      </c>
      <c r="AJ337" s="251"/>
      <c r="AK337" s="326"/>
      <c r="AL337" s="322">
        <f t="shared" si="984"/>
        <v>0</v>
      </c>
      <c r="AM337" s="251"/>
      <c r="AN337" s="326"/>
      <c r="AO337" s="322">
        <f t="shared" si="984"/>
        <v>0</v>
      </c>
      <c r="AP337" s="251"/>
      <c r="AQ337" s="326"/>
      <c r="AR337" s="322">
        <f t="shared" si="984"/>
        <v>0</v>
      </c>
      <c r="AS337" s="251"/>
      <c r="AT337" s="326"/>
      <c r="AU337" s="322">
        <f t="shared" si="984"/>
        <v>0</v>
      </c>
      <c r="AV337" s="251"/>
      <c r="AW337" s="326"/>
      <c r="AX337" s="322">
        <f t="shared" si="984"/>
        <v>0</v>
      </c>
      <c r="AY337" s="251"/>
      <c r="AZ337" s="326"/>
      <c r="BA337" s="322">
        <f t="shared" si="984"/>
        <v>0</v>
      </c>
      <c r="BB337" s="251"/>
      <c r="BC337" s="326"/>
      <c r="BD337" s="322">
        <f t="shared" si="984"/>
        <v>0</v>
      </c>
      <c r="BE337" s="251"/>
      <c r="BF337" s="326"/>
      <c r="BG337" s="322">
        <f t="shared" si="984"/>
        <v>0</v>
      </c>
      <c r="BH337" s="251"/>
      <c r="BI337" s="326"/>
      <c r="BJ337" s="322">
        <f t="shared" si="984"/>
        <v>0</v>
      </c>
      <c r="BK337" s="251"/>
      <c r="BL337" s="326"/>
      <c r="BM337" s="322">
        <f t="shared" si="984"/>
        <v>0</v>
      </c>
      <c r="BN337" s="251"/>
      <c r="BO337" s="326"/>
      <c r="BP337" s="322">
        <f t="shared" si="984"/>
        <v>0</v>
      </c>
      <c r="BQ337" s="251"/>
      <c r="BR337" s="326"/>
      <c r="BS337" s="322">
        <f t="shared" si="984"/>
        <v>0</v>
      </c>
      <c r="BT337" s="251"/>
      <c r="BU337" s="326"/>
      <c r="BV337" s="322">
        <f t="shared" si="984"/>
        <v>0</v>
      </c>
      <c r="BW337" s="251"/>
      <c r="BX337" s="326"/>
      <c r="BY337" s="322">
        <f t="shared" si="984"/>
        <v>0</v>
      </c>
      <c r="BZ337" s="251"/>
      <c r="CA337" s="326"/>
      <c r="CB337" s="322">
        <f t="shared" si="985"/>
        <v>0</v>
      </c>
      <c r="CC337" s="251"/>
      <c r="CD337" s="326"/>
      <c r="CE337" s="322">
        <f t="shared" si="985"/>
        <v>0</v>
      </c>
      <c r="CF337" s="251"/>
      <c r="CG337" s="251"/>
      <c r="CH337" s="251"/>
    </row>
    <row r="338" spans="1:86" ht="15" customHeight="1">
      <c r="A338" s="219"/>
      <c r="B338" s="219"/>
      <c r="C338" s="219"/>
      <c r="D338" s="219"/>
      <c r="E338" s="219"/>
      <c r="F338" s="564"/>
      <c r="G338" s="320" t="str">
        <f>+Idiomas!$D$372</f>
        <v>Fase de Liga</v>
      </c>
      <c r="H338" s="398" t="str">
        <f>IF(SUM(Calcs!$B$2:$B$37)=288,League!P32,"Pos.31")</f>
        <v>Pos.31</v>
      </c>
      <c r="I338" s="219"/>
      <c r="J338" s="326"/>
      <c r="K338" s="322">
        <f t="shared" si="983"/>
        <v>0</v>
      </c>
      <c r="L338" s="251"/>
      <c r="M338" s="326"/>
      <c r="N338" s="322">
        <f t="shared" si="984"/>
        <v>0</v>
      </c>
      <c r="O338" s="251"/>
      <c r="P338" s="326"/>
      <c r="Q338" s="322">
        <f t="shared" si="984"/>
        <v>0</v>
      </c>
      <c r="R338" s="251"/>
      <c r="S338" s="326"/>
      <c r="T338" s="322">
        <f t="shared" si="984"/>
        <v>0</v>
      </c>
      <c r="U338" s="251"/>
      <c r="V338" s="326"/>
      <c r="W338" s="322">
        <f t="shared" si="984"/>
        <v>0</v>
      </c>
      <c r="X338" s="251"/>
      <c r="Y338" s="326"/>
      <c r="Z338" s="322">
        <f t="shared" si="984"/>
        <v>0</v>
      </c>
      <c r="AA338" s="251"/>
      <c r="AB338" s="326"/>
      <c r="AC338" s="322">
        <f t="shared" si="984"/>
        <v>0</v>
      </c>
      <c r="AD338" s="251"/>
      <c r="AE338" s="326"/>
      <c r="AF338" s="322">
        <f t="shared" si="984"/>
        <v>0</v>
      </c>
      <c r="AG338" s="251"/>
      <c r="AH338" s="326"/>
      <c r="AI338" s="322">
        <f t="shared" si="984"/>
        <v>0</v>
      </c>
      <c r="AJ338" s="251"/>
      <c r="AK338" s="326"/>
      <c r="AL338" s="322">
        <f t="shared" si="984"/>
        <v>0</v>
      </c>
      <c r="AM338" s="251"/>
      <c r="AN338" s="326"/>
      <c r="AO338" s="322">
        <f t="shared" si="984"/>
        <v>0</v>
      </c>
      <c r="AP338" s="251"/>
      <c r="AQ338" s="326"/>
      <c r="AR338" s="322">
        <f t="shared" si="984"/>
        <v>0</v>
      </c>
      <c r="AS338" s="251"/>
      <c r="AT338" s="326"/>
      <c r="AU338" s="322">
        <f t="shared" si="984"/>
        <v>0</v>
      </c>
      <c r="AV338" s="251"/>
      <c r="AW338" s="326"/>
      <c r="AX338" s="322">
        <f t="shared" si="984"/>
        <v>0</v>
      </c>
      <c r="AY338" s="251"/>
      <c r="AZ338" s="326"/>
      <c r="BA338" s="322">
        <f t="shared" si="984"/>
        <v>0</v>
      </c>
      <c r="BB338" s="251"/>
      <c r="BC338" s="326"/>
      <c r="BD338" s="322">
        <f t="shared" si="984"/>
        <v>0</v>
      </c>
      <c r="BE338" s="251"/>
      <c r="BF338" s="326"/>
      <c r="BG338" s="322">
        <f t="shared" si="984"/>
        <v>0</v>
      </c>
      <c r="BH338" s="251"/>
      <c r="BI338" s="326"/>
      <c r="BJ338" s="322">
        <f t="shared" si="984"/>
        <v>0</v>
      </c>
      <c r="BK338" s="251"/>
      <c r="BL338" s="326"/>
      <c r="BM338" s="322">
        <f t="shared" si="984"/>
        <v>0</v>
      </c>
      <c r="BN338" s="251"/>
      <c r="BO338" s="326"/>
      <c r="BP338" s="322">
        <f t="shared" si="984"/>
        <v>0</v>
      </c>
      <c r="BQ338" s="251"/>
      <c r="BR338" s="326"/>
      <c r="BS338" s="322">
        <f t="shared" si="984"/>
        <v>0</v>
      </c>
      <c r="BT338" s="251"/>
      <c r="BU338" s="326"/>
      <c r="BV338" s="322">
        <f t="shared" si="984"/>
        <v>0</v>
      </c>
      <c r="BW338" s="251"/>
      <c r="BX338" s="326"/>
      <c r="BY338" s="322">
        <f t="shared" si="984"/>
        <v>0</v>
      </c>
      <c r="BZ338" s="251"/>
      <c r="CA338" s="326"/>
      <c r="CB338" s="322">
        <f t="shared" si="985"/>
        <v>0</v>
      </c>
      <c r="CC338" s="251"/>
      <c r="CD338" s="326"/>
      <c r="CE338" s="322">
        <f t="shared" si="985"/>
        <v>0</v>
      </c>
      <c r="CF338" s="251"/>
      <c r="CG338" s="251"/>
      <c r="CH338" s="251"/>
    </row>
    <row r="339" spans="1:86" ht="15" customHeight="1">
      <c r="A339" s="219"/>
      <c r="B339" s="219"/>
      <c r="C339" s="219"/>
      <c r="D339" s="219"/>
      <c r="E339" s="219"/>
      <c r="F339" s="564"/>
      <c r="G339" s="320" t="str">
        <f>+Idiomas!$D$372</f>
        <v>Fase de Liga</v>
      </c>
      <c r="H339" s="398" t="str">
        <f>IF(SUM(Calcs!$B$2:$B$37)=288,League!P33,"Pos.32")</f>
        <v>Pos.32</v>
      </c>
      <c r="I339" s="219"/>
      <c r="J339" s="326"/>
      <c r="K339" s="322">
        <f t="shared" si="983"/>
        <v>0</v>
      </c>
      <c r="L339" s="251"/>
      <c r="M339" s="326"/>
      <c r="N339" s="322">
        <f t="shared" si="984"/>
        <v>0</v>
      </c>
      <c r="O339" s="251"/>
      <c r="P339" s="326"/>
      <c r="Q339" s="322">
        <f t="shared" si="984"/>
        <v>0</v>
      </c>
      <c r="R339" s="251"/>
      <c r="S339" s="326"/>
      <c r="T339" s="322">
        <f t="shared" si="984"/>
        <v>0</v>
      </c>
      <c r="U339" s="251"/>
      <c r="V339" s="326"/>
      <c r="W339" s="322">
        <f t="shared" si="984"/>
        <v>0</v>
      </c>
      <c r="X339" s="251"/>
      <c r="Y339" s="326"/>
      <c r="Z339" s="322">
        <f t="shared" si="984"/>
        <v>0</v>
      </c>
      <c r="AA339" s="251"/>
      <c r="AB339" s="326"/>
      <c r="AC339" s="322">
        <f t="shared" si="984"/>
        <v>0</v>
      </c>
      <c r="AD339" s="251"/>
      <c r="AE339" s="326"/>
      <c r="AF339" s="322">
        <f t="shared" si="984"/>
        <v>0</v>
      </c>
      <c r="AG339" s="251"/>
      <c r="AH339" s="326"/>
      <c r="AI339" s="322">
        <f t="shared" si="984"/>
        <v>0</v>
      </c>
      <c r="AJ339" s="251"/>
      <c r="AK339" s="326"/>
      <c r="AL339" s="322">
        <f t="shared" si="984"/>
        <v>0</v>
      </c>
      <c r="AM339" s="251"/>
      <c r="AN339" s="326"/>
      <c r="AO339" s="322">
        <f t="shared" si="984"/>
        <v>0</v>
      </c>
      <c r="AP339" s="251"/>
      <c r="AQ339" s="326"/>
      <c r="AR339" s="322">
        <f t="shared" si="984"/>
        <v>0</v>
      </c>
      <c r="AS339" s="251"/>
      <c r="AT339" s="326"/>
      <c r="AU339" s="322">
        <f t="shared" si="984"/>
        <v>0</v>
      </c>
      <c r="AV339" s="251"/>
      <c r="AW339" s="326"/>
      <c r="AX339" s="322">
        <f t="shared" si="984"/>
        <v>0</v>
      </c>
      <c r="AY339" s="251"/>
      <c r="AZ339" s="326"/>
      <c r="BA339" s="322">
        <f t="shared" si="984"/>
        <v>0</v>
      </c>
      <c r="BB339" s="251"/>
      <c r="BC339" s="326"/>
      <c r="BD339" s="322">
        <f t="shared" si="984"/>
        <v>0</v>
      </c>
      <c r="BE339" s="251"/>
      <c r="BF339" s="326"/>
      <c r="BG339" s="322">
        <f t="shared" si="984"/>
        <v>0</v>
      </c>
      <c r="BH339" s="251"/>
      <c r="BI339" s="326"/>
      <c r="BJ339" s="322">
        <f t="shared" si="984"/>
        <v>0</v>
      </c>
      <c r="BK339" s="251"/>
      <c r="BL339" s="326"/>
      <c r="BM339" s="322">
        <f t="shared" si="984"/>
        <v>0</v>
      </c>
      <c r="BN339" s="251"/>
      <c r="BO339" s="326"/>
      <c r="BP339" s="322">
        <f t="shared" si="984"/>
        <v>0</v>
      </c>
      <c r="BQ339" s="251"/>
      <c r="BR339" s="326"/>
      <c r="BS339" s="322">
        <f t="shared" si="984"/>
        <v>0</v>
      </c>
      <c r="BT339" s="251"/>
      <c r="BU339" s="326"/>
      <c r="BV339" s="322">
        <f t="shared" si="984"/>
        <v>0</v>
      </c>
      <c r="BW339" s="251"/>
      <c r="BX339" s="326"/>
      <c r="BY339" s="322">
        <f t="shared" si="984"/>
        <v>0</v>
      </c>
      <c r="BZ339" s="251"/>
      <c r="CA339" s="326"/>
      <c r="CB339" s="322">
        <f t="shared" si="985"/>
        <v>0</v>
      </c>
      <c r="CC339" s="251"/>
      <c r="CD339" s="326"/>
      <c r="CE339" s="322">
        <f t="shared" si="985"/>
        <v>0</v>
      </c>
      <c r="CF339" s="251"/>
      <c r="CG339" s="251"/>
      <c r="CH339" s="251"/>
    </row>
    <row r="340" spans="1:86" ht="15" customHeight="1">
      <c r="A340" s="219"/>
      <c r="B340" s="219"/>
      <c r="C340" s="219"/>
      <c r="D340" s="219"/>
      <c r="E340" s="219"/>
      <c r="F340" s="564"/>
      <c r="G340" s="320" t="str">
        <f>+Idiomas!$D$372</f>
        <v>Fase de Liga</v>
      </c>
      <c r="H340" s="398" t="str">
        <f>IF(SUM(Calcs!$B$2:$B$37)=288,League!P34,"Pos.33")</f>
        <v>Pos.33</v>
      </c>
      <c r="I340" s="219"/>
      <c r="J340" s="326"/>
      <c r="K340" s="322">
        <f t="shared" si="983"/>
        <v>0</v>
      </c>
      <c r="L340" s="251"/>
      <c r="M340" s="326"/>
      <c r="N340" s="322">
        <f t="shared" si="984"/>
        <v>0</v>
      </c>
      <c r="O340" s="251"/>
      <c r="P340" s="326"/>
      <c r="Q340" s="322">
        <f t="shared" si="984"/>
        <v>0</v>
      </c>
      <c r="R340" s="251"/>
      <c r="S340" s="326"/>
      <c r="T340" s="322">
        <f t="shared" si="984"/>
        <v>0</v>
      </c>
      <c r="U340" s="251"/>
      <c r="V340" s="326"/>
      <c r="W340" s="322">
        <f t="shared" si="984"/>
        <v>0</v>
      </c>
      <c r="X340" s="251"/>
      <c r="Y340" s="326"/>
      <c r="Z340" s="322">
        <f t="shared" si="984"/>
        <v>0</v>
      </c>
      <c r="AA340" s="251"/>
      <c r="AB340" s="326"/>
      <c r="AC340" s="322">
        <f t="shared" si="984"/>
        <v>0</v>
      </c>
      <c r="AD340" s="251"/>
      <c r="AE340" s="326"/>
      <c r="AF340" s="322">
        <f t="shared" si="984"/>
        <v>0</v>
      </c>
      <c r="AG340" s="251"/>
      <c r="AH340" s="326"/>
      <c r="AI340" s="322">
        <f t="shared" si="984"/>
        <v>0</v>
      </c>
      <c r="AJ340" s="251"/>
      <c r="AK340" s="326"/>
      <c r="AL340" s="322">
        <f t="shared" si="984"/>
        <v>0</v>
      </c>
      <c r="AM340" s="251"/>
      <c r="AN340" s="326"/>
      <c r="AO340" s="322">
        <f t="shared" si="984"/>
        <v>0</v>
      </c>
      <c r="AP340" s="251"/>
      <c r="AQ340" s="326"/>
      <c r="AR340" s="322">
        <f t="shared" si="984"/>
        <v>0</v>
      </c>
      <c r="AS340" s="251"/>
      <c r="AT340" s="326"/>
      <c r="AU340" s="322">
        <f t="shared" si="984"/>
        <v>0</v>
      </c>
      <c r="AV340" s="251"/>
      <c r="AW340" s="326"/>
      <c r="AX340" s="322">
        <f t="shared" si="984"/>
        <v>0</v>
      </c>
      <c r="AY340" s="251"/>
      <c r="AZ340" s="326"/>
      <c r="BA340" s="322">
        <f t="shared" si="984"/>
        <v>0</v>
      </c>
      <c r="BB340" s="251"/>
      <c r="BC340" s="326"/>
      <c r="BD340" s="322">
        <f t="shared" si="984"/>
        <v>0</v>
      </c>
      <c r="BE340" s="251"/>
      <c r="BF340" s="326"/>
      <c r="BG340" s="322">
        <f t="shared" si="984"/>
        <v>0</v>
      </c>
      <c r="BH340" s="251"/>
      <c r="BI340" s="326"/>
      <c r="BJ340" s="322">
        <f t="shared" si="984"/>
        <v>0</v>
      </c>
      <c r="BK340" s="251"/>
      <c r="BL340" s="326"/>
      <c r="BM340" s="322">
        <f t="shared" si="984"/>
        <v>0</v>
      </c>
      <c r="BN340" s="251"/>
      <c r="BO340" s="326"/>
      <c r="BP340" s="322">
        <f t="shared" si="984"/>
        <v>0</v>
      </c>
      <c r="BQ340" s="251"/>
      <c r="BR340" s="326"/>
      <c r="BS340" s="322">
        <f t="shared" si="984"/>
        <v>0</v>
      </c>
      <c r="BT340" s="251"/>
      <c r="BU340" s="326"/>
      <c r="BV340" s="322">
        <f t="shared" si="984"/>
        <v>0</v>
      </c>
      <c r="BW340" s="251"/>
      <c r="BX340" s="326"/>
      <c r="BY340" s="322">
        <f t="shared" si="984"/>
        <v>0</v>
      </c>
      <c r="BZ340" s="251"/>
      <c r="CA340" s="326"/>
      <c r="CB340" s="322">
        <f t="shared" si="985"/>
        <v>0</v>
      </c>
      <c r="CC340" s="251"/>
      <c r="CD340" s="326"/>
      <c r="CE340" s="322">
        <f t="shared" si="985"/>
        <v>0</v>
      </c>
      <c r="CF340" s="251"/>
      <c r="CG340" s="251"/>
      <c r="CH340" s="251"/>
    </row>
    <row r="341" spans="1:86" ht="15" customHeight="1">
      <c r="A341" s="219"/>
      <c r="B341" s="219"/>
      <c r="C341" s="219"/>
      <c r="D341" s="219"/>
      <c r="E341" s="219"/>
      <c r="F341" s="564"/>
      <c r="G341" s="320" t="str">
        <f>+Idiomas!$D$372</f>
        <v>Fase de Liga</v>
      </c>
      <c r="H341" s="398" t="str">
        <f>IF(SUM(Calcs!$B$2:$B$37)=288,League!P35,"Pos.34")</f>
        <v>Pos.34</v>
      </c>
      <c r="I341" s="219"/>
      <c r="J341" s="326"/>
      <c r="K341" s="322">
        <f t="shared" si="983"/>
        <v>0</v>
      </c>
      <c r="L341" s="251"/>
      <c r="M341" s="326"/>
      <c r="N341" s="322">
        <f t="shared" si="984"/>
        <v>0</v>
      </c>
      <c r="O341" s="251"/>
      <c r="P341" s="326"/>
      <c r="Q341" s="322">
        <f t="shared" si="984"/>
        <v>0</v>
      </c>
      <c r="R341" s="251"/>
      <c r="S341" s="326"/>
      <c r="T341" s="322">
        <f t="shared" si="984"/>
        <v>0</v>
      </c>
      <c r="U341" s="251"/>
      <c r="V341" s="326"/>
      <c r="W341" s="322">
        <f t="shared" si="984"/>
        <v>0</v>
      </c>
      <c r="X341" s="251"/>
      <c r="Y341" s="326"/>
      <c r="Z341" s="322">
        <f t="shared" si="984"/>
        <v>0</v>
      </c>
      <c r="AA341" s="251"/>
      <c r="AB341" s="326"/>
      <c r="AC341" s="322">
        <f t="shared" si="984"/>
        <v>0</v>
      </c>
      <c r="AD341" s="251"/>
      <c r="AE341" s="326"/>
      <c r="AF341" s="322">
        <f t="shared" si="984"/>
        <v>0</v>
      </c>
      <c r="AG341" s="251"/>
      <c r="AH341" s="326"/>
      <c r="AI341" s="322">
        <f t="shared" si="984"/>
        <v>0</v>
      </c>
      <c r="AJ341" s="251"/>
      <c r="AK341" s="326"/>
      <c r="AL341" s="322">
        <f t="shared" si="984"/>
        <v>0</v>
      </c>
      <c r="AM341" s="251"/>
      <c r="AN341" s="326"/>
      <c r="AO341" s="322">
        <f t="shared" si="984"/>
        <v>0</v>
      </c>
      <c r="AP341" s="251"/>
      <c r="AQ341" s="326"/>
      <c r="AR341" s="322">
        <f t="shared" si="984"/>
        <v>0</v>
      </c>
      <c r="AS341" s="251"/>
      <c r="AT341" s="326"/>
      <c r="AU341" s="322">
        <f t="shared" si="984"/>
        <v>0</v>
      </c>
      <c r="AV341" s="251"/>
      <c r="AW341" s="326"/>
      <c r="AX341" s="322">
        <f t="shared" si="984"/>
        <v>0</v>
      </c>
      <c r="AY341" s="251"/>
      <c r="AZ341" s="326"/>
      <c r="BA341" s="322">
        <f t="shared" si="984"/>
        <v>0</v>
      </c>
      <c r="BB341" s="251"/>
      <c r="BC341" s="326"/>
      <c r="BD341" s="322">
        <f t="shared" si="984"/>
        <v>0</v>
      </c>
      <c r="BE341" s="251"/>
      <c r="BF341" s="326"/>
      <c r="BG341" s="322">
        <f t="shared" si="984"/>
        <v>0</v>
      </c>
      <c r="BH341" s="251"/>
      <c r="BI341" s="326"/>
      <c r="BJ341" s="322">
        <f t="shared" si="984"/>
        <v>0</v>
      </c>
      <c r="BK341" s="251"/>
      <c r="BL341" s="326"/>
      <c r="BM341" s="322">
        <f t="shared" si="984"/>
        <v>0</v>
      </c>
      <c r="BN341" s="251"/>
      <c r="BO341" s="326"/>
      <c r="BP341" s="322">
        <f t="shared" si="984"/>
        <v>0</v>
      </c>
      <c r="BQ341" s="251"/>
      <c r="BR341" s="326"/>
      <c r="BS341" s="322">
        <f t="shared" si="984"/>
        <v>0</v>
      </c>
      <c r="BT341" s="251"/>
      <c r="BU341" s="326"/>
      <c r="BV341" s="322">
        <f t="shared" si="984"/>
        <v>0</v>
      </c>
      <c r="BW341" s="251"/>
      <c r="BX341" s="326"/>
      <c r="BY341" s="322">
        <f t="shared" si="984"/>
        <v>0</v>
      </c>
      <c r="BZ341" s="251"/>
      <c r="CA341" s="326"/>
      <c r="CB341" s="322">
        <f t="shared" si="985"/>
        <v>0</v>
      </c>
      <c r="CC341" s="251"/>
      <c r="CD341" s="326"/>
      <c r="CE341" s="322">
        <f t="shared" si="985"/>
        <v>0</v>
      </c>
      <c r="CF341" s="251"/>
      <c r="CG341" s="251"/>
      <c r="CH341" s="251"/>
    </row>
    <row r="342" spans="1:86" ht="15" customHeight="1">
      <c r="A342" s="219"/>
      <c r="B342" s="219"/>
      <c r="C342" s="219"/>
      <c r="D342" s="219"/>
      <c r="E342" s="219"/>
      <c r="F342" s="564"/>
      <c r="G342" s="320" t="str">
        <f>+Idiomas!$D$372</f>
        <v>Fase de Liga</v>
      </c>
      <c r="H342" s="398" t="str">
        <f>IF(SUM(Calcs!$B$2:$B$37)=288,League!P36,"Pos.35")</f>
        <v>Pos.35</v>
      </c>
      <c r="I342" s="219"/>
      <c r="J342" s="326"/>
      <c r="K342" s="322">
        <f t="shared" si="983"/>
        <v>0</v>
      </c>
      <c r="L342" s="251"/>
      <c r="M342" s="326"/>
      <c r="N342" s="322">
        <f t="shared" si="984"/>
        <v>0</v>
      </c>
      <c r="O342" s="251"/>
      <c r="P342" s="326"/>
      <c r="Q342" s="322">
        <f t="shared" si="984"/>
        <v>0</v>
      </c>
      <c r="R342" s="251"/>
      <c r="S342" s="326"/>
      <c r="T342" s="322">
        <f t="shared" si="984"/>
        <v>0</v>
      </c>
      <c r="U342" s="251"/>
      <c r="V342" s="326"/>
      <c r="W342" s="322">
        <f t="shared" si="984"/>
        <v>0</v>
      </c>
      <c r="X342" s="251"/>
      <c r="Y342" s="326"/>
      <c r="Z342" s="322">
        <f t="shared" si="984"/>
        <v>0</v>
      </c>
      <c r="AA342" s="251"/>
      <c r="AB342" s="326"/>
      <c r="AC342" s="322">
        <f t="shared" si="984"/>
        <v>0</v>
      </c>
      <c r="AD342" s="251"/>
      <c r="AE342" s="326"/>
      <c r="AF342" s="322">
        <f t="shared" si="984"/>
        <v>0</v>
      </c>
      <c r="AG342" s="251"/>
      <c r="AH342" s="326"/>
      <c r="AI342" s="322">
        <f t="shared" si="984"/>
        <v>0</v>
      </c>
      <c r="AJ342" s="251"/>
      <c r="AK342" s="326"/>
      <c r="AL342" s="322">
        <f t="shared" si="984"/>
        <v>0</v>
      </c>
      <c r="AM342" s="251"/>
      <c r="AN342" s="326"/>
      <c r="AO342" s="322">
        <f t="shared" si="984"/>
        <v>0</v>
      </c>
      <c r="AP342" s="251"/>
      <c r="AQ342" s="326"/>
      <c r="AR342" s="322">
        <f t="shared" si="984"/>
        <v>0</v>
      </c>
      <c r="AS342" s="251"/>
      <c r="AT342" s="326"/>
      <c r="AU342" s="322">
        <f t="shared" si="984"/>
        <v>0</v>
      </c>
      <c r="AV342" s="251"/>
      <c r="AW342" s="326"/>
      <c r="AX342" s="322">
        <f t="shared" si="984"/>
        <v>0</v>
      </c>
      <c r="AY342" s="251"/>
      <c r="AZ342" s="326"/>
      <c r="BA342" s="322">
        <f t="shared" si="984"/>
        <v>0</v>
      </c>
      <c r="BB342" s="251"/>
      <c r="BC342" s="326"/>
      <c r="BD342" s="322">
        <f t="shared" si="984"/>
        <v>0</v>
      </c>
      <c r="BE342" s="251"/>
      <c r="BF342" s="326"/>
      <c r="BG342" s="322">
        <f t="shared" si="984"/>
        <v>0</v>
      </c>
      <c r="BH342" s="251"/>
      <c r="BI342" s="326"/>
      <c r="BJ342" s="322">
        <f t="shared" si="984"/>
        <v>0</v>
      </c>
      <c r="BK342" s="251"/>
      <c r="BL342" s="326"/>
      <c r="BM342" s="322">
        <f t="shared" si="984"/>
        <v>0</v>
      </c>
      <c r="BN342" s="251"/>
      <c r="BO342" s="326"/>
      <c r="BP342" s="322">
        <f t="shared" si="984"/>
        <v>0</v>
      </c>
      <c r="BQ342" s="251"/>
      <c r="BR342" s="326"/>
      <c r="BS342" s="322">
        <f t="shared" si="984"/>
        <v>0</v>
      </c>
      <c r="BT342" s="251"/>
      <c r="BU342" s="326"/>
      <c r="BV342" s="322">
        <f t="shared" si="984"/>
        <v>0</v>
      </c>
      <c r="BW342" s="251"/>
      <c r="BX342" s="326"/>
      <c r="BY342" s="322">
        <f t="shared" si="984"/>
        <v>0</v>
      </c>
      <c r="BZ342" s="251"/>
      <c r="CA342" s="326"/>
      <c r="CB342" s="322">
        <f t="shared" si="985"/>
        <v>0</v>
      </c>
      <c r="CC342" s="251"/>
      <c r="CD342" s="326"/>
      <c r="CE342" s="322">
        <f t="shared" si="985"/>
        <v>0</v>
      </c>
      <c r="CF342" s="251"/>
      <c r="CG342" s="251"/>
      <c r="CH342" s="251"/>
    </row>
    <row r="343" spans="1:86" ht="15" customHeight="1">
      <c r="A343" s="219"/>
      <c r="B343" s="219"/>
      <c r="C343" s="219"/>
      <c r="D343" s="219"/>
      <c r="E343" s="219"/>
      <c r="F343" s="564"/>
      <c r="G343" s="320" t="str">
        <f>+Idiomas!$D$372</f>
        <v>Fase de Liga</v>
      </c>
      <c r="H343" s="398" t="str">
        <f>IF(SUM(Calcs!$B$2:$B$37)=288,League!P37,"Pos.36")</f>
        <v>Pos.36</v>
      </c>
      <c r="I343" s="219"/>
      <c r="J343" s="326"/>
      <c r="K343" s="322">
        <f t="shared" si="983"/>
        <v>0</v>
      </c>
      <c r="L343" s="251"/>
      <c r="M343" s="326"/>
      <c r="N343" s="322">
        <f t="shared" si="984"/>
        <v>0</v>
      </c>
      <c r="O343" s="251"/>
      <c r="P343" s="326"/>
      <c r="Q343" s="322">
        <f t="shared" si="984"/>
        <v>0</v>
      </c>
      <c r="R343" s="251"/>
      <c r="S343" s="326"/>
      <c r="T343" s="322">
        <f t="shared" si="984"/>
        <v>0</v>
      </c>
      <c r="U343" s="251"/>
      <c r="V343" s="326"/>
      <c r="W343" s="322">
        <f t="shared" si="984"/>
        <v>0</v>
      </c>
      <c r="X343" s="251"/>
      <c r="Y343" s="326"/>
      <c r="Z343" s="322">
        <f t="shared" si="984"/>
        <v>0</v>
      </c>
      <c r="AA343" s="251"/>
      <c r="AB343" s="326"/>
      <c r="AC343" s="322">
        <f t="shared" si="984"/>
        <v>0</v>
      </c>
      <c r="AD343" s="251"/>
      <c r="AE343" s="326"/>
      <c r="AF343" s="322">
        <f t="shared" si="984"/>
        <v>0</v>
      </c>
      <c r="AG343" s="251"/>
      <c r="AH343" s="326"/>
      <c r="AI343" s="322">
        <f t="shared" si="984"/>
        <v>0</v>
      </c>
      <c r="AJ343" s="251"/>
      <c r="AK343" s="326"/>
      <c r="AL343" s="322">
        <f t="shared" si="984"/>
        <v>0</v>
      </c>
      <c r="AM343" s="251"/>
      <c r="AN343" s="326"/>
      <c r="AO343" s="322">
        <f t="shared" si="984"/>
        <v>0</v>
      </c>
      <c r="AP343" s="251"/>
      <c r="AQ343" s="326"/>
      <c r="AR343" s="322">
        <f t="shared" si="984"/>
        <v>0</v>
      </c>
      <c r="AS343" s="251"/>
      <c r="AT343" s="326"/>
      <c r="AU343" s="322">
        <f t="shared" si="984"/>
        <v>0</v>
      </c>
      <c r="AV343" s="251"/>
      <c r="AW343" s="326"/>
      <c r="AX343" s="322">
        <f t="shared" si="984"/>
        <v>0</v>
      </c>
      <c r="AY343" s="251"/>
      <c r="AZ343" s="326"/>
      <c r="BA343" s="322">
        <f t="shared" ref="BA343:CE343" si="986">+COUNTIF($H$308:$H$343,AZ343)*$D$40</f>
        <v>0</v>
      </c>
      <c r="BB343" s="251"/>
      <c r="BC343" s="326"/>
      <c r="BD343" s="322">
        <f t="shared" si="986"/>
        <v>0</v>
      </c>
      <c r="BE343" s="251"/>
      <c r="BF343" s="326"/>
      <c r="BG343" s="322">
        <f t="shared" si="986"/>
        <v>0</v>
      </c>
      <c r="BH343" s="251"/>
      <c r="BI343" s="326"/>
      <c r="BJ343" s="322">
        <f t="shared" si="986"/>
        <v>0</v>
      </c>
      <c r="BK343" s="251"/>
      <c r="BL343" s="326"/>
      <c r="BM343" s="322">
        <f t="shared" si="986"/>
        <v>0</v>
      </c>
      <c r="BN343" s="251"/>
      <c r="BO343" s="326"/>
      <c r="BP343" s="322">
        <f t="shared" si="986"/>
        <v>0</v>
      </c>
      <c r="BQ343" s="251"/>
      <c r="BR343" s="326"/>
      <c r="BS343" s="322">
        <f t="shared" si="986"/>
        <v>0</v>
      </c>
      <c r="BT343" s="251"/>
      <c r="BU343" s="326"/>
      <c r="BV343" s="322">
        <f t="shared" si="986"/>
        <v>0</v>
      </c>
      <c r="BW343" s="251"/>
      <c r="BX343" s="326"/>
      <c r="BY343" s="322">
        <f t="shared" si="986"/>
        <v>0</v>
      </c>
      <c r="BZ343" s="251"/>
      <c r="CA343" s="326"/>
      <c r="CB343" s="322">
        <f t="shared" si="986"/>
        <v>0</v>
      </c>
      <c r="CC343" s="251"/>
      <c r="CD343" s="326"/>
      <c r="CE343" s="322">
        <f t="shared" si="986"/>
        <v>0</v>
      </c>
      <c r="CF343" s="251"/>
      <c r="CG343" s="251"/>
      <c r="CH343" s="251"/>
    </row>
    <row r="344" spans="1:86" s="369" customFormat="1">
      <c r="A344" s="265"/>
      <c r="B344" s="265"/>
      <c r="C344" s="265"/>
      <c r="D344" s="265"/>
      <c r="E344" s="265"/>
      <c r="F344" s="265"/>
      <c r="G344" s="265"/>
      <c r="H344" s="265"/>
      <c r="I344" s="265"/>
      <c r="J344" s="265"/>
      <c r="K344" s="265" t="str" cm="1">
        <f t="array" ref="K344">CONCATENATE(SUM(K308:K343),"/",SUM($D$34:$D$40,$D$35:$D$40,($D$36:$D$40)*2,($D$37:$D$40)*4,($D$38:$D$40)*8,($D$39:$D$40)*8,($D$40:$D$40)*12))</f>
        <v>0/0</v>
      </c>
      <c r="L344" s="265"/>
      <c r="M344" s="265"/>
      <c r="N344" s="265" t="str" cm="1">
        <f t="array" ref="N344">CONCATENATE(SUM(N308:N343),"/",SUM($D$34:$D$40,$D$35:$D$40,($D$36:$D$40)*2,($D$37:$D$40)*4,($D$38:$D$40)*8,($D$39:$D$40)*8,($D$40:$D$40)*12))</f>
        <v>0/0</v>
      </c>
      <c r="O344" s="265"/>
      <c r="P344" s="265"/>
      <c r="Q344" s="265" t="str" cm="1">
        <f t="array" ref="Q344">CONCATENATE(SUM(Q308:Q343),"/",SUM($D$34:$D$40,$D$35:$D$40,($D$36:$D$40)*2,($D$37:$D$40)*4,($D$38:$D$40)*8,($D$39:$D$40)*8,($D$40:$D$40)*12))</f>
        <v>0/0</v>
      </c>
      <c r="R344" s="265"/>
      <c r="S344" s="265"/>
      <c r="T344" s="265" t="str" cm="1">
        <f t="array" ref="T344">CONCATENATE(SUM(T308:T343),"/",SUM($D$34:$D$40,$D$35:$D$40,($D$36:$D$40)*2,($D$37:$D$40)*4,($D$38:$D$40)*8,($D$39:$D$40)*8,($D$40:$D$40)*12))</f>
        <v>0/0</v>
      </c>
      <c r="U344" s="265"/>
      <c r="V344" s="265"/>
      <c r="W344" s="265" t="str" cm="1">
        <f t="array" ref="W344">CONCATENATE(SUM(W308:W343),"/",SUM($D$34:$D$40,$D$35:$D$40,($D$36:$D$40)*2,($D$37:$D$40)*4,($D$38:$D$40)*8,($D$39:$D$40)*8,($D$40:$D$40)*12))</f>
        <v>0/0</v>
      </c>
      <c r="X344" s="265"/>
      <c r="Y344" s="265"/>
      <c r="Z344" s="265" t="str" cm="1">
        <f t="array" ref="Z344">CONCATENATE(SUM(Z308:Z343),"/",SUM($D$34:$D$40,$D$35:$D$40,($D$36:$D$40)*2,($D$37:$D$40)*4,($D$38:$D$40)*8,($D$39:$D$40)*8,($D$40:$D$40)*12))</f>
        <v>0/0</v>
      </c>
      <c r="AA344" s="265"/>
      <c r="AB344" s="265"/>
      <c r="AC344" s="265" t="str" cm="1">
        <f t="array" ref="AC344">CONCATENATE(SUM(AC308:AC343),"/",SUM($D$34:$D$40,$D$35:$D$40,($D$36:$D$40)*2,($D$37:$D$40)*4,($D$38:$D$40)*8,($D$39:$D$40)*8,($D$40:$D$40)*12))</f>
        <v>0/0</v>
      </c>
      <c r="AD344" s="265"/>
      <c r="AE344" s="265"/>
      <c r="AF344" s="265" t="str" cm="1">
        <f t="array" ref="AF344">CONCATENATE(SUM(AF308:AF343),"/",SUM($D$34:$D$40,$D$35:$D$40,($D$36:$D$40)*2,($D$37:$D$40)*4,($D$38:$D$40)*8,($D$39:$D$40)*8,($D$40:$D$40)*12))</f>
        <v>0/0</v>
      </c>
      <c r="AG344" s="265"/>
      <c r="AH344" s="265"/>
      <c r="AI344" s="265" t="str" cm="1">
        <f t="array" ref="AI344">CONCATENATE(SUM(AI308:AI343),"/",SUM($D$34:$D$40,$D$35:$D$40,($D$36:$D$40)*2,($D$37:$D$40)*4,($D$38:$D$40)*8,($D$39:$D$40)*8,($D$40:$D$40)*12))</f>
        <v>0/0</v>
      </c>
      <c r="AJ344" s="265"/>
      <c r="AK344" s="265"/>
      <c r="AL344" s="265" t="str" cm="1">
        <f t="array" ref="AL344">CONCATENATE(SUM(AL308:AL343),"/",SUM($D$34:$D$40,$D$35:$D$40,($D$36:$D$40)*2,($D$37:$D$40)*4,($D$38:$D$40)*8,($D$39:$D$40)*8,($D$40:$D$40)*12))</f>
        <v>0/0</v>
      </c>
      <c r="AM344" s="265"/>
      <c r="AN344" s="265"/>
      <c r="AO344" s="265" t="str" cm="1">
        <f t="array" ref="AO344">CONCATENATE(SUM(AO308:AO343),"/",SUM($D$34:$D$40,$D$35:$D$40,($D$36:$D$40)*2,($D$37:$D$40)*4,($D$38:$D$40)*8,($D$39:$D$40)*8,($D$40:$D$40)*12))</f>
        <v>0/0</v>
      </c>
      <c r="AP344" s="265"/>
      <c r="AQ344" s="265"/>
      <c r="AR344" s="265" t="str" cm="1">
        <f t="array" ref="AR344">CONCATENATE(SUM(AR308:AR343),"/",SUM($D$34:$D$40,$D$35:$D$40,($D$36:$D$40)*2,($D$37:$D$40)*4,($D$38:$D$40)*8,($D$39:$D$40)*8,($D$40:$D$40)*12))</f>
        <v>0/0</v>
      </c>
      <c r="AS344" s="265"/>
      <c r="AT344" s="265"/>
      <c r="AU344" s="265" t="str" cm="1">
        <f t="array" ref="AU344">CONCATENATE(SUM(AU308:AU343),"/",SUM($D$34:$D$40,$D$35:$D$40,($D$36:$D$40)*2,($D$37:$D$40)*4,($D$38:$D$40)*8,($D$39:$D$40)*8,($D$40:$D$40)*12))</f>
        <v>0/0</v>
      </c>
      <c r="AV344" s="265"/>
      <c r="AW344" s="265"/>
      <c r="AX344" s="265" t="str" cm="1">
        <f t="array" ref="AX344">CONCATENATE(SUM(AX308:AX343),"/",SUM($D$34:$D$40,$D$35:$D$40,($D$36:$D$40)*2,($D$37:$D$40)*4,($D$38:$D$40)*8,($D$39:$D$40)*8,($D$40:$D$40)*12))</f>
        <v>0/0</v>
      </c>
      <c r="AY344" s="265"/>
      <c r="AZ344" s="265"/>
      <c r="BA344" s="265" t="str" cm="1">
        <f t="array" ref="BA344">CONCATENATE(SUM(BA308:BA343),"/",SUM($D$34:$D$40,$D$35:$D$40,($D$36:$D$40)*2,($D$37:$D$40)*4,($D$38:$D$40)*8,($D$39:$D$40)*8,($D$40:$D$40)*12))</f>
        <v>0/0</v>
      </c>
      <c r="BB344" s="265"/>
      <c r="BC344" s="265"/>
      <c r="BD344" s="265" t="str" cm="1">
        <f t="array" ref="BD344">CONCATENATE(SUM(BD308:BD343),"/",SUM($D$34:$D$40,$D$35:$D$40,($D$36:$D$40)*2,($D$37:$D$40)*4,($D$38:$D$40)*8,($D$39:$D$40)*8,($D$40:$D$40)*12))</f>
        <v>0/0</v>
      </c>
      <c r="BE344" s="265"/>
      <c r="BF344" s="265"/>
      <c r="BG344" s="265" t="str" cm="1">
        <f t="array" ref="BG344">CONCATENATE(SUM(BG308:BG343),"/",SUM($D$34:$D$40,$D$35:$D$40,($D$36:$D$40)*2,($D$37:$D$40)*4,($D$38:$D$40)*8,($D$39:$D$40)*8,($D$40:$D$40)*12))</f>
        <v>0/0</v>
      </c>
      <c r="BH344" s="265"/>
      <c r="BI344" s="265"/>
      <c r="BJ344" s="265" t="str" cm="1">
        <f t="array" ref="BJ344">CONCATENATE(SUM(BJ308:BJ343),"/",SUM($D$34:$D$40,$D$35:$D$40,($D$36:$D$40)*2,($D$37:$D$40)*4,($D$38:$D$40)*8,($D$39:$D$40)*8,($D$40:$D$40)*12))</f>
        <v>0/0</v>
      </c>
      <c r="BK344" s="265"/>
      <c r="BL344" s="265"/>
      <c r="BM344" s="265" t="str" cm="1">
        <f t="array" ref="BM344">CONCATENATE(SUM(BM308:BM343),"/",SUM($D$34:$D$40,$D$35:$D$40,($D$36:$D$40)*2,($D$37:$D$40)*4,($D$38:$D$40)*8,($D$39:$D$40)*8,($D$40:$D$40)*12))</f>
        <v>0/0</v>
      </c>
      <c r="BN344" s="265"/>
      <c r="BO344" s="265"/>
      <c r="BP344" s="265" t="str" cm="1">
        <f t="array" ref="BP344">CONCATENATE(SUM(BP308:BP343),"/",SUM($D$34:$D$40,$D$35:$D$40,($D$36:$D$40)*2,($D$37:$D$40)*4,($D$38:$D$40)*8,($D$39:$D$40)*8,($D$40:$D$40)*12))</f>
        <v>0/0</v>
      </c>
      <c r="BQ344" s="265"/>
      <c r="BR344" s="265"/>
      <c r="BS344" s="265" t="str" cm="1">
        <f t="array" ref="BS344">CONCATENATE(SUM(BS308:BS343),"/",SUM($D$34:$D$40,$D$35:$D$40,($D$36:$D$40)*2,($D$37:$D$40)*4,($D$38:$D$40)*8,($D$39:$D$40)*8,($D$40:$D$40)*12))</f>
        <v>0/0</v>
      </c>
      <c r="BT344" s="265"/>
      <c r="BU344" s="265"/>
      <c r="BV344" s="265" t="str" cm="1">
        <f t="array" ref="BV344">CONCATENATE(SUM(BV308:BV343),"/",SUM($D$34:$D$40,$D$35:$D$40,($D$36:$D$40)*2,($D$37:$D$40)*4,($D$38:$D$40)*8,($D$39:$D$40)*8,($D$40:$D$40)*12))</f>
        <v>0/0</v>
      </c>
      <c r="BW344" s="265"/>
      <c r="BX344" s="265"/>
      <c r="BY344" s="265" t="str" cm="1">
        <f t="array" ref="BY344">CONCATENATE(SUM(BY308:BY343),"/",SUM($D$34:$D$40,$D$35:$D$40,($D$36:$D$40)*2,($D$37:$D$40)*4,($D$38:$D$40)*8,($D$39:$D$40)*8,($D$40:$D$40)*12))</f>
        <v>0/0</v>
      </c>
      <c r="BZ344" s="265"/>
      <c r="CA344" s="265"/>
      <c r="CB344" s="265" t="str" cm="1">
        <f t="array" ref="CB344">CONCATENATE(SUM(CB308:CB343),"/",SUM($D$34:$D$40,$D$35:$D$40,($D$36:$D$40)*2,($D$37:$D$40)*4,($D$38:$D$40)*8,($D$39:$D$40)*8,($D$40:$D$40)*12))</f>
        <v>0/0</v>
      </c>
      <c r="CC344" s="265"/>
      <c r="CD344" s="265"/>
      <c r="CE344" s="265" t="str" cm="1">
        <f t="array" ref="CE344">CONCATENATE(SUM(CE308:CE343),"/",SUM($D$34:$D$40,$D$35:$D$40,($D$36:$D$40)*2,($D$37:$D$40)*4,($D$38:$D$40)*8,($D$39:$D$40)*8,($D$40:$D$40)*12))</f>
        <v>0/0</v>
      </c>
      <c r="CF344" s="265"/>
      <c r="CG344" s="265"/>
      <c r="CH344" s="265"/>
    </row>
    <row r="345" spans="1:86" ht="15" customHeight="1">
      <c r="A345" s="219"/>
      <c r="B345" s="219"/>
      <c r="C345" s="219"/>
      <c r="D345" s="219"/>
      <c r="E345" s="219"/>
      <c r="F345" s="265"/>
      <c r="G345" s="265"/>
      <c r="H345" s="219"/>
      <c r="I345" s="219"/>
      <c r="J345" s="219"/>
      <c r="K345" s="219"/>
      <c r="L345" s="251"/>
      <c r="M345" s="219"/>
      <c r="N345" s="219"/>
      <c r="O345" s="251"/>
      <c r="P345" s="219"/>
      <c r="Q345" s="219"/>
      <c r="R345" s="251"/>
      <c r="S345" s="219"/>
      <c r="T345" s="219"/>
      <c r="U345" s="251"/>
      <c r="V345" s="219"/>
      <c r="W345" s="219"/>
      <c r="X345" s="251"/>
      <c r="Y345" s="219"/>
      <c r="Z345" s="219"/>
      <c r="AA345" s="251"/>
      <c r="AB345" s="219"/>
      <c r="AC345" s="219"/>
      <c r="AD345" s="251"/>
      <c r="AE345" s="219"/>
      <c r="AF345" s="219"/>
      <c r="AG345" s="251"/>
      <c r="AH345" s="219"/>
      <c r="AI345" s="219"/>
      <c r="AJ345" s="251"/>
      <c r="AK345" s="219"/>
      <c r="AL345" s="219"/>
      <c r="AM345" s="251"/>
      <c r="AN345" s="219"/>
      <c r="AO345" s="219"/>
      <c r="AP345" s="251"/>
      <c r="AQ345" s="219"/>
      <c r="AR345" s="219"/>
      <c r="AS345" s="251"/>
      <c r="AT345" s="219"/>
      <c r="AU345" s="219"/>
      <c r="AV345" s="251"/>
      <c r="AW345" s="219"/>
      <c r="AX345" s="219"/>
      <c r="AY345" s="251"/>
      <c r="AZ345" s="219"/>
      <c r="BA345" s="219"/>
      <c r="BB345" s="251"/>
      <c r="BC345" s="219"/>
      <c r="BD345" s="219"/>
      <c r="BE345" s="251"/>
      <c r="BF345" s="219"/>
      <c r="BG345" s="219"/>
      <c r="BH345" s="251"/>
      <c r="BI345" s="219"/>
      <c r="BJ345" s="219"/>
      <c r="BK345" s="251"/>
      <c r="BL345" s="219"/>
      <c r="BM345" s="219"/>
      <c r="BN345" s="251"/>
      <c r="BO345" s="219"/>
      <c r="BP345" s="219"/>
      <c r="BQ345" s="251"/>
      <c r="BR345" s="219"/>
      <c r="BS345" s="219"/>
      <c r="BT345" s="251"/>
      <c r="BU345" s="219"/>
      <c r="BV345" s="219"/>
      <c r="BW345" s="251"/>
      <c r="BX345" s="219"/>
      <c r="BY345" s="219"/>
      <c r="BZ345" s="251"/>
      <c r="CA345" s="219"/>
      <c r="CB345" s="219"/>
      <c r="CC345" s="251"/>
      <c r="CD345" s="219"/>
      <c r="CE345" s="219"/>
      <c r="CF345" s="251"/>
    </row>
  </sheetData>
  <sheetProtection algorithmName="SHA-512" hashValue="WVjc3BTIrJsdJKduyMWTBnfucXoxVovNGOTAHtwNplkrBV39RTJNiM9+cZf7Ia4N9cEg+5OUY6hNaf/tSQncOQ==" saltValue="UN/I+RI1YaYJaLSLI7Guog==" spinCount="100000" sheet="1" objects="1" scenarios="1" selectLockedCells="1"/>
  <mergeCells count="20">
    <mergeCell ref="F308:F343"/>
    <mergeCell ref="F275:F282"/>
    <mergeCell ref="F291:F294"/>
    <mergeCell ref="F152:F187"/>
    <mergeCell ref="F219:F234"/>
    <mergeCell ref="F247:F262"/>
    <mergeCell ref="F237:F244"/>
    <mergeCell ref="F200:F215"/>
    <mergeCell ref="F190:F197"/>
    <mergeCell ref="F265:F272"/>
    <mergeCell ref="F285:F288"/>
    <mergeCell ref="F297:F298"/>
    <mergeCell ref="F132:F149"/>
    <mergeCell ref="F6:F23"/>
    <mergeCell ref="F24:F41"/>
    <mergeCell ref="F42:F59"/>
    <mergeCell ref="F60:F77"/>
    <mergeCell ref="F78:F95"/>
    <mergeCell ref="F96:F113"/>
    <mergeCell ref="F114:F131"/>
  </mergeCells>
  <phoneticPr fontId="8" type="noConversion"/>
  <dataValidations count="1">
    <dataValidation type="whole" allowBlank="1" showInputMessage="1" showErrorMessage="1" errorTitle="Introduzca un número entero" sqref="D8:D40" xr:uid="{8609CB06-8233-5B4F-AB8F-B5C5A57D6EEA}">
      <formula1>0</formula1>
      <formula2>10000</formula2>
    </dataValidation>
  </dataValidations>
  <hyperlinks>
    <hyperlink ref="C44" r:id="rId1" xr:uid="{3DEE7963-B95F-F44C-BBFD-0B4C70F18C20}"/>
    <hyperlink ref="C44:D45" r:id="rId2" display="https://matejero.es/puntuaciones-excel-champions-league/" xr:uid="{0A8AD297-2780-A540-BD15-35C04969B1A9}"/>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E492B156-0B91-FE4E-833B-B53176C9D99D}">
          <x14:formula1>
            <xm:f>Idiomas!$C$323:$C$347</xm:f>
          </x14:formula1>
          <xm:sqref>D5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FF728-C2C2-584C-8DFB-67F0EC7098EB}">
  <sheetPr codeName="Hoja2"/>
  <dimension ref="A1:T138"/>
  <sheetViews>
    <sheetView showGridLines="0" showRowColHeaders="0" zoomScaleNormal="100" workbookViewId="0">
      <selection activeCell="E22" sqref="E22"/>
    </sheetView>
  </sheetViews>
  <sheetFormatPr defaultColWidth="0" defaultRowHeight="15"/>
  <cols>
    <col min="1" max="1" width="3.125" style="233" bestFit="1" customWidth="1"/>
    <col min="2" max="2" width="4.625" style="233" bestFit="1" customWidth="1"/>
    <col min="3" max="3" width="22.125" style="233" customWidth="1"/>
    <col min="4" max="16" width="10.875" style="233" customWidth="1"/>
    <col min="17" max="19" width="10.875" style="231" customWidth="1"/>
    <col min="20" max="20" width="2.375" style="231" customWidth="1"/>
    <col min="21" max="16384" width="11.5" style="231" hidden="1"/>
  </cols>
  <sheetData>
    <row r="1" spans="1:20" ht="45.75" customHeight="1" thickTop="1" thickBot="1">
      <c r="A1" s="235"/>
      <c r="B1" s="569" t="str">
        <f>Idiomas!D293</f>
        <v>CLASIFICACIÓN CHAMPIONS 2025-2026</v>
      </c>
      <c r="C1" s="570"/>
      <c r="D1" s="570"/>
      <c r="E1" s="570"/>
      <c r="F1" s="570"/>
      <c r="G1" s="570"/>
      <c r="H1" s="570"/>
      <c r="I1" s="570"/>
      <c r="J1" s="570"/>
      <c r="K1" s="570"/>
      <c r="L1" s="570"/>
      <c r="M1" s="570"/>
      <c r="N1" s="570"/>
      <c r="O1" s="570"/>
      <c r="P1" s="570"/>
      <c r="Q1" s="570"/>
      <c r="R1" s="570"/>
      <c r="S1" s="571"/>
      <c r="T1" s="234"/>
    </row>
    <row r="2" spans="1:20" ht="5.0999999999999996" customHeight="1" thickTop="1">
      <c r="A2" s="234"/>
      <c r="B2" s="568"/>
      <c r="C2" s="568"/>
      <c r="D2" s="568"/>
      <c r="E2" s="309">
        <v>150</v>
      </c>
      <c r="F2" s="309">
        <v>188</v>
      </c>
      <c r="G2" s="309">
        <v>198</v>
      </c>
      <c r="H2" s="309">
        <v>216</v>
      </c>
      <c r="I2" s="309">
        <v>235</v>
      </c>
      <c r="J2" s="309">
        <v>245</v>
      </c>
      <c r="K2" s="309">
        <v>263</v>
      </c>
      <c r="L2" s="309">
        <v>273</v>
      </c>
      <c r="M2" s="309">
        <v>283</v>
      </c>
      <c r="N2" s="309">
        <v>289</v>
      </c>
      <c r="O2" s="309">
        <v>295</v>
      </c>
      <c r="P2" s="309">
        <v>299</v>
      </c>
      <c r="Q2" s="309">
        <v>302</v>
      </c>
      <c r="R2" s="309">
        <v>305</v>
      </c>
      <c r="S2" s="309">
        <v>344</v>
      </c>
      <c r="T2" s="234"/>
    </row>
    <row r="3" spans="1:20" s="244" customFormat="1" ht="36.950000000000003" thickBot="1">
      <c r="A3" s="243"/>
      <c r="B3" s="306" t="str">
        <f>+Idiomas!D294</f>
        <v>Pos</v>
      </c>
      <c r="C3" s="307" t="str">
        <f>+Idiomas!D295</f>
        <v>Jugador</v>
      </c>
      <c r="D3" s="308" t="str">
        <f>+Idiomas!D296</f>
        <v>Puntos Totales</v>
      </c>
      <c r="E3" s="308" t="str">
        <f>Idiomas!D297</f>
        <v>Fase Liga</v>
      </c>
      <c r="F3" s="308" t="str">
        <f>Idiomas!D298</f>
        <v>Posición Liga</v>
      </c>
      <c r="G3" s="308" t="str">
        <f>Idiomas!D299</f>
        <v>Equipos 1/8 (L)</v>
      </c>
      <c r="H3" s="308" t="str">
        <f>Idiomas!D300</f>
        <v>Equipos PO</v>
      </c>
      <c r="I3" s="308" t="str">
        <f>Idiomas!D301</f>
        <v>Partidos PO</v>
      </c>
      <c r="J3" s="308" t="str">
        <f>Idiomas!D302</f>
        <v>Equipos 1/8 (PO)</v>
      </c>
      <c r="K3" s="308" t="str">
        <f>Idiomas!D303</f>
        <v>Partidos 1/8</v>
      </c>
      <c r="L3" s="308" t="str">
        <f>Idiomas!D304</f>
        <v>Equipos 1/4</v>
      </c>
      <c r="M3" s="308" t="str">
        <f>Idiomas!D305</f>
        <v>Partidos 1/4</v>
      </c>
      <c r="N3" s="308" t="str">
        <f>Idiomas!D306</f>
        <v>Equipos 1/2</v>
      </c>
      <c r="O3" s="308" t="str">
        <f>Idiomas!D307</f>
        <v>Partidos 1/2</v>
      </c>
      <c r="P3" s="308" t="str">
        <f>Idiomas!D308</f>
        <v>Equipos Final</v>
      </c>
      <c r="Q3" s="308" t="str">
        <f>Idiomas!D309</f>
        <v>Partido Final</v>
      </c>
      <c r="R3" s="308" t="str">
        <f>Idiomas!D310</f>
        <v>Campeón</v>
      </c>
      <c r="S3" s="308" t="str">
        <f>Idiomas!D311</f>
        <v>Predictor</v>
      </c>
      <c r="T3" s="243"/>
    </row>
    <row r="4" spans="1:20" ht="17.100000000000001" thickTop="1">
      <c r="A4" s="250">
        <f>ROW()-3</f>
        <v>1</v>
      </c>
      <c r="B4" s="236">
        <f ca="1">IFERROR(HLOOKUP(A4,OFFSET(ADMIN!$J$1,0,0,3,ADMIN!$D$5*3),3,FALSE),"-")</f>
        <v>1</v>
      </c>
      <c r="C4" s="237" t="str">
        <f ca="1">IFERROR(HLOOKUP(A4,OFFSET(ADMIN!$J$1,0,0,5,ADMIN!$D$5*3),5,FALSE),"-")</f>
        <v>LUIS IRISH</v>
      </c>
      <c r="D4" s="236">
        <f ca="1">IFERROR(HLOOKUP(A4,OFFSET(ADMIN!$J$1,0,0,5,ADMIN!$D$5*3),4,FALSE),"-")</f>
        <v>190</v>
      </c>
      <c r="E4" s="238" t="str" cm="1">
        <f t="array" aca="1" ref="E4" ca="1">IFERROR(INDEX(OFFSET(ADMIN!$J$1,0,0,E$2,ADMIN!$D$5*3),E$2,MATCH($A4,OFFSET(ADMIN!$J$1,0,0,1,ADMIN!$D$5*3),0)+1),"-")</f>
        <v>190/720</v>
      </c>
      <c r="F4" s="238" t="str" cm="1">
        <f t="array" aca="1" ref="F4" ca="1">IFERROR(INDEX(OFFSET(ADMIN!$J$1,0,0,F$2,ADMIN!$D$5*3),F$2,MATCH($A4,OFFSET(ADMIN!$J$1,0,0,1,ADMIN!$D$5*3),0)+1),"-")</f>
        <v>0/180</v>
      </c>
      <c r="G4" s="238" t="str" cm="1">
        <f t="array" aca="1" ref="G4" ca="1">IFERROR(INDEX(OFFSET(ADMIN!$J$1,0,0,G$2,ADMIN!$D$5*3),G$2,MATCH($A4,OFFSET(ADMIN!$J$1,0,0,1,ADMIN!$D$5*3),0)+1),"-")</f>
        <v>0/32</v>
      </c>
      <c r="H4" s="238" t="str" cm="1">
        <f t="array" aca="1" ref="H4" ca="1">IFERROR(INDEX(OFFSET(ADMIN!$J$1,0,0,H$2,ADMIN!$D$5*3),H$2,MATCH($A4,OFFSET(ADMIN!$J$1,0,0,1,ADMIN!$D$5*3),0)+1),"-")</f>
        <v>0/64</v>
      </c>
      <c r="I4" s="238" t="str" cm="1">
        <f t="array" aca="1" ref="I4" ca="1">IFERROR(INDEX(OFFSET(ADMIN!$J$1,0,0,I$2,ADMIN!$D$5*3),I$2,MATCH($A4,OFFSET(ADMIN!$J$1,0,0,1,ADMIN!$D$5*3),0)+1),"-")</f>
        <v>0/0</v>
      </c>
      <c r="J4" s="238" t="str" cm="1">
        <f t="array" aca="1" ref="J4" ca="1">IFERROR(INDEX(OFFSET(ADMIN!$J$1,0,0,J$2,ADMIN!$D$5*3),J$2,MATCH($A4,OFFSET(ADMIN!$J$1,0,0,1,ADMIN!$D$5*3),0)+1),"-")</f>
        <v>0/0</v>
      </c>
      <c r="K4" s="238" t="str" cm="1">
        <f t="array" aca="1" ref="K4" ca="1">IFERROR(INDEX(OFFSET(ADMIN!$J$1,0,0,K$2,ADMIN!$D$5*3),K$2,MATCH($A4,OFFSET(ADMIN!$J$1,0,0,1,ADMIN!$D$5*3),0)+1),"-")</f>
        <v>0/0</v>
      </c>
      <c r="L4" s="238" t="str" cm="1">
        <f t="array" aca="1" ref="L4" ca="1">IFERROR(INDEX(OFFSET(ADMIN!$J$1,0,0,L$2,ADMIN!$D$5*3),L$2,MATCH($A4,OFFSET(ADMIN!$J$1,0,0,1,ADMIN!$D$5*3),0)+1),"-")</f>
        <v>0/0</v>
      </c>
      <c r="M4" s="238" t="str" cm="1">
        <f t="array" aca="1" ref="M4" ca="1">IFERROR(INDEX(OFFSET(ADMIN!$J$1,0,0,M$2,ADMIN!$D$5*3),M$2,MATCH($A4,OFFSET(ADMIN!$J$1,0,0,1,ADMIN!$D$5*3),0)+1),"-")</f>
        <v>0/0</v>
      </c>
      <c r="N4" s="238" t="str" cm="1">
        <f t="array" aca="1" ref="N4" ca="1">IFERROR(INDEX(OFFSET(ADMIN!$J$1,0,0,N$2,ADMIN!$D$5*3),N$2,MATCH($A4,OFFSET(ADMIN!$J$1,0,0,1,ADMIN!$D$5*3),0)+1),"-")</f>
        <v>0/0</v>
      </c>
      <c r="O4" s="238" t="str" cm="1">
        <f t="array" aca="1" ref="O4" ca="1">IFERROR(INDEX(OFFSET(ADMIN!$J$1,0,0,O$2,ADMIN!$D$5*3),O$2,MATCH($A4,OFFSET(ADMIN!$J$1,0,0,1,ADMIN!$D$5*3),0)+1),"-")</f>
        <v>0/0</v>
      </c>
      <c r="P4" s="238" t="str" cm="1">
        <f t="array" aca="1" ref="P4" ca="1">IFERROR(INDEX(OFFSET(ADMIN!$J$1,0,0,P$2,ADMIN!$D$5*3),P$2,MATCH($A4,OFFSET(ADMIN!$J$1,0,0,1,ADMIN!$D$5*3),0)+1),"-")</f>
        <v>0/0</v>
      </c>
      <c r="Q4" s="238" t="str" cm="1">
        <f t="array" aca="1" ref="Q4" ca="1">IFERROR(INDEX(OFFSET(ADMIN!$J$1,0,0,Q$2,ADMIN!$D$5*3),Q$2,MATCH($A4,OFFSET(ADMIN!$J$1,0,0,1,ADMIN!$D$5*3),0)+1),"-")</f>
        <v>0/0</v>
      </c>
      <c r="R4" s="238" t="str" cm="1">
        <f t="array" aca="1" ref="R4" ca="1">IFERROR(INDEX(OFFSET(ADMIN!$J$1,0,0,R$2,ADMIN!$D$5*3),R$2,MATCH($A4,OFFSET(ADMIN!$J$1,0,0,1,ADMIN!$D$5*3),0)+1),"-")</f>
        <v>0/0</v>
      </c>
      <c r="S4" s="238" t="str" cm="1">
        <f t="array" aca="1" ref="S4" ca="1">IFERROR(INDEX(OFFSET(ADMIN!$J$1,0,0,S$2,ADMIN!$D$5*3),S$2,MATCH($A4,OFFSET(ADMIN!$J$1,0,0,1,ADMIN!$D$5*3),0)+1),"-")</f>
        <v>0/0</v>
      </c>
      <c r="T4" s="234"/>
    </row>
    <row r="5" spans="1:20" ht="15.95">
      <c r="A5" s="250">
        <f>ROW()-3</f>
        <v>2</v>
      </c>
      <c r="B5" s="236">
        <f ca="1">IFERROR(HLOOKUP(A5,OFFSET(ADMIN!$J$1,0,0,3,ADMIN!$D$5*3),3,FALSE),"-")</f>
        <v>2</v>
      </c>
      <c r="C5" s="237" t="str">
        <f ca="1">IFERROR(HLOOKUP(A5,OFFSET(ADMIN!$J$1,0,0,5,ADMIN!$D$5*3),5,FALSE),"-")</f>
        <v>LUISETE</v>
      </c>
      <c r="D5" s="236">
        <f ca="1">IFERROR(HLOOKUP(A5,OFFSET(ADMIN!$J$1,0,0,5,ADMIN!$D$5*3),4,FALSE),"-")</f>
        <v>173</v>
      </c>
      <c r="E5" s="238" t="str" cm="1">
        <f t="array" aca="1" ref="E5" ca="1">IFERROR(INDEX(OFFSET(ADMIN!$J$1,0,0,E$2,ADMIN!$D$5*3),E$2,MATCH($A5,OFFSET(ADMIN!$J$1,0,0,1,ADMIN!$D$5*3),0)+1),"-")</f>
        <v>173/720</v>
      </c>
      <c r="F5" s="238" t="str" cm="1">
        <f t="array" aca="1" ref="F5" ca="1">IFERROR(INDEX(OFFSET(ADMIN!$J$1,0,0,F$2,ADMIN!$D$5*3),F$2,MATCH($A5,OFFSET(ADMIN!$J$1,0,0,1,ADMIN!$D$5*3),0)+1),"-")</f>
        <v>0/180</v>
      </c>
      <c r="G5" s="238" t="str" cm="1">
        <f t="array" aca="1" ref="G5" ca="1">IFERROR(INDEX(OFFSET(ADMIN!$J$1,0,0,G$2,ADMIN!$D$5*3),G$2,MATCH($A5,OFFSET(ADMIN!$J$1,0,0,1,ADMIN!$D$5*3),0)+1),"-")</f>
        <v>0/32</v>
      </c>
      <c r="H5" s="238" t="str" cm="1">
        <f t="array" aca="1" ref="H5" ca="1">IFERROR(INDEX(OFFSET(ADMIN!$J$1,0,0,H$2,ADMIN!$D$5*3),H$2,MATCH($A5,OFFSET(ADMIN!$J$1,0,0,1,ADMIN!$D$5*3),0)+1),"-")</f>
        <v>0/64</v>
      </c>
      <c r="I5" s="238" t="str" cm="1">
        <f t="array" aca="1" ref="I5" ca="1">IFERROR(INDEX(OFFSET(ADMIN!$J$1,0,0,I$2,ADMIN!$D$5*3),I$2,MATCH($A5,OFFSET(ADMIN!$J$1,0,0,1,ADMIN!$D$5*3),0)+1),"-")</f>
        <v>0/0</v>
      </c>
      <c r="J5" s="238" t="str" cm="1">
        <f t="array" aca="1" ref="J5" ca="1">IFERROR(INDEX(OFFSET(ADMIN!$J$1,0,0,J$2,ADMIN!$D$5*3),J$2,MATCH($A5,OFFSET(ADMIN!$J$1,0,0,1,ADMIN!$D$5*3),0)+1),"-")</f>
        <v>0/0</v>
      </c>
      <c r="K5" s="238" t="str" cm="1">
        <f t="array" aca="1" ref="K5" ca="1">IFERROR(INDEX(OFFSET(ADMIN!$J$1,0,0,K$2,ADMIN!$D$5*3),K$2,MATCH($A5,OFFSET(ADMIN!$J$1,0,0,1,ADMIN!$D$5*3),0)+1),"-")</f>
        <v>0/0</v>
      </c>
      <c r="L5" s="238" t="str" cm="1">
        <f t="array" aca="1" ref="L5" ca="1">IFERROR(INDEX(OFFSET(ADMIN!$J$1,0,0,L$2,ADMIN!$D$5*3),L$2,MATCH($A5,OFFSET(ADMIN!$J$1,0,0,1,ADMIN!$D$5*3),0)+1),"-")</f>
        <v>0/0</v>
      </c>
      <c r="M5" s="238" t="str" cm="1">
        <f t="array" aca="1" ref="M5" ca="1">IFERROR(INDEX(OFFSET(ADMIN!$J$1,0,0,M$2,ADMIN!$D$5*3),M$2,MATCH($A5,OFFSET(ADMIN!$J$1,0,0,1,ADMIN!$D$5*3),0)+1),"-")</f>
        <v>0/0</v>
      </c>
      <c r="N5" s="238" t="str" cm="1">
        <f t="array" aca="1" ref="N5" ca="1">IFERROR(INDEX(OFFSET(ADMIN!$J$1,0,0,N$2,ADMIN!$D$5*3),N$2,MATCH($A5,OFFSET(ADMIN!$J$1,0,0,1,ADMIN!$D$5*3),0)+1),"-")</f>
        <v>0/0</v>
      </c>
      <c r="O5" s="238" t="str" cm="1">
        <f t="array" aca="1" ref="O5" ca="1">IFERROR(INDEX(OFFSET(ADMIN!$J$1,0,0,O$2,ADMIN!$D$5*3),O$2,MATCH($A5,OFFSET(ADMIN!$J$1,0,0,1,ADMIN!$D$5*3),0)+1),"-")</f>
        <v>0/0</v>
      </c>
      <c r="P5" s="238" t="str" cm="1">
        <f t="array" aca="1" ref="P5" ca="1">IFERROR(INDEX(OFFSET(ADMIN!$J$1,0,0,P$2,ADMIN!$D$5*3),P$2,MATCH($A5,OFFSET(ADMIN!$J$1,0,0,1,ADMIN!$D$5*3),0)+1),"-")</f>
        <v>0/0</v>
      </c>
      <c r="Q5" s="238" t="str" cm="1">
        <f t="array" aca="1" ref="Q5" ca="1">IFERROR(INDEX(OFFSET(ADMIN!$J$1,0,0,Q$2,ADMIN!$D$5*3),Q$2,MATCH($A5,OFFSET(ADMIN!$J$1,0,0,1,ADMIN!$D$5*3),0)+1),"-")</f>
        <v>0/0</v>
      </c>
      <c r="R5" s="238" t="str" cm="1">
        <f t="array" aca="1" ref="R5" ca="1">IFERROR(INDEX(OFFSET(ADMIN!$J$1,0,0,R$2,ADMIN!$D$5*3),R$2,MATCH($A5,OFFSET(ADMIN!$J$1,0,0,1,ADMIN!$D$5*3),0)+1),"-")</f>
        <v>0/0</v>
      </c>
      <c r="S5" s="238" t="str" cm="1">
        <f t="array" aca="1" ref="S5" ca="1">IFERROR(INDEX(OFFSET(ADMIN!$J$1,0,0,S$2,ADMIN!$D$5*3),S$2,MATCH($A5,OFFSET(ADMIN!$J$1,0,0,1,ADMIN!$D$5*3),0)+1),"-")</f>
        <v>0/0</v>
      </c>
      <c r="T5" s="234"/>
    </row>
    <row r="6" spans="1:20" ht="15.95">
      <c r="A6" s="250">
        <f t="shared" ref="A6:A28" si="0">ROW()-3</f>
        <v>3</v>
      </c>
      <c r="B6" s="236">
        <f ca="1">IFERROR(HLOOKUP(A6,OFFSET(ADMIN!$J$1,0,0,3,ADMIN!$D$5*3),3,FALSE),"-")</f>
        <v>3</v>
      </c>
      <c r="C6" s="237" t="str">
        <f ca="1">IFERROR(HLOOKUP(A6,OFFSET(ADMIN!$J$1,0,0,5,ADMIN!$D$5*3),5,FALSE),"-")</f>
        <v>YERAY</v>
      </c>
      <c r="D6" s="236">
        <f ca="1">IFERROR(HLOOKUP(A6,OFFSET(ADMIN!$J$1,0,0,5,ADMIN!$D$5*3),4,FALSE),"-")</f>
        <v>170</v>
      </c>
      <c r="E6" s="238" t="str" cm="1">
        <f t="array" aca="1" ref="E6" ca="1">IFERROR(INDEX(OFFSET(ADMIN!$J$1,0,0,E$2,ADMIN!$D$5*3),E$2,MATCH($A6,OFFSET(ADMIN!$J$1,0,0,1,ADMIN!$D$5*3),0)+1),"-")</f>
        <v>170/720</v>
      </c>
      <c r="F6" s="238" t="str" cm="1">
        <f t="array" aca="1" ref="F6" ca="1">IFERROR(INDEX(OFFSET(ADMIN!$J$1,0,0,F$2,ADMIN!$D$5*3),F$2,MATCH($A6,OFFSET(ADMIN!$J$1,0,0,1,ADMIN!$D$5*3),0)+1),"-")</f>
        <v>0/180</v>
      </c>
      <c r="G6" s="238" t="str" cm="1">
        <f t="array" aca="1" ref="G6" ca="1">IFERROR(INDEX(OFFSET(ADMIN!$J$1,0,0,G$2,ADMIN!$D$5*3),G$2,MATCH($A6,OFFSET(ADMIN!$J$1,0,0,1,ADMIN!$D$5*3),0)+1),"-")</f>
        <v>0/32</v>
      </c>
      <c r="H6" s="238" t="str" cm="1">
        <f t="array" aca="1" ref="H6" ca="1">IFERROR(INDEX(OFFSET(ADMIN!$J$1,0,0,H$2,ADMIN!$D$5*3),H$2,MATCH($A6,OFFSET(ADMIN!$J$1,0,0,1,ADMIN!$D$5*3),0)+1),"-")</f>
        <v>0/64</v>
      </c>
      <c r="I6" s="238" t="str" cm="1">
        <f t="array" aca="1" ref="I6" ca="1">IFERROR(INDEX(OFFSET(ADMIN!$J$1,0,0,I$2,ADMIN!$D$5*3),I$2,MATCH($A6,OFFSET(ADMIN!$J$1,0,0,1,ADMIN!$D$5*3),0)+1),"-")</f>
        <v>0/0</v>
      </c>
      <c r="J6" s="238" t="str" cm="1">
        <f t="array" aca="1" ref="J6" ca="1">IFERROR(INDEX(OFFSET(ADMIN!$J$1,0,0,J$2,ADMIN!$D$5*3),J$2,MATCH($A6,OFFSET(ADMIN!$J$1,0,0,1,ADMIN!$D$5*3),0)+1),"-")</f>
        <v>0/0</v>
      </c>
      <c r="K6" s="238" t="str" cm="1">
        <f t="array" aca="1" ref="K6" ca="1">IFERROR(INDEX(OFFSET(ADMIN!$J$1,0,0,K$2,ADMIN!$D$5*3),K$2,MATCH($A6,OFFSET(ADMIN!$J$1,0,0,1,ADMIN!$D$5*3),0)+1),"-")</f>
        <v>0/0</v>
      </c>
      <c r="L6" s="238" t="str" cm="1">
        <f t="array" aca="1" ref="L6" ca="1">IFERROR(INDEX(OFFSET(ADMIN!$J$1,0,0,L$2,ADMIN!$D$5*3),L$2,MATCH($A6,OFFSET(ADMIN!$J$1,0,0,1,ADMIN!$D$5*3),0)+1),"-")</f>
        <v>0/0</v>
      </c>
      <c r="M6" s="238" t="str" cm="1">
        <f t="array" aca="1" ref="M6" ca="1">IFERROR(INDEX(OFFSET(ADMIN!$J$1,0,0,M$2,ADMIN!$D$5*3),M$2,MATCH($A6,OFFSET(ADMIN!$J$1,0,0,1,ADMIN!$D$5*3),0)+1),"-")</f>
        <v>0/0</v>
      </c>
      <c r="N6" s="238" t="str" cm="1">
        <f t="array" aca="1" ref="N6" ca="1">IFERROR(INDEX(OFFSET(ADMIN!$J$1,0,0,N$2,ADMIN!$D$5*3),N$2,MATCH($A6,OFFSET(ADMIN!$J$1,0,0,1,ADMIN!$D$5*3),0)+1),"-")</f>
        <v>0/0</v>
      </c>
      <c r="O6" s="238" t="str" cm="1">
        <f t="array" aca="1" ref="O6" ca="1">IFERROR(INDEX(OFFSET(ADMIN!$J$1,0,0,O$2,ADMIN!$D$5*3),O$2,MATCH($A6,OFFSET(ADMIN!$J$1,0,0,1,ADMIN!$D$5*3),0)+1),"-")</f>
        <v>0/0</v>
      </c>
      <c r="P6" s="238" t="str" cm="1">
        <f t="array" aca="1" ref="P6" ca="1">IFERROR(INDEX(OFFSET(ADMIN!$J$1,0,0,P$2,ADMIN!$D$5*3),P$2,MATCH($A6,OFFSET(ADMIN!$J$1,0,0,1,ADMIN!$D$5*3),0)+1),"-")</f>
        <v>0/0</v>
      </c>
      <c r="Q6" s="238" t="str" cm="1">
        <f t="array" aca="1" ref="Q6" ca="1">IFERROR(INDEX(OFFSET(ADMIN!$J$1,0,0,Q$2,ADMIN!$D$5*3),Q$2,MATCH($A6,OFFSET(ADMIN!$J$1,0,0,1,ADMIN!$D$5*3),0)+1),"-")</f>
        <v>0/0</v>
      </c>
      <c r="R6" s="238" t="str" cm="1">
        <f t="array" aca="1" ref="R6" ca="1">IFERROR(INDEX(OFFSET(ADMIN!$J$1,0,0,R$2,ADMIN!$D$5*3),R$2,MATCH($A6,OFFSET(ADMIN!$J$1,0,0,1,ADMIN!$D$5*3),0)+1),"-")</f>
        <v>0/0</v>
      </c>
      <c r="S6" s="238" t="str" cm="1">
        <f t="array" aca="1" ref="S6" ca="1">IFERROR(INDEX(OFFSET(ADMIN!$J$1,0,0,S$2,ADMIN!$D$5*3),S$2,MATCH($A6,OFFSET(ADMIN!$J$1,0,0,1,ADMIN!$D$5*3),0)+1),"-")</f>
        <v>0/0</v>
      </c>
      <c r="T6" s="234"/>
    </row>
    <row r="7" spans="1:20" ht="15.95">
      <c r="A7" s="250">
        <f t="shared" si="0"/>
        <v>4</v>
      </c>
      <c r="B7" s="236">
        <f ca="1">IFERROR(HLOOKUP(A7,OFFSET(ADMIN!$J$1,0,0,3,ADMIN!$D$5*3),3,FALSE),"-")</f>
        <v>4</v>
      </c>
      <c r="C7" s="240" t="str">
        <f ca="1">IFERROR(HLOOKUP(A7,OFFSET(ADMIN!$J$1,0,0,5,ADMIN!$D$5*3),5,FALSE),"-")</f>
        <v>TONI</v>
      </c>
      <c r="D7" s="239">
        <f ca="1">IFERROR(HLOOKUP(A7,OFFSET(ADMIN!$J$1,0,0,5,ADMIN!$D$5*3),4,FALSE),"-")</f>
        <v>166</v>
      </c>
      <c r="E7" s="241" t="str" cm="1">
        <f t="array" aca="1" ref="E7" ca="1">IFERROR(INDEX(OFFSET(ADMIN!$J$1,0,0,E$2,ADMIN!$D$5*3),E$2,MATCH($A7,OFFSET(ADMIN!$J$1,0,0,1,ADMIN!$D$5*3),0)+1),"-")</f>
        <v>166/720</v>
      </c>
      <c r="F7" s="238" t="str" cm="1">
        <f t="array" aca="1" ref="F7" ca="1">IFERROR(INDEX(OFFSET(ADMIN!$J$1,0,0,F$2,ADMIN!$D$5*3),F$2,MATCH($A7,OFFSET(ADMIN!$J$1,0,0,1,ADMIN!$D$5*3),0)+1),"-")</f>
        <v>0/180</v>
      </c>
      <c r="G7" s="241" t="str" cm="1">
        <f t="array" aca="1" ref="G7" ca="1">IFERROR(INDEX(OFFSET(ADMIN!$J$1,0,0,G$2,ADMIN!$D$5*3),G$2,MATCH($A7,OFFSET(ADMIN!$J$1,0,0,1,ADMIN!$D$5*3),0)+1),"-")</f>
        <v>0/32</v>
      </c>
      <c r="H7" s="241" t="str" cm="1">
        <f t="array" aca="1" ref="H7" ca="1">IFERROR(INDEX(OFFSET(ADMIN!$J$1,0,0,H$2,ADMIN!$D$5*3),H$2,MATCH($A7,OFFSET(ADMIN!$J$1,0,0,1,ADMIN!$D$5*3),0)+1),"-")</f>
        <v>0/64</v>
      </c>
      <c r="I7" s="241" t="str" cm="1">
        <f t="array" aca="1" ref="I7" ca="1">IFERROR(INDEX(OFFSET(ADMIN!$J$1,0,0,I$2,ADMIN!$D$5*3),I$2,MATCH($A7,OFFSET(ADMIN!$J$1,0,0,1,ADMIN!$D$5*3),0)+1),"-")</f>
        <v>0/0</v>
      </c>
      <c r="J7" s="241" t="str" cm="1">
        <f t="array" aca="1" ref="J7" ca="1">IFERROR(INDEX(OFFSET(ADMIN!$J$1,0,0,J$2,ADMIN!$D$5*3),J$2,MATCH($A7,OFFSET(ADMIN!$J$1,0,0,1,ADMIN!$D$5*3),0)+1),"-")</f>
        <v>0/0</v>
      </c>
      <c r="K7" s="238" t="str" cm="1">
        <f t="array" aca="1" ref="K7" ca="1">IFERROR(INDEX(OFFSET(ADMIN!$J$1,0,0,K$2,ADMIN!$D$5*3),K$2,MATCH($A7,OFFSET(ADMIN!$J$1,0,0,1,ADMIN!$D$5*3),0)+1),"-")</f>
        <v>0/0</v>
      </c>
      <c r="L7" s="241" t="str" cm="1">
        <f t="array" aca="1" ref="L7" ca="1">IFERROR(INDEX(OFFSET(ADMIN!$J$1,0,0,L$2,ADMIN!$D$5*3),L$2,MATCH($A7,OFFSET(ADMIN!$J$1,0,0,1,ADMIN!$D$5*3),0)+1),"-")</f>
        <v>0/0</v>
      </c>
      <c r="M7" s="241" t="str" cm="1">
        <f t="array" aca="1" ref="M7" ca="1">IFERROR(INDEX(OFFSET(ADMIN!$J$1,0,0,M$2,ADMIN!$D$5*3),M$2,MATCH($A7,OFFSET(ADMIN!$J$1,0,0,1,ADMIN!$D$5*3),0)+1),"-")</f>
        <v>0/0</v>
      </c>
      <c r="N7" s="241" t="str" cm="1">
        <f t="array" aca="1" ref="N7" ca="1">IFERROR(INDEX(OFFSET(ADMIN!$J$1,0,0,N$2,ADMIN!$D$5*3),N$2,MATCH($A7,OFFSET(ADMIN!$J$1,0,0,1,ADMIN!$D$5*3),0)+1),"-")</f>
        <v>0/0</v>
      </c>
      <c r="O7" s="241" t="str" cm="1">
        <f t="array" aca="1" ref="O7" ca="1">IFERROR(INDEX(OFFSET(ADMIN!$J$1,0,0,O$2,ADMIN!$D$5*3),O$2,MATCH($A7,OFFSET(ADMIN!$J$1,0,0,1,ADMIN!$D$5*3),0)+1),"-")</f>
        <v>0/0</v>
      </c>
      <c r="P7" s="238" t="str" cm="1">
        <f t="array" aca="1" ref="P7" ca="1">IFERROR(INDEX(OFFSET(ADMIN!$J$1,0,0,P$2,ADMIN!$D$5*3),P$2,MATCH($A7,OFFSET(ADMIN!$J$1,0,0,1,ADMIN!$D$5*3),0)+1),"-")</f>
        <v>0/0</v>
      </c>
      <c r="Q7" s="241" t="str" cm="1">
        <f t="array" aca="1" ref="Q7" ca="1">IFERROR(INDEX(OFFSET(ADMIN!$J$1,0,0,Q$2,ADMIN!$D$5*3),Q$2,MATCH($A7,OFFSET(ADMIN!$J$1,0,0,1,ADMIN!$D$5*3),0)+1),"-")</f>
        <v>0/0</v>
      </c>
      <c r="R7" s="241" t="str" cm="1">
        <f t="array" aca="1" ref="R7" ca="1">IFERROR(INDEX(OFFSET(ADMIN!$J$1,0,0,R$2,ADMIN!$D$5*3),R$2,MATCH($A7,OFFSET(ADMIN!$J$1,0,0,1,ADMIN!$D$5*3),0)+1),"-")</f>
        <v>0/0</v>
      </c>
      <c r="S7" s="241" t="str" cm="1">
        <f t="array" aca="1" ref="S7" ca="1">IFERROR(INDEX(OFFSET(ADMIN!$J$1,0,0,S$2,ADMIN!$D$5*3),S$2,MATCH($A7,OFFSET(ADMIN!$J$1,0,0,1,ADMIN!$D$5*3),0)+1),"-")</f>
        <v>0/0</v>
      </c>
      <c r="T7" s="234"/>
    </row>
    <row r="8" spans="1:20" ht="15.95">
      <c r="A8" s="250">
        <f t="shared" si="0"/>
        <v>5</v>
      </c>
      <c r="B8" s="236">
        <f ca="1">IFERROR(HLOOKUP(A8,OFFSET(ADMIN!$J$1,0,0,3,ADMIN!$D$5*3),3,FALSE),"-")</f>
        <v>5</v>
      </c>
      <c r="C8" s="240" t="str">
        <f ca="1">IFERROR(HLOOKUP(A8,OFFSET(ADMIN!$J$1,0,0,5,ADMIN!$D$5*3),5,FALSE),"-")</f>
        <v>GUILLE</v>
      </c>
      <c r="D8" s="239">
        <f ca="1">IFERROR(HLOOKUP(A8,OFFSET(ADMIN!$J$1,0,0,5,ADMIN!$D$5*3),4,FALSE),"-")</f>
        <v>163</v>
      </c>
      <c r="E8" s="241" t="str" cm="1">
        <f t="array" aca="1" ref="E8" ca="1">IFERROR(INDEX(OFFSET(ADMIN!$J$1,0,0,E$2,ADMIN!$D$5*3),E$2,MATCH($A8,OFFSET(ADMIN!$J$1,0,0,1,ADMIN!$D$5*3),0)+1),"-")</f>
        <v>163/720</v>
      </c>
      <c r="F8" s="238" t="str" cm="1">
        <f t="array" aca="1" ref="F8" ca="1">IFERROR(INDEX(OFFSET(ADMIN!$J$1,0,0,F$2,ADMIN!$D$5*3),F$2,MATCH($A8,OFFSET(ADMIN!$J$1,0,0,1,ADMIN!$D$5*3),0)+1),"-")</f>
        <v>0/180</v>
      </c>
      <c r="G8" s="241" t="str" cm="1">
        <f t="array" aca="1" ref="G8" ca="1">IFERROR(INDEX(OFFSET(ADMIN!$J$1,0,0,G$2,ADMIN!$D$5*3),G$2,MATCH($A8,OFFSET(ADMIN!$J$1,0,0,1,ADMIN!$D$5*3),0)+1),"-")</f>
        <v>0/32</v>
      </c>
      <c r="H8" s="241" t="str" cm="1">
        <f t="array" aca="1" ref="H8" ca="1">IFERROR(INDEX(OFFSET(ADMIN!$J$1,0,0,H$2,ADMIN!$D$5*3),H$2,MATCH($A8,OFFSET(ADMIN!$J$1,0,0,1,ADMIN!$D$5*3),0)+1),"-")</f>
        <v>0/64</v>
      </c>
      <c r="I8" s="241" t="str" cm="1">
        <f t="array" aca="1" ref="I8" ca="1">IFERROR(INDEX(OFFSET(ADMIN!$J$1,0,0,I$2,ADMIN!$D$5*3),I$2,MATCH($A8,OFFSET(ADMIN!$J$1,0,0,1,ADMIN!$D$5*3),0)+1),"-")</f>
        <v>0/0</v>
      </c>
      <c r="J8" s="241" t="str" cm="1">
        <f t="array" aca="1" ref="J8" ca="1">IFERROR(INDEX(OFFSET(ADMIN!$J$1,0,0,J$2,ADMIN!$D$5*3),J$2,MATCH($A8,OFFSET(ADMIN!$J$1,0,0,1,ADMIN!$D$5*3),0)+1),"-")</f>
        <v>0/0</v>
      </c>
      <c r="K8" s="238" t="str" cm="1">
        <f t="array" aca="1" ref="K8" ca="1">IFERROR(INDEX(OFFSET(ADMIN!$J$1,0,0,K$2,ADMIN!$D$5*3),K$2,MATCH($A8,OFFSET(ADMIN!$J$1,0,0,1,ADMIN!$D$5*3),0)+1),"-")</f>
        <v>0/0</v>
      </c>
      <c r="L8" s="241" t="str" cm="1">
        <f t="array" aca="1" ref="L8" ca="1">IFERROR(INDEX(OFFSET(ADMIN!$J$1,0,0,L$2,ADMIN!$D$5*3),L$2,MATCH($A8,OFFSET(ADMIN!$J$1,0,0,1,ADMIN!$D$5*3),0)+1),"-")</f>
        <v>0/0</v>
      </c>
      <c r="M8" s="241" t="str" cm="1">
        <f t="array" aca="1" ref="M8" ca="1">IFERROR(INDEX(OFFSET(ADMIN!$J$1,0,0,M$2,ADMIN!$D$5*3),M$2,MATCH($A8,OFFSET(ADMIN!$J$1,0,0,1,ADMIN!$D$5*3),0)+1),"-")</f>
        <v>0/0</v>
      </c>
      <c r="N8" s="241" t="str" cm="1">
        <f t="array" aca="1" ref="N8" ca="1">IFERROR(INDEX(OFFSET(ADMIN!$J$1,0,0,N$2,ADMIN!$D$5*3),N$2,MATCH($A8,OFFSET(ADMIN!$J$1,0,0,1,ADMIN!$D$5*3),0)+1),"-")</f>
        <v>0/0</v>
      </c>
      <c r="O8" s="241" t="str" cm="1">
        <f t="array" aca="1" ref="O8" ca="1">IFERROR(INDEX(OFFSET(ADMIN!$J$1,0,0,O$2,ADMIN!$D$5*3),O$2,MATCH($A8,OFFSET(ADMIN!$J$1,0,0,1,ADMIN!$D$5*3),0)+1),"-")</f>
        <v>0/0</v>
      </c>
      <c r="P8" s="238" t="str" cm="1">
        <f t="array" aca="1" ref="P8" ca="1">IFERROR(INDEX(OFFSET(ADMIN!$J$1,0,0,P$2,ADMIN!$D$5*3),P$2,MATCH($A8,OFFSET(ADMIN!$J$1,0,0,1,ADMIN!$D$5*3),0)+1),"-")</f>
        <v>0/0</v>
      </c>
      <c r="Q8" s="241" t="str" cm="1">
        <f t="array" aca="1" ref="Q8" ca="1">IFERROR(INDEX(OFFSET(ADMIN!$J$1,0,0,Q$2,ADMIN!$D$5*3),Q$2,MATCH($A8,OFFSET(ADMIN!$J$1,0,0,1,ADMIN!$D$5*3),0)+1),"-")</f>
        <v>0/0</v>
      </c>
      <c r="R8" s="241" t="str" cm="1">
        <f t="array" aca="1" ref="R8" ca="1">IFERROR(INDEX(OFFSET(ADMIN!$J$1,0,0,R$2,ADMIN!$D$5*3),R$2,MATCH($A8,OFFSET(ADMIN!$J$1,0,0,1,ADMIN!$D$5*3),0)+1),"-")</f>
        <v>0/0</v>
      </c>
      <c r="S8" s="241" t="str" cm="1">
        <f t="array" aca="1" ref="S8" ca="1">IFERROR(INDEX(OFFSET(ADMIN!$J$1,0,0,S$2,ADMIN!$D$5*3),S$2,MATCH($A8,OFFSET(ADMIN!$J$1,0,0,1,ADMIN!$D$5*3),0)+1),"-")</f>
        <v>0/0</v>
      </c>
      <c r="T8" s="234"/>
    </row>
    <row r="9" spans="1:20" ht="15.95">
      <c r="A9" s="250">
        <f t="shared" si="0"/>
        <v>6</v>
      </c>
      <c r="B9" s="236">
        <f ca="1">IFERROR(HLOOKUP(A9,OFFSET(ADMIN!$J$1,0,0,3,ADMIN!$D$5*3),3,FALSE),"-")</f>
        <v>6</v>
      </c>
      <c r="C9" s="237" t="str">
        <f ca="1">IFERROR(HLOOKUP(A9,OFFSET(ADMIN!$J$1,0,0,5,ADMIN!$D$5*3),5,FALSE),"-")</f>
        <v>POTI</v>
      </c>
      <c r="D9" s="236">
        <f ca="1">IFERROR(HLOOKUP(A9,OFFSET(ADMIN!$J$1,0,0,5,ADMIN!$D$5*3),4,FALSE),"-")</f>
        <v>160</v>
      </c>
      <c r="E9" s="238" t="str" cm="1">
        <f t="array" aca="1" ref="E9" ca="1">IFERROR(INDEX(OFFSET(ADMIN!$J$1,0,0,E$2,ADMIN!$D$5*3),E$2,MATCH($A9,OFFSET(ADMIN!$J$1,0,0,1,ADMIN!$D$5*3),0)+1),"-")</f>
        <v>160/720</v>
      </c>
      <c r="F9" s="238" t="str" cm="1">
        <f t="array" aca="1" ref="F9" ca="1">IFERROR(INDEX(OFFSET(ADMIN!$J$1,0,0,F$2,ADMIN!$D$5*3),F$2,MATCH($A9,OFFSET(ADMIN!$J$1,0,0,1,ADMIN!$D$5*3),0)+1),"-")</f>
        <v>0/180</v>
      </c>
      <c r="G9" s="238" t="str" cm="1">
        <f t="array" aca="1" ref="G9" ca="1">IFERROR(INDEX(OFFSET(ADMIN!$J$1,0,0,G$2,ADMIN!$D$5*3),G$2,MATCH($A9,OFFSET(ADMIN!$J$1,0,0,1,ADMIN!$D$5*3),0)+1),"-")</f>
        <v>0/32</v>
      </c>
      <c r="H9" s="238" t="str" cm="1">
        <f t="array" aca="1" ref="H9" ca="1">IFERROR(INDEX(OFFSET(ADMIN!$J$1,0,0,H$2,ADMIN!$D$5*3),H$2,MATCH($A9,OFFSET(ADMIN!$J$1,0,0,1,ADMIN!$D$5*3),0)+1),"-")</f>
        <v>0/64</v>
      </c>
      <c r="I9" s="238" t="str" cm="1">
        <f t="array" aca="1" ref="I9" ca="1">IFERROR(INDEX(OFFSET(ADMIN!$J$1,0,0,I$2,ADMIN!$D$5*3),I$2,MATCH($A9,OFFSET(ADMIN!$J$1,0,0,1,ADMIN!$D$5*3),0)+1),"-")</f>
        <v>0/0</v>
      </c>
      <c r="J9" s="238" t="str" cm="1">
        <f t="array" aca="1" ref="J9" ca="1">IFERROR(INDEX(OFFSET(ADMIN!$J$1,0,0,J$2,ADMIN!$D$5*3),J$2,MATCH($A9,OFFSET(ADMIN!$J$1,0,0,1,ADMIN!$D$5*3),0)+1),"-")</f>
        <v>0/0</v>
      </c>
      <c r="K9" s="238" t="str" cm="1">
        <f t="array" aca="1" ref="K9" ca="1">IFERROR(INDEX(OFFSET(ADMIN!$J$1,0,0,K$2,ADMIN!$D$5*3),K$2,MATCH($A9,OFFSET(ADMIN!$J$1,0,0,1,ADMIN!$D$5*3),0)+1),"-")</f>
        <v>0/0</v>
      </c>
      <c r="L9" s="238" t="str" cm="1">
        <f t="array" aca="1" ref="L9" ca="1">IFERROR(INDEX(OFFSET(ADMIN!$J$1,0,0,L$2,ADMIN!$D$5*3),L$2,MATCH($A9,OFFSET(ADMIN!$J$1,0,0,1,ADMIN!$D$5*3),0)+1),"-")</f>
        <v>0/0</v>
      </c>
      <c r="M9" s="238" t="str" cm="1">
        <f t="array" aca="1" ref="M9" ca="1">IFERROR(INDEX(OFFSET(ADMIN!$J$1,0,0,M$2,ADMIN!$D$5*3),M$2,MATCH($A9,OFFSET(ADMIN!$J$1,0,0,1,ADMIN!$D$5*3),0)+1),"-")</f>
        <v>0/0</v>
      </c>
      <c r="N9" s="238" t="str" cm="1">
        <f t="array" aca="1" ref="N9" ca="1">IFERROR(INDEX(OFFSET(ADMIN!$J$1,0,0,N$2,ADMIN!$D$5*3),N$2,MATCH($A9,OFFSET(ADMIN!$J$1,0,0,1,ADMIN!$D$5*3),0)+1),"-")</f>
        <v>0/0</v>
      </c>
      <c r="O9" s="238" t="str" cm="1">
        <f t="array" aca="1" ref="O9" ca="1">IFERROR(INDEX(OFFSET(ADMIN!$J$1,0,0,O$2,ADMIN!$D$5*3),O$2,MATCH($A9,OFFSET(ADMIN!$J$1,0,0,1,ADMIN!$D$5*3),0)+1),"-")</f>
        <v>0/0</v>
      </c>
      <c r="P9" s="238" t="str" cm="1">
        <f t="array" aca="1" ref="P9" ca="1">IFERROR(INDEX(OFFSET(ADMIN!$J$1,0,0,P$2,ADMIN!$D$5*3),P$2,MATCH($A9,OFFSET(ADMIN!$J$1,0,0,1,ADMIN!$D$5*3),0)+1),"-")</f>
        <v>0/0</v>
      </c>
      <c r="Q9" s="238" t="str" cm="1">
        <f t="array" aca="1" ref="Q9" ca="1">IFERROR(INDEX(OFFSET(ADMIN!$J$1,0,0,Q$2,ADMIN!$D$5*3),Q$2,MATCH($A9,OFFSET(ADMIN!$J$1,0,0,1,ADMIN!$D$5*3),0)+1),"-")</f>
        <v>0/0</v>
      </c>
      <c r="R9" s="238" t="str" cm="1">
        <f t="array" aca="1" ref="R9" ca="1">IFERROR(INDEX(OFFSET(ADMIN!$J$1,0,0,R$2,ADMIN!$D$5*3),R$2,MATCH($A9,OFFSET(ADMIN!$J$1,0,0,1,ADMIN!$D$5*3),0)+1),"-")</f>
        <v>0/0</v>
      </c>
      <c r="S9" s="238" t="str" cm="1">
        <f t="array" aca="1" ref="S9" ca="1">IFERROR(INDEX(OFFSET(ADMIN!$J$1,0,0,S$2,ADMIN!$D$5*3),S$2,MATCH($A9,OFFSET(ADMIN!$J$1,0,0,1,ADMIN!$D$5*3),0)+1),"-")</f>
        <v>0/0</v>
      </c>
      <c r="T9" s="234"/>
    </row>
    <row r="10" spans="1:20" ht="15.95">
      <c r="A10" s="250">
        <f t="shared" si="0"/>
        <v>7</v>
      </c>
      <c r="B10" s="236">
        <f ca="1">IFERROR(HLOOKUP(A10,OFFSET(ADMIN!$J$1,0,0,3,ADMIN!$D$5*3),3,FALSE),"-")</f>
        <v>7</v>
      </c>
      <c r="C10" s="237" t="str">
        <f ca="1">IFERROR(HLOOKUP(A10,OFFSET(ADMIN!$J$1,0,0,5,ADMIN!$D$5*3),5,FALSE),"-")</f>
        <v>PEPE</v>
      </c>
      <c r="D10" s="236">
        <f ca="1">IFERROR(HLOOKUP(A10,OFFSET(ADMIN!$J$1,0,0,5,ADMIN!$D$5*3),4,FALSE),"-")</f>
        <v>158</v>
      </c>
      <c r="E10" s="238" t="str" cm="1">
        <f t="array" aca="1" ref="E10" ca="1">IFERROR(INDEX(OFFSET(ADMIN!$J$1,0,0,E$2,ADMIN!$D$5*3),E$2,MATCH($A10,OFFSET(ADMIN!$J$1,0,0,1,ADMIN!$D$5*3),0)+1),"-")</f>
        <v>158/720</v>
      </c>
      <c r="F10" s="238" t="str" cm="1">
        <f t="array" aca="1" ref="F10" ca="1">IFERROR(INDEX(OFFSET(ADMIN!$J$1,0,0,F$2,ADMIN!$D$5*3),F$2,MATCH($A10,OFFSET(ADMIN!$J$1,0,0,1,ADMIN!$D$5*3),0)+1),"-")</f>
        <v>0/180</v>
      </c>
      <c r="G10" s="238" t="str" cm="1">
        <f t="array" aca="1" ref="G10" ca="1">IFERROR(INDEX(OFFSET(ADMIN!$J$1,0,0,G$2,ADMIN!$D$5*3),G$2,MATCH($A10,OFFSET(ADMIN!$J$1,0,0,1,ADMIN!$D$5*3),0)+1),"-")</f>
        <v>0/32</v>
      </c>
      <c r="H10" s="238" t="str" cm="1">
        <f t="array" aca="1" ref="H10" ca="1">IFERROR(INDEX(OFFSET(ADMIN!$J$1,0,0,H$2,ADMIN!$D$5*3),H$2,MATCH($A10,OFFSET(ADMIN!$J$1,0,0,1,ADMIN!$D$5*3),0)+1),"-")</f>
        <v>0/64</v>
      </c>
      <c r="I10" s="238" t="str" cm="1">
        <f t="array" aca="1" ref="I10" ca="1">IFERROR(INDEX(OFFSET(ADMIN!$J$1,0,0,I$2,ADMIN!$D$5*3),I$2,MATCH($A10,OFFSET(ADMIN!$J$1,0,0,1,ADMIN!$D$5*3),0)+1),"-")</f>
        <v>0/0</v>
      </c>
      <c r="J10" s="238" t="str" cm="1">
        <f t="array" aca="1" ref="J10" ca="1">IFERROR(INDEX(OFFSET(ADMIN!$J$1,0,0,J$2,ADMIN!$D$5*3),J$2,MATCH($A10,OFFSET(ADMIN!$J$1,0,0,1,ADMIN!$D$5*3),0)+1),"-")</f>
        <v>0/0</v>
      </c>
      <c r="K10" s="238" t="str" cm="1">
        <f t="array" aca="1" ref="K10" ca="1">IFERROR(INDEX(OFFSET(ADMIN!$J$1,0,0,K$2,ADMIN!$D$5*3),K$2,MATCH($A10,OFFSET(ADMIN!$J$1,0,0,1,ADMIN!$D$5*3),0)+1),"-")</f>
        <v>0/0</v>
      </c>
      <c r="L10" s="238" t="str" cm="1">
        <f t="array" aca="1" ref="L10" ca="1">IFERROR(INDEX(OFFSET(ADMIN!$J$1,0,0,L$2,ADMIN!$D$5*3),L$2,MATCH($A10,OFFSET(ADMIN!$J$1,0,0,1,ADMIN!$D$5*3),0)+1),"-")</f>
        <v>0/0</v>
      </c>
      <c r="M10" s="238" t="str" cm="1">
        <f t="array" aca="1" ref="M10" ca="1">IFERROR(INDEX(OFFSET(ADMIN!$J$1,0,0,M$2,ADMIN!$D$5*3),M$2,MATCH($A10,OFFSET(ADMIN!$J$1,0,0,1,ADMIN!$D$5*3),0)+1),"-")</f>
        <v>0/0</v>
      </c>
      <c r="N10" s="238" t="str" cm="1">
        <f t="array" aca="1" ref="N10" ca="1">IFERROR(INDEX(OFFSET(ADMIN!$J$1,0,0,N$2,ADMIN!$D$5*3),N$2,MATCH($A10,OFFSET(ADMIN!$J$1,0,0,1,ADMIN!$D$5*3),0)+1),"-")</f>
        <v>0/0</v>
      </c>
      <c r="O10" s="238" t="str" cm="1">
        <f t="array" aca="1" ref="O10" ca="1">IFERROR(INDEX(OFFSET(ADMIN!$J$1,0,0,O$2,ADMIN!$D$5*3),O$2,MATCH($A10,OFFSET(ADMIN!$J$1,0,0,1,ADMIN!$D$5*3),0)+1),"-")</f>
        <v>0/0</v>
      </c>
      <c r="P10" s="238" t="str" cm="1">
        <f t="array" aca="1" ref="P10" ca="1">IFERROR(INDEX(OFFSET(ADMIN!$J$1,0,0,P$2,ADMIN!$D$5*3),P$2,MATCH($A10,OFFSET(ADMIN!$J$1,0,0,1,ADMIN!$D$5*3),0)+1),"-")</f>
        <v>0/0</v>
      </c>
      <c r="Q10" s="238" t="str" cm="1">
        <f t="array" aca="1" ref="Q10" ca="1">IFERROR(INDEX(OFFSET(ADMIN!$J$1,0,0,Q$2,ADMIN!$D$5*3),Q$2,MATCH($A10,OFFSET(ADMIN!$J$1,0,0,1,ADMIN!$D$5*3),0)+1),"-")</f>
        <v>0/0</v>
      </c>
      <c r="R10" s="238" t="str" cm="1">
        <f t="array" aca="1" ref="R10" ca="1">IFERROR(INDEX(OFFSET(ADMIN!$J$1,0,0,R$2,ADMIN!$D$5*3),R$2,MATCH($A10,OFFSET(ADMIN!$J$1,0,0,1,ADMIN!$D$5*3),0)+1),"-")</f>
        <v>0/0</v>
      </c>
      <c r="S10" s="238" t="str" cm="1">
        <f t="array" aca="1" ref="S10" ca="1">IFERROR(INDEX(OFFSET(ADMIN!$J$1,0,0,S$2,ADMIN!$D$5*3),S$2,MATCH($A10,OFFSET(ADMIN!$J$1,0,0,1,ADMIN!$D$5*3),0)+1),"-")</f>
        <v>0/0</v>
      </c>
      <c r="T10" s="234"/>
    </row>
    <row r="11" spans="1:20" ht="15.95">
      <c r="A11" s="250">
        <f t="shared" si="0"/>
        <v>8</v>
      </c>
      <c r="B11" s="236">
        <f ca="1">IFERROR(HLOOKUP(A11,OFFSET(ADMIN!$J$1,0,0,3,ADMIN!$D$5*3),3,FALSE),"-")</f>
        <v>7</v>
      </c>
      <c r="C11" s="237" t="str">
        <f ca="1">IFERROR(HLOOKUP(A11,OFFSET(ADMIN!$J$1,0,0,5,ADMIN!$D$5*3),5,FALSE),"-")</f>
        <v>PERICO</v>
      </c>
      <c r="D11" s="236">
        <f ca="1">IFERROR(HLOOKUP(A11,OFFSET(ADMIN!$J$1,0,0,5,ADMIN!$D$5*3),4,FALSE),"-")</f>
        <v>158</v>
      </c>
      <c r="E11" s="238" t="str" cm="1">
        <f t="array" aca="1" ref="E11" ca="1">IFERROR(INDEX(OFFSET(ADMIN!$J$1,0,0,E$2,ADMIN!$D$5*3),E$2,MATCH($A11,OFFSET(ADMIN!$J$1,0,0,1,ADMIN!$D$5*3),0)+1),"-")</f>
        <v>158/720</v>
      </c>
      <c r="F11" s="238" t="str" cm="1">
        <f t="array" aca="1" ref="F11" ca="1">IFERROR(INDEX(OFFSET(ADMIN!$J$1,0,0,F$2,ADMIN!$D$5*3),F$2,MATCH($A11,OFFSET(ADMIN!$J$1,0,0,1,ADMIN!$D$5*3),0)+1),"-")</f>
        <v>0/180</v>
      </c>
      <c r="G11" s="238" t="str" cm="1">
        <f t="array" aca="1" ref="G11" ca="1">IFERROR(INDEX(OFFSET(ADMIN!$J$1,0,0,G$2,ADMIN!$D$5*3),G$2,MATCH($A11,OFFSET(ADMIN!$J$1,0,0,1,ADMIN!$D$5*3),0)+1),"-")</f>
        <v>0/32</v>
      </c>
      <c r="H11" s="238" t="str" cm="1">
        <f t="array" aca="1" ref="H11" ca="1">IFERROR(INDEX(OFFSET(ADMIN!$J$1,0,0,H$2,ADMIN!$D$5*3),H$2,MATCH($A11,OFFSET(ADMIN!$J$1,0,0,1,ADMIN!$D$5*3),0)+1),"-")</f>
        <v>0/64</v>
      </c>
      <c r="I11" s="238" t="str" cm="1">
        <f t="array" aca="1" ref="I11" ca="1">IFERROR(INDEX(OFFSET(ADMIN!$J$1,0,0,I$2,ADMIN!$D$5*3),I$2,MATCH($A11,OFFSET(ADMIN!$J$1,0,0,1,ADMIN!$D$5*3),0)+1),"-")</f>
        <v>0/0</v>
      </c>
      <c r="J11" s="238" t="str" cm="1">
        <f t="array" aca="1" ref="J11" ca="1">IFERROR(INDEX(OFFSET(ADMIN!$J$1,0,0,J$2,ADMIN!$D$5*3),J$2,MATCH($A11,OFFSET(ADMIN!$J$1,0,0,1,ADMIN!$D$5*3),0)+1),"-")</f>
        <v>0/0</v>
      </c>
      <c r="K11" s="238" t="str" cm="1">
        <f t="array" aca="1" ref="K11" ca="1">IFERROR(INDEX(OFFSET(ADMIN!$J$1,0,0,K$2,ADMIN!$D$5*3),K$2,MATCH($A11,OFFSET(ADMIN!$J$1,0,0,1,ADMIN!$D$5*3),0)+1),"-")</f>
        <v>0/0</v>
      </c>
      <c r="L11" s="238" t="str" cm="1">
        <f t="array" aca="1" ref="L11" ca="1">IFERROR(INDEX(OFFSET(ADMIN!$J$1,0,0,L$2,ADMIN!$D$5*3),L$2,MATCH($A11,OFFSET(ADMIN!$J$1,0,0,1,ADMIN!$D$5*3),0)+1),"-")</f>
        <v>0/0</v>
      </c>
      <c r="M11" s="238" t="str" cm="1">
        <f t="array" aca="1" ref="M11" ca="1">IFERROR(INDEX(OFFSET(ADMIN!$J$1,0,0,M$2,ADMIN!$D$5*3),M$2,MATCH($A11,OFFSET(ADMIN!$J$1,0,0,1,ADMIN!$D$5*3),0)+1),"-")</f>
        <v>0/0</v>
      </c>
      <c r="N11" s="238" t="str" cm="1">
        <f t="array" aca="1" ref="N11" ca="1">IFERROR(INDEX(OFFSET(ADMIN!$J$1,0,0,N$2,ADMIN!$D$5*3),N$2,MATCH($A11,OFFSET(ADMIN!$J$1,0,0,1,ADMIN!$D$5*3),0)+1),"-")</f>
        <v>0/0</v>
      </c>
      <c r="O11" s="238" t="str" cm="1">
        <f t="array" aca="1" ref="O11" ca="1">IFERROR(INDEX(OFFSET(ADMIN!$J$1,0,0,O$2,ADMIN!$D$5*3),O$2,MATCH($A11,OFFSET(ADMIN!$J$1,0,0,1,ADMIN!$D$5*3),0)+1),"-")</f>
        <v>0/0</v>
      </c>
      <c r="P11" s="238" t="str" cm="1">
        <f t="array" aca="1" ref="P11" ca="1">IFERROR(INDEX(OFFSET(ADMIN!$J$1,0,0,P$2,ADMIN!$D$5*3),P$2,MATCH($A11,OFFSET(ADMIN!$J$1,0,0,1,ADMIN!$D$5*3),0)+1),"-")</f>
        <v>0/0</v>
      </c>
      <c r="Q11" s="238" t="str" cm="1">
        <f t="array" aca="1" ref="Q11" ca="1">IFERROR(INDEX(OFFSET(ADMIN!$J$1,0,0,Q$2,ADMIN!$D$5*3),Q$2,MATCH($A11,OFFSET(ADMIN!$J$1,0,0,1,ADMIN!$D$5*3),0)+1),"-")</f>
        <v>0/0</v>
      </c>
      <c r="R11" s="238" t="str" cm="1">
        <f t="array" aca="1" ref="R11" ca="1">IFERROR(INDEX(OFFSET(ADMIN!$J$1,0,0,R$2,ADMIN!$D$5*3),R$2,MATCH($A11,OFFSET(ADMIN!$J$1,0,0,1,ADMIN!$D$5*3),0)+1),"-")</f>
        <v>0/0</v>
      </c>
      <c r="S11" s="238" t="str" cm="1">
        <f t="array" aca="1" ref="S11" ca="1">IFERROR(INDEX(OFFSET(ADMIN!$J$1,0,0,S$2,ADMIN!$D$5*3),S$2,MATCH($A11,OFFSET(ADMIN!$J$1,0,0,1,ADMIN!$D$5*3),0)+1),"-")</f>
        <v>0/0</v>
      </c>
      <c r="T11" s="234"/>
    </row>
    <row r="12" spans="1:20" ht="15.95">
      <c r="A12" s="250">
        <f t="shared" si="0"/>
        <v>9</v>
      </c>
      <c r="B12" s="236">
        <f ca="1">IFERROR(HLOOKUP(A12,OFFSET(ADMIN!$J$1,0,0,3,ADMIN!$D$5*3),3,FALSE),"-")</f>
        <v>9</v>
      </c>
      <c r="C12" s="240" t="str">
        <f ca="1">IFERROR(HLOOKUP(A12,OFFSET(ADMIN!$J$1,0,0,5,ADMIN!$D$5*3),5,FALSE),"-")</f>
        <v>CLAU</v>
      </c>
      <c r="D12" s="239">
        <f ca="1">IFERROR(HLOOKUP(A12,OFFSET(ADMIN!$J$1,0,0,5,ADMIN!$D$5*3),4,FALSE),"-")</f>
        <v>155</v>
      </c>
      <c r="E12" s="241" t="str" cm="1">
        <f t="array" aca="1" ref="E12" ca="1">IFERROR(INDEX(OFFSET(ADMIN!$J$1,0,0,E$2,ADMIN!$D$5*3),E$2,MATCH($A12,OFFSET(ADMIN!$J$1,0,0,1,ADMIN!$D$5*3),0)+1),"-")</f>
        <v>155/720</v>
      </c>
      <c r="F12" s="238" t="str" cm="1">
        <f t="array" aca="1" ref="F12" ca="1">IFERROR(INDEX(OFFSET(ADMIN!$J$1,0,0,F$2,ADMIN!$D$5*3),F$2,MATCH($A12,OFFSET(ADMIN!$J$1,0,0,1,ADMIN!$D$5*3),0)+1),"-")</f>
        <v>0/180</v>
      </c>
      <c r="G12" s="241" t="str" cm="1">
        <f t="array" aca="1" ref="G12" ca="1">IFERROR(INDEX(OFFSET(ADMIN!$J$1,0,0,G$2,ADMIN!$D$5*3),G$2,MATCH($A12,OFFSET(ADMIN!$J$1,0,0,1,ADMIN!$D$5*3),0)+1),"-")</f>
        <v>0/32</v>
      </c>
      <c r="H12" s="241" t="str" cm="1">
        <f t="array" aca="1" ref="H12" ca="1">IFERROR(INDEX(OFFSET(ADMIN!$J$1,0,0,H$2,ADMIN!$D$5*3),H$2,MATCH($A12,OFFSET(ADMIN!$J$1,0,0,1,ADMIN!$D$5*3),0)+1),"-")</f>
        <v>0/64</v>
      </c>
      <c r="I12" s="241" t="str" cm="1">
        <f t="array" aca="1" ref="I12" ca="1">IFERROR(INDEX(OFFSET(ADMIN!$J$1,0,0,I$2,ADMIN!$D$5*3),I$2,MATCH($A12,OFFSET(ADMIN!$J$1,0,0,1,ADMIN!$D$5*3),0)+1),"-")</f>
        <v>0/0</v>
      </c>
      <c r="J12" s="241" t="str" cm="1">
        <f t="array" aca="1" ref="J12" ca="1">IFERROR(INDEX(OFFSET(ADMIN!$J$1,0,0,J$2,ADMIN!$D$5*3),J$2,MATCH($A12,OFFSET(ADMIN!$J$1,0,0,1,ADMIN!$D$5*3),0)+1),"-")</f>
        <v>0/0</v>
      </c>
      <c r="K12" s="238" t="str" cm="1">
        <f t="array" aca="1" ref="K12" ca="1">IFERROR(INDEX(OFFSET(ADMIN!$J$1,0,0,K$2,ADMIN!$D$5*3),K$2,MATCH($A12,OFFSET(ADMIN!$J$1,0,0,1,ADMIN!$D$5*3),0)+1),"-")</f>
        <v>0/0</v>
      </c>
      <c r="L12" s="241" t="str" cm="1">
        <f t="array" aca="1" ref="L12" ca="1">IFERROR(INDEX(OFFSET(ADMIN!$J$1,0,0,L$2,ADMIN!$D$5*3),L$2,MATCH($A12,OFFSET(ADMIN!$J$1,0,0,1,ADMIN!$D$5*3),0)+1),"-")</f>
        <v>0/0</v>
      </c>
      <c r="M12" s="241" t="str" cm="1">
        <f t="array" aca="1" ref="M12" ca="1">IFERROR(INDEX(OFFSET(ADMIN!$J$1,0,0,M$2,ADMIN!$D$5*3),M$2,MATCH($A12,OFFSET(ADMIN!$J$1,0,0,1,ADMIN!$D$5*3),0)+1),"-")</f>
        <v>0/0</v>
      </c>
      <c r="N12" s="241" t="str" cm="1">
        <f t="array" aca="1" ref="N12" ca="1">IFERROR(INDEX(OFFSET(ADMIN!$J$1,0,0,N$2,ADMIN!$D$5*3),N$2,MATCH($A12,OFFSET(ADMIN!$J$1,0,0,1,ADMIN!$D$5*3),0)+1),"-")</f>
        <v>0/0</v>
      </c>
      <c r="O12" s="241" t="str" cm="1">
        <f t="array" aca="1" ref="O12" ca="1">IFERROR(INDEX(OFFSET(ADMIN!$J$1,0,0,O$2,ADMIN!$D$5*3),O$2,MATCH($A12,OFFSET(ADMIN!$J$1,0,0,1,ADMIN!$D$5*3),0)+1),"-")</f>
        <v>0/0</v>
      </c>
      <c r="P12" s="238" t="str" cm="1">
        <f t="array" aca="1" ref="P12" ca="1">IFERROR(INDEX(OFFSET(ADMIN!$J$1,0,0,P$2,ADMIN!$D$5*3),P$2,MATCH($A12,OFFSET(ADMIN!$J$1,0,0,1,ADMIN!$D$5*3),0)+1),"-")</f>
        <v>0/0</v>
      </c>
      <c r="Q12" s="241" t="str" cm="1">
        <f t="array" aca="1" ref="Q12" ca="1">IFERROR(INDEX(OFFSET(ADMIN!$J$1,0,0,Q$2,ADMIN!$D$5*3),Q$2,MATCH($A12,OFFSET(ADMIN!$J$1,0,0,1,ADMIN!$D$5*3),0)+1),"-")</f>
        <v>0/0</v>
      </c>
      <c r="R12" s="241" t="str" cm="1">
        <f t="array" aca="1" ref="R12" ca="1">IFERROR(INDEX(OFFSET(ADMIN!$J$1,0,0,R$2,ADMIN!$D$5*3),R$2,MATCH($A12,OFFSET(ADMIN!$J$1,0,0,1,ADMIN!$D$5*3),0)+1),"-")</f>
        <v>0/0</v>
      </c>
      <c r="S12" s="241" t="str" cm="1">
        <f t="array" aca="1" ref="S12" ca="1">IFERROR(INDEX(OFFSET(ADMIN!$J$1,0,0,S$2,ADMIN!$D$5*3),S$2,MATCH($A12,OFFSET(ADMIN!$J$1,0,0,1,ADMIN!$D$5*3),0)+1),"-")</f>
        <v>0/0</v>
      </c>
      <c r="T12" s="234"/>
    </row>
    <row r="13" spans="1:20" ht="15.95">
      <c r="A13" s="250">
        <f t="shared" si="0"/>
        <v>10</v>
      </c>
      <c r="B13" s="236">
        <f ca="1">IFERROR(HLOOKUP(A13,OFFSET(ADMIN!$J$1,0,0,3,ADMIN!$D$5*3),3,FALSE),"-")</f>
        <v>10</v>
      </c>
      <c r="C13" s="240" t="str">
        <f ca="1">IFERROR(HLOOKUP(A13,OFFSET(ADMIN!$J$1,0,0,5,ADMIN!$D$5*3),5,FALSE),"-")</f>
        <v>CHARLY</v>
      </c>
      <c r="D13" s="239">
        <f ca="1">IFERROR(HLOOKUP(A13,OFFSET(ADMIN!$J$1,0,0,5,ADMIN!$D$5*3),4,FALSE),"-")</f>
        <v>153</v>
      </c>
      <c r="E13" s="241" t="str" cm="1">
        <f t="array" aca="1" ref="E13" ca="1">IFERROR(INDEX(OFFSET(ADMIN!$J$1,0,0,E$2,ADMIN!$D$5*3),E$2,MATCH($A13,OFFSET(ADMIN!$J$1,0,0,1,ADMIN!$D$5*3),0)+1),"-")</f>
        <v>153/720</v>
      </c>
      <c r="F13" s="238" t="str" cm="1">
        <f t="array" aca="1" ref="F13" ca="1">IFERROR(INDEX(OFFSET(ADMIN!$J$1,0,0,F$2,ADMIN!$D$5*3),F$2,MATCH($A13,OFFSET(ADMIN!$J$1,0,0,1,ADMIN!$D$5*3),0)+1),"-")</f>
        <v>0/180</v>
      </c>
      <c r="G13" s="241" t="str" cm="1">
        <f t="array" aca="1" ref="G13" ca="1">IFERROR(INDEX(OFFSET(ADMIN!$J$1,0,0,G$2,ADMIN!$D$5*3),G$2,MATCH($A13,OFFSET(ADMIN!$J$1,0,0,1,ADMIN!$D$5*3),0)+1),"-")</f>
        <v>0/32</v>
      </c>
      <c r="H13" s="241" t="str" cm="1">
        <f t="array" aca="1" ref="H13" ca="1">IFERROR(INDEX(OFFSET(ADMIN!$J$1,0,0,H$2,ADMIN!$D$5*3),H$2,MATCH($A13,OFFSET(ADMIN!$J$1,0,0,1,ADMIN!$D$5*3),0)+1),"-")</f>
        <v>0/64</v>
      </c>
      <c r="I13" s="241" t="str" cm="1">
        <f t="array" aca="1" ref="I13" ca="1">IFERROR(INDEX(OFFSET(ADMIN!$J$1,0,0,I$2,ADMIN!$D$5*3),I$2,MATCH($A13,OFFSET(ADMIN!$J$1,0,0,1,ADMIN!$D$5*3),0)+1),"-")</f>
        <v>0/0</v>
      </c>
      <c r="J13" s="241" t="str" cm="1">
        <f t="array" aca="1" ref="J13" ca="1">IFERROR(INDEX(OFFSET(ADMIN!$J$1,0,0,J$2,ADMIN!$D$5*3),J$2,MATCH($A13,OFFSET(ADMIN!$J$1,0,0,1,ADMIN!$D$5*3),0)+1),"-")</f>
        <v>0/0</v>
      </c>
      <c r="K13" s="238" t="str" cm="1">
        <f t="array" aca="1" ref="K13" ca="1">IFERROR(INDEX(OFFSET(ADMIN!$J$1,0,0,K$2,ADMIN!$D$5*3),K$2,MATCH($A13,OFFSET(ADMIN!$J$1,0,0,1,ADMIN!$D$5*3),0)+1),"-")</f>
        <v>0/0</v>
      </c>
      <c r="L13" s="241" t="str" cm="1">
        <f t="array" aca="1" ref="L13" ca="1">IFERROR(INDEX(OFFSET(ADMIN!$J$1,0,0,L$2,ADMIN!$D$5*3),L$2,MATCH($A13,OFFSET(ADMIN!$J$1,0,0,1,ADMIN!$D$5*3),0)+1),"-")</f>
        <v>0/0</v>
      </c>
      <c r="M13" s="241" t="str" cm="1">
        <f t="array" aca="1" ref="M13" ca="1">IFERROR(INDEX(OFFSET(ADMIN!$J$1,0,0,M$2,ADMIN!$D$5*3),M$2,MATCH($A13,OFFSET(ADMIN!$J$1,0,0,1,ADMIN!$D$5*3),0)+1),"-")</f>
        <v>0/0</v>
      </c>
      <c r="N13" s="241" t="str" cm="1">
        <f t="array" aca="1" ref="N13" ca="1">IFERROR(INDEX(OFFSET(ADMIN!$J$1,0,0,N$2,ADMIN!$D$5*3),N$2,MATCH($A13,OFFSET(ADMIN!$J$1,0,0,1,ADMIN!$D$5*3),0)+1),"-")</f>
        <v>0/0</v>
      </c>
      <c r="O13" s="241" t="str" cm="1">
        <f t="array" aca="1" ref="O13" ca="1">IFERROR(INDEX(OFFSET(ADMIN!$J$1,0,0,O$2,ADMIN!$D$5*3),O$2,MATCH($A13,OFFSET(ADMIN!$J$1,0,0,1,ADMIN!$D$5*3),0)+1),"-")</f>
        <v>0/0</v>
      </c>
      <c r="P13" s="238" t="str" cm="1">
        <f t="array" aca="1" ref="P13" ca="1">IFERROR(INDEX(OFFSET(ADMIN!$J$1,0,0,P$2,ADMIN!$D$5*3),P$2,MATCH($A13,OFFSET(ADMIN!$J$1,0,0,1,ADMIN!$D$5*3),0)+1),"-")</f>
        <v>0/0</v>
      </c>
      <c r="Q13" s="241" t="str" cm="1">
        <f t="array" aca="1" ref="Q13" ca="1">IFERROR(INDEX(OFFSET(ADMIN!$J$1,0,0,Q$2,ADMIN!$D$5*3),Q$2,MATCH($A13,OFFSET(ADMIN!$J$1,0,0,1,ADMIN!$D$5*3),0)+1),"-")</f>
        <v>0/0</v>
      </c>
      <c r="R13" s="241" t="str" cm="1">
        <f t="array" aca="1" ref="R13" ca="1">IFERROR(INDEX(OFFSET(ADMIN!$J$1,0,0,R$2,ADMIN!$D$5*3),R$2,MATCH($A13,OFFSET(ADMIN!$J$1,0,0,1,ADMIN!$D$5*3),0)+1),"-")</f>
        <v>0/0</v>
      </c>
      <c r="S13" s="241" t="str" cm="1">
        <f t="array" aca="1" ref="S13" ca="1">IFERROR(INDEX(OFFSET(ADMIN!$J$1,0,0,S$2,ADMIN!$D$5*3),S$2,MATCH($A13,OFFSET(ADMIN!$J$1,0,0,1,ADMIN!$D$5*3),0)+1),"-")</f>
        <v>0/0</v>
      </c>
      <c r="T13" s="234"/>
    </row>
    <row r="14" spans="1:20" ht="15.95">
      <c r="A14" s="250">
        <f t="shared" si="0"/>
        <v>11</v>
      </c>
      <c r="B14" s="236">
        <f ca="1">IFERROR(HLOOKUP(A14,OFFSET(ADMIN!$J$1,0,0,3,ADMIN!$D$5*3),3,FALSE),"-")</f>
        <v>10</v>
      </c>
      <c r="C14" s="237" t="str">
        <f ca="1">IFERROR(HLOOKUP(A14,OFFSET(ADMIN!$J$1,0,0,5,ADMIN!$D$5*3),5,FALSE),"-")</f>
        <v>PILAR</v>
      </c>
      <c r="D14" s="236">
        <f ca="1">IFERROR(HLOOKUP(A14,OFFSET(ADMIN!$J$1,0,0,5,ADMIN!$D$5*3),4,FALSE),"-")</f>
        <v>153</v>
      </c>
      <c r="E14" s="238" t="str" cm="1">
        <f t="array" aca="1" ref="E14" ca="1">IFERROR(INDEX(OFFSET(ADMIN!$J$1,0,0,E$2,ADMIN!$D$5*3),E$2,MATCH($A14,OFFSET(ADMIN!$J$1,0,0,1,ADMIN!$D$5*3),0)+1),"-")</f>
        <v>153/720</v>
      </c>
      <c r="F14" s="238" t="str" cm="1">
        <f t="array" aca="1" ref="F14" ca="1">IFERROR(INDEX(OFFSET(ADMIN!$J$1,0,0,F$2,ADMIN!$D$5*3),F$2,MATCH($A14,OFFSET(ADMIN!$J$1,0,0,1,ADMIN!$D$5*3),0)+1),"-")</f>
        <v>0/180</v>
      </c>
      <c r="G14" s="238" t="str" cm="1">
        <f t="array" aca="1" ref="G14" ca="1">IFERROR(INDEX(OFFSET(ADMIN!$J$1,0,0,G$2,ADMIN!$D$5*3),G$2,MATCH($A14,OFFSET(ADMIN!$J$1,0,0,1,ADMIN!$D$5*3),0)+1),"-")</f>
        <v>0/32</v>
      </c>
      <c r="H14" s="238" t="str" cm="1">
        <f t="array" aca="1" ref="H14" ca="1">IFERROR(INDEX(OFFSET(ADMIN!$J$1,0,0,H$2,ADMIN!$D$5*3),H$2,MATCH($A14,OFFSET(ADMIN!$J$1,0,0,1,ADMIN!$D$5*3),0)+1),"-")</f>
        <v>0/64</v>
      </c>
      <c r="I14" s="238" t="str" cm="1">
        <f t="array" aca="1" ref="I14" ca="1">IFERROR(INDEX(OFFSET(ADMIN!$J$1,0,0,I$2,ADMIN!$D$5*3),I$2,MATCH($A14,OFFSET(ADMIN!$J$1,0,0,1,ADMIN!$D$5*3),0)+1),"-")</f>
        <v>0/0</v>
      </c>
      <c r="J14" s="238" t="str" cm="1">
        <f t="array" aca="1" ref="J14" ca="1">IFERROR(INDEX(OFFSET(ADMIN!$J$1,0,0,J$2,ADMIN!$D$5*3),J$2,MATCH($A14,OFFSET(ADMIN!$J$1,0,0,1,ADMIN!$D$5*3),0)+1),"-")</f>
        <v>0/0</v>
      </c>
      <c r="K14" s="238" t="str" cm="1">
        <f t="array" aca="1" ref="K14" ca="1">IFERROR(INDEX(OFFSET(ADMIN!$J$1,0,0,K$2,ADMIN!$D$5*3),K$2,MATCH($A14,OFFSET(ADMIN!$J$1,0,0,1,ADMIN!$D$5*3),0)+1),"-")</f>
        <v>0/0</v>
      </c>
      <c r="L14" s="238" t="str" cm="1">
        <f t="array" aca="1" ref="L14" ca="1">IFERROR(INDEX(OFFSET(ADMIN!$J$1,0,0,L$2,ADMIN!$D$5*3),L$2,MATCH($A14,OFFSET(ADMIN!$J$1,0,0,1,ADMIN!$D$5*3),0)+1),"-")</f>
        <v>0/0</v>
      </c>
      <c r="M14" s="238" t="str" cm="1">
        <f t="array" aca="1" ref="M14" ca="1">IFERROR(INDEX(OFFSET(ADMIN!$J$1,0,0,M$2,ADMIN!$D$5*3),M$2,MATCH($A14,OFFSET(ADMIN!$J$1,0,0,1,ADMIN!$D$5*3),0)+1),"-")</f>
        <v>0/0</v>
      </c>
      <c r="N14" s="238" t="str" cm="1">
        <f t="array" aca="1" ref="N14" ca="1">IFERROR(INDEX(OFFSET(ADMIN!$J$1,0,0,N$2,ADMIN!$D$5*3),N$2,MATCH($A14,OFFSET(ADMIN!$J$1,0,0,1,ADMIN!$D$5*3),0)+1),"-")</f>
        <v>0/0</v>
      </c>
      <c r="O14" s="238" t="str" cm="1">
        <f t="array" aca="1" ref="O14" ca="1">IFERROR(INDEX(OFFSET(ADMIN!$J$1,0,0,O$2,ADMIN!$D$5*3),O$2,MATCH($A14,OFFSET(ADMIN!$J$1,0,0,1,ADMIN!$D$5*3),0)+1),"-")</f>
        <v>0/0</v>
      </c>
      <c r="P14" s="238" t="str" cm="1">
        <f t="array" aca="1" ref="P14" ca="1">IFERROR(INDEX(OFFSET(ADMIN!$J$1,0,0,P$2,ADMIN!$D$5*3),P$2,MATCH($A14,OFFSET(ADMIN!$J$1,0,0,1,ADMIN!$D$5*3),0)+1),"-")</f>
        <v>0/0</v>
      </c>
      <c r="Q14" s="238" t="str" cm="1">
        <f t="array" aca="1" ref="Q14" ca="1">IFERROR(INDEX(OFFSET(ADMIN!$J$1,0,0,Q$2,ADMIN!$D$5*3),Q$2,MATCH($A14,OFFSET(ADMIN!$J$1,0,0,1,ADMIN!$D$5*3),0)+1),"-")</f>
        <v>0/0</v>
      </c>
      <c r="R14" s="238" t="str" cm="1">
        <f t="array" aca="1" ref="R14" ca="1">IFERROR(INDEX(OFFSET(ADMIN!$J$1,0,0,R$2,ADMIN!$D$5*3),R$2,MATCH($A14,OFFSET(ADMIN!$J$1,0,0,1,ADMIN!$D$5*3),0)+1),"-")</f>
        <v>0/0</v>
      </c>
      <c r="S14" s="238" t="str" cm="1">
        <f t="array" aca="1" ref="S14" ca="1">IFERROR(INDEX(OFFSET(ADMIN!$J$1,0,0,S$2,ADMIN!$D$5*3),S$2,MATCH($A14,OFFSET(ADMIN!$J$1,0,0,1,ADMIN!$D$5*3),0)+1),"-")</f>
        <v>0/0</v>
      </c>
      <c r="T14" s="234"/>
    </row>
    <row r="15" spans="1:20" ht="15.95">
      <c r="A15" s="250">
        <f t="shared" si="0"/>
        <v>12</v>
      </c>
      <c r="B15" s="236">
        <f ca="1">IFERROR(HLOOKUP(A15,OFFSET(ADMIN!$J$1,0,0,3,ADMIN!$D$5*3),3,FALSE),"-")</f>
        <v>12</v>
      </c>
      <c r="C15" s="237" t="str">
        <f ca="1">IFERROR(HLOOKUP(A15,OFFSET(ADMIN!$J$1,0,0,5,ADMIN!$D$5*3),5,FALSE),"-")</f>
        <v>CARLOS</v>
      </c>
      <c r="D15" s="236">
        <f ca="1">IFERROR(HLOOKUP(A15,OFFSET(ADMIN!$J$1,0,0,5,ADMIN!$D$5*3),4,FALSE),"-")</f>
        <v>151</v>
      </c>
      <c r="E15" s="238" t="str" cm="1">
        <f t="array" aca="1" ref="E15" ca="1">IFERROR(INDEX(OFFSET(ADMIN!$J$1,0,0,E$2,ADMIN!$D$5*3),E$2,MATCH($A15,OFFSET(ADMIN!$J$1,0,0,1,ADMIN!$D$5*3),0)+1),"-")</f>
        <v>151/720</v>
      </c>
      <c r="F15" s="238" t="str" cm="1">
        <f t="array" aca="1" ref="F15" ca="1">IFERROR(INDEX(OFFSET(ADMIN!$J$1,0,0,F$2,ADMIN!$D$5*3),F$2,MATCH($A15,OFFSET(ADMIN!$J$1,0,0,1,ADMIN!$D$5*3),0)+1),"-")</f>
        <v>0/180</v>
      </c>
      <c r="G15" s="238" t="str" cm="1">
        <f t="array" aca="1" ref="G15" ca="1">IFERROR(INDEX(OFFSET(ADMIN!$J$1,0,0,G$2,ADMIN!$D$5*3),G$2,MATCH($A15,OFFSET(ADMIN!$J$1,0,0,1,ADMIN!$D$5*3),0)+1),"-")</f>
        <v>0/32</v>
      </c>
      <c r="H15" s="238" t="str" cm="1">
        <f t="array" aca="1" ref="H15" ca="1">IFERROR(INDEX(OFFSET(ADMIN!$J$1,0,0,H$2,ADMIN!$D$5*3),H$2,MATCH($A15,OFFSET(ADMIN!$J$1,0,0,1,ADMIN!$D$5*3),0)+1),"-")</f>
        <v>0/64</v>
      </c>
      <c r="I15" s="238" t="str" cm="1">
        <f t="array" aca="1" ref="I15" ca="1">IFERROR(INDEX(OFFSET(ADMIN!$J$1,0,0,I$2,ADMIN!$D$5*3),I$2,MATCH($A15,OFFSET(ADMIN!$J$1,0,0,1,ADMIN!$D$5*3),0)+1),"-")</f>
        <v>0/0</v>
      </c>
      <c r="J15" s="238" t="str" cm="1">
        <f t="array" aca="1" ref="J15" ca="1">IFERROR(INDEX(OFFSET(ADMIN!$J$1,0,0,J$2,ADMIN!$D$5*3),J$2,MATCH($A15,OFFSET(ADMIN!$J$1,0,0,1,ADMIN!$D$5*3),0)+1),"-")</f>
        <v>0/0</v>
      </c>
      <c r="K15" s="238" t="str" cm="1">
        <f t="array" aca="1" ref="K15" ca="1">IFERROR(INDEX(OFFSET(ADMIN!$J$1,0,0,K$2,ADMIN!$D$5*3),K$2,MATCH($A15,OFFSET(ADMIN!$J$1,0,0,1,ADMIN!$D$5*3),0)+1),"-")</f>
        <v>0/0</v>
      </c>
      <c r="L15" s="238" t="str" cm="1">
        <f t="array" aca="1" ref="L15" ca="1">IFERROR(INDEX(OFFSET(ADMIN!$J$1,0,0,L$2,ADMIN!$D$5*3),L$2,MATCH($A15,OFFSET(ADMIN!$J$1,0,0,1,ADMIN!$D$5*3),0)+1),"-")</f>
        <v>0/0</v>
      </c>
      <c r="M15" s="238" t="str" cm="1">
        <f t="array" aca="1" ref="M15" ca="1">IFERROR(INDEX(OFFSET(ADMIN!$J$1,0,0,M$2,ADMIN!$D$5*3),M$2,MATCH($A15,OFFSET(ADMIN!$J$1,0,0,1,ADMIN!$D$5*3),0)+1),"-")</f>
        <v>0/0</v>
      </c>
      <c r="N15" s="238" t="str" cm="1">
        <f t="array" aca="1" ref="N15" ca="1">IFERROR(INDEX(OFFSET(ADMIN!$J$1,0,0,N$2,ADMIN!$D$5*3),N$2,MATCH($A15,OFFSET(ADMIN!$J$1,0,0,1,ADMIN!$D$5*3),0)+1),"-")</f>
        <v>0/0</v>
      </c>
      <c r="O15" s="238" t="str" cm="1">
        <f t="array" aca="1" ref="O15" ca="1">IFERROR(INDEX(OFFSET(ADMIN!$J$1,0,0,O$2,ADMIN!$D$5*3),O$2,MATCH($A15,OFFSET(ADMIN!$J$1,0,0,1,ADMIN!$D$5*3),0)+1),"-")</f>
        <v>0/0</v>
      </c>
      <c r="P15" s="238" t="str" cm="1">
        <f t="array" aca="1" ref="P15" ca="1">IFERROR(INDEX(OFFSET(ADMIN!$J$1,0,0,P$2,ADMIN!$D$5*3),P$2,MATCH($A15,OFFSET(ADMIN!$J$1,0,0,1,ADMIN!$D$5*3),0)+1),"-")</f>
        <v>0/0</v>
      </c>
      <c r="Q15" s="238" t="str" cm="1">
        <f t="array" aca="1" ref="Q15" ca="1">IFERROR(INDEX(OFFSET(ADMIN!$J$1,0,0,Q$2,ADMIN!$D$5*3),Q$2,MATCH($A15,OFFSET(ADMIN!$J$1,0,0,1,ADMIN!$D$5*3),0)+1),"-")</f>
        <v>0/0</v>
      </c>
      <c r="R15" s="238" t="str" cm="1">
        <f t="array" aca="1" ref="R15" ca="1">IFERROR(INDEX(OFFSET(ADMIN!$J$1,0,0,R$2,ADMIN!$D$5*3),R$2,MATCH($A15,OFFSET(ADMIN!$J$1,0,0,1,ADMIN!$D$5*3),0)+1),"-")</f>
        <v>0/0</v>
      </c>
      <c r="S15" s="238" t="str" cm="1">
        <f t="array" aca="1" ref="S15" ca="1">IFERROR(INDEX(OFFSET(ADMIN!$J$1,0,0,S$2,ADMIN!$D$5*3),S$2,MATCH($A15,OFFSET(ADMIN!$J$1,0,0,1,ADMIN!$D$5*3),0)+1),"-")</f>
        <v>0/0</v>
      </c>
      <c r="T15" s="234"/>
    </row>
    <row r="16" spans="1:20" ht="15.95">
      <c r="A16" s="250">
        <f t="shared" si="0"/>
        <v>13</v>
      </c>
      <c r="B16" s="236">
        <f ca="1">IFERROR(HLOOKUP(A16,OFFSET(ADMIN!$J$1,0,0,3,ADMIN!$D$5*3),3,FALSE),"-")</f>
        <v>13</v>
      </c>
      <c r="C16" s="237" t="str">
        <f ca="1">IFERROR(HLOOKUP(A16,OFFSET(ADMIN!$J$1,0,0,5,ADMIN!$D$5*3),5,FALSE),"-")</f>
        <v>XAVI</v>
      </c>
      <c r="D16" s="236">
        <f ca="1">IFERROR(HLOOKUP(A16,OFFSET(ADMIN!$J$1,0,0,5,ADMIN!$D$5*3),4,FALSE),"-")</f>
        <v>149</v>
      </c>
      <c r="E16" s="238" t="str" cm="1">
        <f t="array" aca="1" ref="E16" ca="1">IFERROR(INDEX(OFFSET(ADMIN!$J$1,0,0,E$2,ADMIN!$D$5*3),E$2,MATCH($A16,OFFSET(ADMIN!$J$1,0,0,1,ADMIN!$D$5*3),0)+1),"-")</f>
        <v>149/720</v>
      </c>
      <c r="F16" s="238" t="str" cm="1">
        <f t="array" aca="1" ref="F16" ca="1">IFERROR(INDEX(OFFSET(ADMIN!$J$1,0,0,F$2,ADMIN!$D$5*3),F$2,MATCH($A16,OFFSET(ADMIN!$J$1,0,0,1,ADMIN!$D$5*3),0)+1),"-")</f>
        <v>0/180</v>
      </c>
      <c r="G16" s="238" t="str" cm="1">
        <f t="array" aca="1" ref="G16" ca="1">IFERROR(INDEX(OFFSET(ADMIN!$J$1,0,0,G$2,ADMIN!$D$5*3),G$2,MATCH($A16,OFFSET(ADMIN!$J$1,0,0,1,ADMIN!$D$5*3),0)+1),"-")</f>
        <v>0/32</v>
      </c>
      <c r="H16" s="238" t="str" cm="1">
        <f t="array" aca="1" ref="H16" ca="1">IFERROR(INDEX(OFFSET(ADMIN!$J$1,0,0,H$2,ADMIN!$D$5*3),H$2,MATCH($A16,OFFSET(ADMIN!$J$1,0,0,1,ADMIN!$D$5*3),0)+1),"-")</f>
        <v>0/64</v>
      </c>
      <c r="I16" s="238" t="str" cm="1">
        <f t="array" aca="1" ref="I16" ca="1">IFERROR(INDEX(OFFSET(ADMIN!$J$1,0,0,I$2,ADMIN!$D$5*3),I$2,MATCH($A16,OFFSET(ADMIN!$J$1,0,0,1,ADMIN!$D$5*3),0)+1),"-")</f>
        <v>0/0</v>
      </c>
      <c r="J16" s="238" t="str" cm="1">
        <f t="array" aca="1" ref="J16" ca="1">IFERROR(INDEX(OFFSET(ADMIN!$J$1,0,0,J$2,ADMIN!$D$5*3),J$2,MATCH($A16,OFFSET(ADMIN!$J$1,0,0,1,ADMIN!$D$5*3),0)+1),"-")</f>
        <v>0/0</v>
      </c>
      <c r="K16" s="238" t="str" cm="1">
        <f t="array" aca="1" ref="K16" ca="1">IFERROR(INDEX(OFFSET(ADMIN!$J$1,0,0,K$2,ADMIN!$D$5*3),K$2,MATCH($A16,OFFSET(ADMIN!$J$1,0,0,1,ADMIN!$D$5*3),0)+1),"-")</f>
        <v>0/0</v>
      </c>
      <c r="L16" s="238" t="str" cm="1">
        <f t="array" aca="1" ref="L16" ca="1">IFERROR(INDEX(OFFSET(ADMIN!$J$1,0,0,L$2,ADMIN!$D$5*3),L$2,MATCH($A16,OFFSET(ADMIN!$J$1,0,0,1,ADMIN!$D$5*3),0)+1),"-")</f>
        <v>0/0</v>
      </c>
      <c r="M16" s="238" t="str" cm="1">
        <f t="array" aca="1" ref="M16" ca="1">IFERROR(INDEX(OFFSET(ADMIN!$J$1,0,0,M$2,ADMIN!$D$5*3),M$2,MATCH($A16,OFFSET(ADMIN!$J$1,0,0,1,ADMIN!$D$5*3),0)+1),"-")</f>
        <v>0/0</v>
      </c>
      <c r="N16" s="238" t="str" cm="1">
        <f t="array" aca="1" ref="N16" ca="1">IFERROR(INDEX(OFFSET(ADMIN!$J$1,0,0,N$2,ADMIN!$D$5*3),N$2,MATCH($A16,OFFSET(ADMIN!$J$1,0,0,1,ADMIN!$D$5*3),0)+1),"-")</f>
        <v>0/0</v>
      </c>
      <c r="O16" s="238" t="str" cm="1">
        <f t="array" aca="1" ref="O16" ca="1">IFERROR(INDEX(OFFSET(ADMIN!$J$1,0,0,O$2,ADMIN!$D$5*3),O$2,MATCH($A16,OFFSET(ADMIN!$J$1,0,0,1,ADMIN!$D$5*3),0)+1),"-")</f>
        <v>0/0</v>
      </c>
      <c r="P16" s="238" t="str" cm="1">
        <f t="array" aca="1" ref="P16" ca="1">IFERROR(INDEX(OFFSET(ADMIN!$J$1,0,0,P$2,ADMIN!$D$5*3),P$2,MATCH($A16,OFFSET(ADMIN!$J$1,0,0,1,ADMIN!$D$5*3),0)+1),"-")</f>
        <v>0/0</v>
      </c>
      <c r="Q16" s="238" t="str" cm="1">
        <f t="array" aca="1" ref="Q16" ca="1">IFERROR(INDEX(OFFSET(ADMIN!$J$1,0,0,Q$2,ADMIN!$D$5*3),Q$2,MATCH($A16,OFFSET(ADMIN!$J$1,0,0,1,ADMIN!$D$5*3),0)+1),"-")</f>
        <v>0/0</v>
      </c>
      <c r="R16" s="238" t="str" cm="1">
        <f t="array" aca="1" ref="R16" ca="1">IFERROR(INDEX(OFFSET(ADMIN!$J$1,0,0,R$2,ADMIN!$D$5*3),R$2,MATCH($A16,OFFSET(ADMIN!$J$1,0,0,1,ADMIN!$D$5*3),0)+1),"-")</f>
        <v>0/0</v>
      </c>
      <c r="S16" s="238" t="str" cm="1">
        <f t="array" aca="1" ref="S16" ca="1">IFERROR(INDEX(OFFSET(ADMIN!$J$1,0,0,S$2,ADMIN!$D$5*3),S$2,MATCH($A16,OFFSET(ADMIN!$J$1,0,0,1,ADMIN!$D$5*3),0)+1),"-")</f>
        <v>0/0</v>
      </c>
      <c r="T16" s="234"/>
    </row>
    <row r="17" spans="1:20" ht="15.95">
      <c r="A17" s="250">
        <f t="shared" si="0"/>
        <v>14</v>
      </c>
      <c r="B17" s="236">
        <f ca="1">IFERROR(HLOOKUP(A17,OFFSET(ADMIN!$J$1,0,0,3,ADMIN!$D$5*3),3,FALSE),"-")</f>
        <v>14</v>
      </c>
      <c r="C17" s="237" t="str">
        <f ca="1">IFERROR(HLOOKUP(A17,OFFSET(ADMIN!$J$1,0,0,5,ADMIN!$D$5*3),5,FALSE),"-")</f>
        <v>SALME</v>
      </c>
      <c r="D17" s="236">
        <f ca="1">IFERROR(HLOOKUP(A17,OFFSET(ADMIN!$J$1,0,0,5,ADMIN!$D$5*3),4,FALSE),"-")</f>
        <v>147</v>
      </c>
      <c r="E17" s="238" t="str" cm="1">
        <f t="array" aca="1" ref="E17" ca="1">IFERROR(INDEX(OFFSET(ADMIN!$J$1,0,0,E$2,ADMIN!$D$5*3),E$2,MATCH($A17,OFFSET(ADMIN!$J$1,0,0,1,ADMIN!$D$5*3),0)+1),"-")</f>
        <v>147/720</v>
      </c>
      <c r="F17" s="238" t="str" cm="1">
        <f t="array" aca="1" ref="F17" ca="1">IFERROR(INDEX(OFFSET(ADMIN!$J$1,0,0,F$2,ADMIN!$D$5*3),F$2,MATCH($A17,OFFSET(ADMIN!$J$1,0,0,1,ADMIN!$D$5*3),0)+1),"-")</f>
        <v>0/180</v>
      </c>
      <c r="G17" s="238" t="str" cm="1">
        <f t="array" aca="1" ref="G17" ca="1">IFERROR(INDEX(OFFSET(ADMIN!$J$1,0,0,G$2,ADMIN!$D$5*3),G$2,MATCH($A17,OFFSET(ADMIN!$J$1,0,0,1,ADMIN!$D$5*3),0)+1),"-")</f>
        <v>0/32</v>
      </c>
      <c r="H17" s="238" t="str" cm="1">
        <f t="array" aca="1" ref="H17" ca="1">IFERROR(INDEX(OFFSET(ADMIN!$J$1,0,0,H$2,ADMIN!$D$5*3),H$2,MATCH($A17,OFFSET(ADMIN!$J$1,0,0,1,ADMIN!$D$5*3),0)+1),"-")</f>
        <v>0/64</v>
      </c>
      <c r="I17" s="238" t="str" cm="1">
        <f t="array" aca="1" ref="I17" ca="1">IFERROR(INDEX(OFFSET(ADMIN!$J$1,0,0,I$2,ADMIN!$D$5*3),I$2,MATCH($A17,OFFSET(ADMIN!$J$1,0,0,1,ADMIN!$D$5*3),0)+1),"-")</f>
        <v>0/0</v>
      </c>
      <c r="J17" s="238" t="str" cm="1">
        <f t="array" aca="1" ref="J17" ca="1">IFERROR(INDEX(OFFSET(ADMIN!$J$1,0,0,J$2,ADMIN!$D$5*3),J$2,MATCH($A17,OFFSET(ADMIN!$J$1,0,0,1,ADMIN!$D$5*3),0)+1),"-")</f>
        <v>0/0</v>
      </c>
      <c r="K17" s="238" t="str" cm="1">
        <f t="array" aca="1" ref="K17" ca="1">IFERROR(INDEX(OFFSET(ADMIN!$J$1,0,0,K$2,ADMIN!$D$5*3),K$2,MATCH($A17,OFFSET(ADMIN!$J$1,0,0,1,ADMIN!$D$5*3),0)+1),"-")</f>
        <v>0/0</v>
      </c>
      <c r="L17" s="238" t="str" cm="1">
        <f t="array" aca="1" ref="L17" ca="1">IFERROR(INDEX(OFFSET(ADMIN!$J$1,0,0,L$2,ADMIN!$D$5*3),L$2,MATCH($A17,OFFSET(ADMIN!$J$1,0,0,1,ADMIN!$D$5*3),0)+1),"-")</f>
        <v>0/0</v>
      </c>
      <c r="M17" s="238" t="str" cm="1">
        <f t="array" aca="1" ref="M17" ca="1">IFERROR(INDEX(OFFSET(ADMIN!$J$1,0,0,M$2,ADMIN!$D$5*3),M$2,MATCH($A17,OFFSET(ADMIN!$J$1,0,0,1,ADMIN!$D$5*3),0)+1),"-")</f>
        <v>0/0</v>
      </c>
      <c r="N17" s="238" t="str" cm="1">
        <f t="array" aca="1" ref="N17" ca="1">IFERROR(INDEX(OFFSET(ADMIN!$J$1,0,0,N$2,ADMIN!$D$5*3),N$2,MATCH($A17,OFFSET(ADMIN!$J$1,0,0,1,ADMIN!$D$5*3),0)+1),"-")</f>
        <v>0/0</v>
      </c>
      <c r="O17" s="238" t="str" cm="1">
        <f t="array" aca="1" ref="O17" ca="1">IFERROR(INDEX(OFFSET(ADMIN!$J$1,0,0,O$2,ADMIN!$D$5*3),O$2,MATCH($A17,OFFSET(ADMIN!$J$1,0,0,1,ADMIN!$D$5*3),0)+1),"-")</f>
        <v>0/0</v>
      </c>
      <c r="P17" s="238" t="str" cm="1">
        <f t="array" aca="1" ref="P17" ca="1">IFERROR(INDEX(OFFSET(ADMIN!$J$1,0,0,P$2,ADMIN!$D$5*3),P$2,MATCH($A17,OFFSET(ADMIN!$J$1,0,0,1,ADMIN!$D$5*3),0)+1),"-")</f>
        <v>0/0</v>
      </c>
      <c r="Q17" s="238" t="str" cm="1">
        <f t="array" aca="1" ref="Q17" ca="1">IFERROR(INDEX(OFFSET(ADMIN!$J$1,0,0,Q$2,ADMIN!$D$5*3),Q$2,MATCH($A17,OFFSET(ADMIN!$J$1,0,0,1,ADMIN!$D$5*3),0)+1),"-")</f>
        <v>0/0</v>
      </c>
      <c r="R17" s="238" t="str" cm="1">
        <f t="array" aca="1" ref="R17" ca="1">IFERROR(INDEX(OFFSET(ADMIN!$J$1,0,0,R$2,ADMIN!$D$5*3),R$2,MATCH($A17,OFFSET(ADMIN!$J$1,0,0,1,ADMIN!$D$5*3),0)+1),"-")</f>
        <v>0/0</v>
      </c>
      <c r="S17" s="238" t="str" cm="1">
        <f t="array" aca="1" ref="S17" ca="1">IFERROR(INDEX(OFFSET(ADMIN!$J$1,0,0,S$2,ADMIN!$D$5*3),S$2,MATCH($A17,OFFSET(ADMIN!$J$1,0,0,1,ADMIN!$D$5*3),0)+1),"-")</f>
        <v>0/0</v>
      </c>
      <c r="T17" s="234"/>
    </row>
    <row r="18" spans="1:20" ht="15.95">
      <c r="A18" s="250">
        <f t="shared" si="0"/>
        <v>15</v>
      </c>
      <c r="B18" s="236">
        <f ca="1">IFERROR(HLOOKUP(A18,OFFSET(ADMIN!$J$1,0,0,3,ADMIN!$D$5*3),3,FALSE),"-")</f>
        <v>15</v>
      </c>
      <c r="C18" s="237" t="str">
        <f ca="1">IFERROR(HLOOKUP(A18,OFFSET(ADMIN!$J$1,0,0,5,ADMIN!$D$5*3),5,FALSE),"-")</f>
        <v>CHETE</v>
      </c>
      <c r="D18" s="236">
        <f ca="1">IFERROR(HLOOKUP(A18,OFFSET(ADMIN!$J$1,0,0,5,ADMIN!$D$5*3),4,FALSE),"-")</f>
        <v>144</v>
      </c>
      <c r="E18" s="238" t="str" cm="1">
        <f t="array" aca="1" ref="E18" ca="1">IFERROR(INDEX(OFFSET(ADMIN!$J$1,0,0,E$2,ADMIN!$D$5*3),E$2,MATCH($A18,OFFSET(ADMIN!$J$1,0,0,1,ADMIN!$D$5*3),0)+1),"-")</f>
        <v>144/720</v>
      </c>
      <c r="F18" s="238" t="str" cm="1">
        <f t="array" aca="1" ref="F18" ca="1">IFERROR(INDEX(OFFSET(ADMIN!$J$1,0,0,F$2,ADMIN!$D$5*3),F$2,MATCH($A18,OFFSET(ADMIN!$J$1,0,0,1,ADMIN!$D$5*3),0)+1),"-")</f>
        <v>0/180</v>
      </c>
      <c r="G18" s="238" t="str" cm="1">
        <f t="array" aca="1" ref="G18" ca="1">IFERROR(INDEX(OFFSET(ADMIN!$J$1,0,0,G$2,ADMIN!$D$5*3),G$2,MATCH($A18,OFFSET(ADMIN!$J$1,0,0,1,ADMIN!$D$5*3),0)+1),"-")</f>
        <v>0/32</v>
      </c>
      <c r="H18" s="238" t="str" cm="1">
        <f t="array" aca="1" ref="H18" ca="1">IFERROR(INDEX(OFFSET(ADMIN!$J$1,0,0,H$2,ADMIN!$D$5*3),H$2,MATCH($A18,OFFSET(ADMIN!$J$1,0,0,1,ADMIN!$D$5*3),0)+1),"-")</f>
        <v>0/64</v>
      </c>
      <c r="I18" s="238" t="str" cm="1">
        <f t="array" aca="1" ref="I18" ca="1">IFERROR(INDEX(OFFSET(ADMIN!$J$1,0,0,I$2,ADMIN!$D$5*3),I$2,MATCH($A18,OFFSET(ADMIN!$J$1,0,0,1,ADMIN!$D$5*3),0)+1),"-")</f>
        <v>0/0</v>
      </c>
      <c r="J18" s="238" t="str" cm="1">
        <f t="array" aca="1" ref="J18" ca="1">IFERROR(INDEX(OFFSET(ADMIN!$J$1,0,0,J$2,ADMIN!$D$5*3),J$2,MATCH($A18,OFFSET(ADMIN!$J$1,0,0,1,ADMIN!$D$5*3),0)+1),"-")</f>
        <v>0/0</v>
      </c>
      <c r="K18" s="238" t="str" cm="1">
        <f t="array" aca="1" ref="K18" ca="1">IFERROR(INDEX(OFFSET(ADMIN!$J$1,0,0,K$2,ADMIN!$D$5*3),K$2,MATCH($A18,OFFSET(ADMIN!$J$1,0,0,1,ADMIN!$D$5*3),0)+1),"-")</f>
        <v>0/0</v>
      </c>
      <c r="L18" s="238" t="str" cm="1">
        <f t="array" aca="1" ref="L18" ca="1">IFERROR(INDEX(OFFSET(ADMIN!$J$1,0,0,L$2,ADMIN!$D$5*3),L$2,MATCH($A18,OFFSET(ADMIN!$J$1,0,0,1,ADMIN!$D$5*3),0)+1),"-")</f>
        <v>0/0</v>
      </c>
      <c r="M18" s="238" t="str" cm="1">
        <f t="array" aca="1" ref="M18" ca="1">IFERROR(INDEX(OFFSET(ADMIN!$J$1,0,0,M$2,ADMIN!$D$5*3),M$2,MATCH($A18,OFFSET(ADMIN!$J$1,0,0,1,ADMIN!$D$5*3),0)+1),"-")</f>
        <v>0/0</v>
      </c>
      <c r="N18" s="238" t="str" cm="1">
        <f t="array" aca="1" ref="N18" ca="1">IFERROR(INDEX(OFFSET(ADMIN!$J$1,0,0,N$2,ADMIN!$D$5*3),N$2,MATCH($A18,OFFSET(ADMIN!$J$1,0,0,1,ADMIN!$D$5*3),0)+1),"-")</f>
        <v>0/0</v>
      </c>
      <c r="O18" s="238" t="str" cm="1">
        <f t="array" aca="1" ref="O18" ca="1">IFERROR(INDEX(OFFSET(ADMIN!$J$1,0,0,O$2,ADMIN!$D$5*3),O$2,MATCH($A18,OFFSET(ADMIN!$J$1,0,0,1,ADMIN!$D$5*3),0)+1),"-")</f>
        <v>0/0</v>
      </c>
      <c r="P18" s="238" t="str" cm="1">
        <f t="array" aca="1" ref="P18" ca="1">IFERROR(INDEX(OFFSET(ADMIN!$J$1,0,0,P$2,ADMIN!$D$5*3),P$2,MATCH($A18,OFFSET(ADMIN!$J$1,0,0,1,ADMIN!$D$5*3),0)+1),"-")</f>
        <v>0/0</v>
      </c>
      <c r="Q18" s="238" t="str" cm="1">
        <f t="array" aca="1" ref="Q18" ca="1">IFERROR(INDEX(OFFSET(ADMIN!$J$1,0,0,Q$2,ADMIN!$D$5*3),Q$2,MATCH($A18,OFFSET(ADMIN!$J$1,0,0,1,ADMIN!$D$5*3),0)+1),"-")</f>
        <v>0/0</v>
      </c>
      <c r="R18" s="238" t="str" cm="1">
        <f t="array" aca="1" ref="R18" ca="1">IFERROR(INDEX(OFFSET(ADMIN!$J$1,0,0,R$2,ADMIN!$D$5*3),R$2,MATCH($A18,OFFSET(ADMIN!$J$1,0,0,1,ADMIN!$D$5*3),0)+1),"-")</f>
        <v>0/0</v>
      </c>
      <c r="S18" s="238" t="str" cm="1">
        <f t="array" aca="1" ref="S18" ca="1">IFERROR(INDEX(OFFSET(ADMIN!$J$1,0,0,S$2,ADMIN!$D$5*3),S$2,MATCH($A18,OFFSET(ADMIN!$J$1,0,0,1,ADMIN!$D$5*3),0)+1),"-")</f>
        <v>0/0</v>
      </c>
      <c r="T18" s="234"/>
    </row>
    <row r="19" spans="1:20" ht="15.95">
      <c r="A19" s="250">
        <f t="shared" si="0"/>
        <v>16</v>
      </c>
      <c r="B19" s="236">
        <f ca="1">IFERROR(HLOOKUP(A19,OFFSET(ADMIN!$J$1,0,0,3,ADMIN!$D$5*3),3,FALSE),"-")</f>
        <v>16</v>
      </c>
      <c r="C19" s="237" t="str">
        <f ca="1">IFERROR(HLOOKUP(A19,OFFSET(ADMIN!$J$1,0,0,5,ADMIN!$D$5*3),5,FALSE),"-")</f>
        <v>COPILOT</v>
      </c>
      <c r="D19" s="236">
        <f ca="1">IFERROR(HLOOKUP(A19,OFFSET(ADMIN!$J$1,0,0,5,ADMIN!$D$5*3),4,FALSE),"-")</f>
        <v>123</v>
      </c>
      <c r="E19" s="238" t="str" cm="1">
        <f t="array" aca="1" ref="E19" ca="1">IFERROR(INDEX(OFFSET(ADMIN!$J$1,0,0,E$2,ADMIN!$D$5*3),E$2,MATCH($A19,OFFSET(ADMIN!$J$1,0,0,1,ADMIN!$D$5*3),0)+1),"-")</f>
        <v>123/720</v>
      </c>
      <c r="F19" s="238" t="str" cm="1">
        <f t="array" aca="1" ref="F19" ca="1">IFERROR(INDEX(OFFSET(ADMIN!$J$1,0,0,F$2,ADMIN!$D$5*3),F$2,MATCH($A19,OFFSET(ADMIN!$J$1,0,0,1,ADMIN!$D$5*3),0)+1),"-")</f>
        <v>0/180</v>
      </c>
      <c r="G19" s="238" t="str" cm="1">
        <f t="array" aca="1" ref="G19" ca="1">IFERROR(INDEX(OFFSET(ADMIN!$J$1,0,0,G$2,ADMIN!$D$5*3),G$2,MATCH($A19,OFFSET(ADMIN!$J$1,0,0,1,ADMIN!$D$5*3),0)+1),"-")</f>
        <v>0/32</v>
      </c>
      <c r="H19" s="238" t="str" cm="1">
        <f t="array" aca="1" ref="H19" ca="1">IFERROR(INDEX(OFFSET(ADMIN!$J$1,0,0,H$2,ADMIN!$D$5*3),H$2,MATCH($A19,OFFSET(ADMIN!$J$1,0,0,1,ADMIN!$D$5*3),0)+1),"-")</f>
        <v>0/64</v>
      </c>
      <c r="I19" s="238" t="str" cm="1">
        <f t="array" aca="1" ref="I19" ca="1">IFERROR(INDEX(OFFSET(ADMIN!$J$1,0,0,I$2,ADMIN!$D$5*3),I$2,MATCH($A19,OFFSET(ADMIN!$J$1,0,0,1,ADMIN!$D$5*3),0)+1),"-")</f>
        <v>0/0</v>
      </c>
      <c r="J19" s="238" t="str" cm="1">
        <f t="array" aca="1" ref="J19" ca="1">IFERROR(INDEX(OFFSET(ADMIN!$J$1,0,0,J$2,ADMIN!$D$5*3),J$2,MATCH($A19,OFFSET(ADMIN!$J$1,0,0,1,ADMIN!$D$5*3),0)+1),"-")</f>
        <v>0/0</v>
      </c>
      <c r="K19" s="238" t="str" cm="1">
        <f t="array" aca="1" ref="K19" ca="1">IFERROR(INDEX(OFFSET(ADMIN!$J$1,0,0,K$2,ADMIN!$D$5*3),K$2,MATCH($A19,OFFSET(ADMIN!$J$1,0,0,1,ADMIN!$D$5*3),0)+1),"-")</f>
        <v>0/0</v>
      </c>
      <c r="L19" s="238" t="str" cm="1">
        <f t="array" aca="1" ref="L19" ca="1">IFERROR(INDEX(OFFSET(ADMIN!$J$1,0,0,L$2,ADMIN!$D$5*3),L$2,MATCH($A19,OFFSET(ADMIN!$J$1,0,0,1,ADMIN!$D$5*3),0)+1),"-")</f>
        <v>0/0</v>
      </c>
      <c r="M19" s="238" t="str" cm="1">
        <f t="array" aca="1" ref="M19" ca="1">IFERROR(INDEX(OFFSET(ADMIN!$J$1,0,0,M$2,ADMIN!$D$5*3),M$2,MATCH($A19,OFFSET(ADMIN!$J$1,0,0,1,ADMIN!$D$5*3),0)+1),"-")</f>
        <v>0/0</v>
      </c>
      <c r="N19" s="238" t="str" cm="1">
        <f t="array" aca="1" ref="N19" ca="1">IFERROR(INDEX(OFFSET(ADMIN!$J$1,0,0,N$2,ADMIN!$D$5*3),N$2,MATCH($A19,OFFSET(ADMIN!$J$1,0,0,1,ADMIN!$D$5*3),0)+1),"-")</f>
        <v>0/0</v>
      </c>
      <c r="O19" s="238" t="str" cm="1">
        <f t="array" aca="1" ref="O19" ca="1">IFERROR(INDEX(OFFSET(ADMIN!$J$1,0,0,O$2,ADMIN!$D$5*3),O$2,MATCH($A19,OFFSET(ADMIN!$J$1,0,0,1,ADMIN!$D$5*3),0)+1),"-")</f>
        <v>0/0</v>
      </c>
      <c r="P19" s="238" t="str" cm="1">
        <f t="array" aca="1" ref="P19" ca="1">IFERROR(INDEX(OFFSET(ADMIN!$J$1,0,0,P$2,ADMIN!$D$5*3),P$2,MATCH($A19,OFFSET(ADMIN!$J$1,0,0,1,ADMIN!$D$5*3),0)+1),"-")</f>
        <v>0/0</v>
      </c>
      <c r="Q19" s="238" t="str" cm="1">
        <f t="array" aca="1" ref="Q19" ca="1">IFERROR(INDEX(OFFSET(ADMIN!$J$1,0,0,Q$2,ADMIN!$D$5*3),Q$2,MATCH($A19,OFFSET(ADMIN!$J$1,0,0,1,ADMIN!$D$5*3),0)+1),"-")</f>
        <v>0/0</v>
      </c>
      <c r="R19" s="238" t="str" cm="1">
        <f t="array" aca="1" ref="R19" ca="1">IFERROR(INDEX(OFFSET(ADMIN!$J$1,0,0,R$2,ADMIN!$D$5*3),R$2,MATCH($A19,OFFSET(ADMIN!$J$1,0,0,1,ADMIN!$D$5*3),0)+1),"-")</f>
        <v>0/0</v>
      </c>
      <c r="S19" s="238" t="str" cm="1">
        <f t="array" aca="1" ref="S19" ca="1">IFERROR(INDEX(OFFSET(ADMIN!$J$1,0,0,S$2,ADMIN!$D$5*3),S$2,MATCH($A19,OFFSET(ADMIN!$J$1,0,0,1,ADMIN!$D$5*3),0)+1),"-")</f>
        <v>0/0</v>
      </c>
      <c r="T19" s="234"/>
    </row>
    <row r="20" spans="1:20" ht="15.95">
      <c r="A20" s="250">
        <f t="shared" si="0"/>
        <v>17</v>
      </c>
      <c r="B20" s="236" t="str">
        <f ca="1">IFERROR(HLOOKUP(A20,OFFSET(ADMIN!$J$1,0,0,3,ADMIN!$D$5*3),3,FALSE),"-")</f>
        <v>-</v>
      </c>
      <c r="C20" s="240" t="str">
        <f ca="1">IFERROR(HLOOKUP(A20,OFFSET(ADMIN!$J$1,0,0,5,ADMIN!$D$5*3),5,FALSE),"-")</f>
        <v>-</v>
      </c>
      <c r="D20" s="239" t="str">
        <f ca="1">IFERROR(HLOOKUP(A20,OFFSET(ADMIN!$J$1,0,0,5,ADMIN!$D$5*3),4,FALSE),"-")</f>
        <v>-</v>
      </c>
      <c r="E20" s="241" t="str" cm="1">
        <f t="array" aca="1" ref="E20" ca="1">IFERROR(INDEX(OFFSET(ADMIN!$J$1,0,0,E$2,ADMIN!$D$5*3),E$2,MATCH($A20,OFFSET(ADMIN!$J$1,0,0,1,ADMIN!$D$5*3),0)+1),"-")</f>
        <v>-</v>
      </c>
      <c r="F20" s="238" t="str" cm="1">
        <f t="array" aca="1" ref="F20" ca="1">IFERROR(INDEX(OFFSET(ADMIN!$J$1,0,0,F$2,ADMIN!$D$5*3),F$2,MATCH($A20,OFFSET(ADMIN!$J$1,0,0,1,ADMIN!$D$5*3),0)+1),"-")</f>
        <v>-</v>
      </c>
      <c r="G20" s="241" t="str" cm="1">
        <f t="array" aca="1" ref="G20" ca="1">IFERROR(INDEX(OFFSET(ADMIN!$J$1,0,0,G$2,ADMIN!$D$5*3),G$2,MATCH($A20,OFFSET(ADMIN!$J$1,0,0,1,ADMIN!$D$5*3),0)+1),"-")</f>
        <v>-</v>
      </c>
      <c r="H20" s="241" t="str" cm="1">
        <f t="array" aca="1" ref="H20" ca="1">IFERROR(INDEX(OFFSET(ADMIN!$J$1,0,0,H$2,ADMIN!$D$5*3),H$2,MATCH($A20,OFFSET(ADMIN!$J$1,0,0,1,ADMIN!$D$5*3),0)+1),"-")</f>
        <v>-</v>
      </c>
      <c r="I20" s="241" t="str" cm="1">
        <f t="array" aca="1" ref="I20" ca="1">IFERROR(INDEX(OFFSET(ADMIN!$J$1,0,0,I$2,ADMIN!$D$5*3),I$2,MATCH($A20,OFFSET(ADMIN!$J$1,0,0,1,ADMIN!$D$5*3),0)+1),"-")</f>
        <v>-</v>
      </c>
      <c r="J20" s="241" t="str" cm="1">
        <f t="array" aca="1" ref="J20" ca="1">IFERROR(INDEX(OFFSET(ADMIN!$J$1,0,0,J$2,ADMIN!$D$5*3),J$2,MATCH($A20,OFFSET(ADMIN!$J$1,0,0,1,ADMIN!$D$5*3),0)+1),"-")</f>
        <v>-</v>
      </c>
      <c r="K20" s="238" t="str" cm="1">
        <f t="array" aca="1" ref="K20" ca="1">IFERROR(INDEX(OFFSET(ADMIN!$J$1,0,0,K$2,ADMIN!$D$5*3),K$2,MATCH($A20,OFFSET(ADMIN!$J$1,0,0,1,ADMIN!$D$5*3),0)+1),"-")</f>
        <v>-</v>
      </c>
      <c r="L20" s="241" t="str" cm="1">
        <f t="array" aca="1" ref="L20" ca="1">IFERROR(INDEX(OFFSET(ADMIN!$J$1,0,0,L$2,ADMIN!$D$5*3),L$2,MATCH($A20,OFFSET(ADMIN!$J$1,0,0,1,ADMIN!$D$5*3),0)+1),"-")</f>
        <v>-</v>
      </c>
      <c r="M20" s="241" t="str" cm="1">
        <f t="array" aca="1" ref="M20" ca="1">IFERROR(INDEX(OFFSET(ADMIN!$J$1,0,0,M$2,ADMIN!$D$5*3),M$2,MATCH($A20,OFFSET(ADMIN!$J$1,0,0,1,ADMIN!$D$5*3),0)+1),"-")</f>
        <v>-</v>
      </c>
      <c r="N20" s="241" t="str" cm="1">
        <f t="array" aca="1" ref="N20" ca="1">IFERROR(INDEX(OFFSET(ADMIN!$J$1,0,0,N$2,ADMIN!$D$5*3),N$2,MATCH($A20,OFFSET(ADMIN!$J$1,0,0,1,ADMIN!$D$5*3),0)+1),"-")</f>
        <v>-</v>
      </c>
      <c r="O20" s="241" t="str" cm="1">
        <f t="array" aca="1" ref="O20" ca="1">IFERROR(INDEX(OFFSET(ADMIN!$J$1,0,0,O$2,ADMIN!$D$5*3),O$2,MATCH($A20,OFFSET(ADMIN!$J$1,0,0,1,ADMIN!$D$5*3),0)+1),"-")</f>
        <v>-</v>
      </c>
      <c r="P20" s="238" t="str" cm="1">
        <f t="array" aca="1" ref="P20" ca="1">IFERROR(INDEX(OFFSET(ADMIN!$J$1,0,0,P$2,ADMIN!$D$5*3),P$2,MATCH($A20,OFFSET(ADMIN!$J$1,0,0,1,ADMIN!$D$5*3),0)+1),"-")</f>
        <v>-</v>
      </c>
      <c r="Q20" s="241" t="str" cm="1">
        <f t="array" aca="1" ref="Q20" ca="1">IFERROR(INDEX(OFFSET(ADMIN!$J$1,0,0,Q$2,ADMIN!$D$5*3),Q$2,MATCH($A20,OFFSET(ADMIN!$J$1,0,0,1,ADMIN!$D$5*3),0)+1),"-")</f>
        <v>-</v>
      </c>
      <c r="R20" s="241" t="str" cm="1">
        <f t="array" aca="1" ref="R20" ca="1">IFERROR(INDEX(OFFSET(ADMIN!$J$1,0,0,R$2,ADMIN!$D$5*3),R$2,MATCH($A20,OFFSET(ADMIN!$J$1,0,0,1,ADMIN!$D$5*3),0)+1),"-")</f>
        <v>-</v>
      </c>
      <c r="S20" s="241" t="str" cm="1">
        <f t="array" aca="1" ref="S20" ca="1">IFERROR(INDEX(OFFSET(ADMIN!$J$1,0,0,S$2,ADMIN!$D$5*3),S$2,MATCH($A20,OFFSET(ADMIN!$J$1,0,0,1,ADMIN!$D$5*3),0)+1),"-")</f>
        <v>-</v>
      </c>
      <c r="T20" s="234"/>
    </row>
    <row r="21" spans="1:20" ht="15.95">
      <c r="A21" s="250">
        <f t="shared" si="0"/>
        <v>18</v>
      </c>
      <c r="B21" s="236" t="str">
        <f ca="1">IFERROR(HLOOKUP(A21,OFFSET(ADMIN!$J$1,0,0,3,ADMIN!$D$5*3),3,FALSE),"-")</f>
        <v>-</v>
      </c>
      <c r="C21" s="240" t="str">
        <f ca="1">IFERROR(HLOOKUP(A21,OFFSET(ADMIN!$J$1,0,0,5,ADMIN!$D$5*3),5,FALSE),"-")</f>
        <v>-</v>
      </c>
      <c r="D21" s="239" t="str">
        <f ca="1">IFERROR(HLOOKUP(A21,OFFSET(ADMIN!$J$1,0,0,5,ADMIN!$D$5*3),4,FALSE),"-")</f>
        <v>-</v>
      </c>
      <c r="E21" s="241" t="str" cm="1">
        <f t="array" aca="1" ref="E21" ca="1">IFERROR(INDEX(OFFSET(ADMIN!$J$1,0,0,E$2,ADMIN!$D$5*3),E$2,MATCH($A21,OFFSET(ADMIN!$J$1,0,0,1,ADMIN!$D$5*3),0)+1),"-")</f>
        <v>-</v>
      </c>
      <c r="F21" s="238" t="str" cm="1">
        <f t="array" aca="1" ref="F21" ca="1">IFERROR(INDEX(OFFSET(ADMIN!$J$1,0,0,F$2,ADMIN!$D$5*3),F$2,MATCH($A21,OFFSET(ADMIN!$J$1,0,0,1,ADMIN!$D$5*3),0)+1),"-")</f>
        <v>-</v>
      </c>
      <c r="G21" s="241" t="str" cm="1">
        <f t="array" aca="1" ref="G21" ca="1">IFERROR(INDEX(OFFSET(ADMIN!$J$1,0,0,G$2,ADMIN!$D$5*3),G$2,MATCH($A21,OFFSET(ADMIN!$J$1,0,0,1,ADMIN!$D$5*3),0)+1),"-")</f>
        <v>-</v>
      </c>
      <c r="H21" s="241" t="str" cm="1">
        <f t="array" aca="1" ref="H21" ca="1">IFERROR(INDEX(OFFSET(ADMIN!$J$1,0,0,H$2,ADMIN!$D$5*3),H$2,MATCH($A21,OFFSET(ADMIN!$J$1,0,0,1,ADMIN!$D$5*3),0)+1),"-")</f>
        <v>-</v>
      </c>
      <c r="I21" s="241" t="str" cm="1">
        <f t="array" aca="1" ref="I21" ca="1">IFERROR(INDEX(OFFSET(ADMIN!$J$1,0,0,I$2,ADMIN!$D$5*3),I$2,MATCH($A21,OFFSET(ADMIN!$J$1,0,0,1,ADMIN!$D$5*3),0)+1),"-")</f>
        <v>-</v>
      </c>
      <c r="J21" s="241" t="str" cm="1">
        <f t="array" aca="1" ref="J21" ca="1">IFERROR(INDEX(OFFSET(ADMIN!$J$1,0,0,J$2,ADMIN!$D$5*3),J$2,MATCH($A21,OFFSET(ADMIN!$J$1,0,0,1,ADMIN!$D$5*3),0)+1),"-")</f>
        <v>-</v>
      </c>
      <c r="K21" s="238" t="str" cm="1">
        <f t="array" aca="1" ref="K21" ca="1">IFERROR(INDEX(OFFSET(ADMIN!$J$1,0,0,K$2,ADMIN!$D$5*3),K$2,MATCH($A21,OFFSET(ADMIN!$J$1,0,0,1,ADMIN!$D$5*3),0)+1),"-")</f>
        <v>-</v>
      </c>
      <c r="L21" s="241" t="str" cm="1">
        <f t="array" aca="1" ref="L21" ca="1">IFERROR(INDEX(OFFSET(ADMIN!$J$1,0,0,L$2,ADMIN!$D$5*3),L$2,MATCH($A21,OFFSET(ADMIN!$J$1,0,0,1,ADMIN!$D$5*3),0)+1),"-")</f>
        <v>-</v>
      </c>
      <c r="M21" s="241" t="str" cm="1">
        <f t="array" aca="1" ref="M21" ca="1">IFERROR(INDEX(OFFSET(ADMIN!$J$1,0,0,M$2,ADMIN!$D$5*3),M$2,MATCH($A21,OFFSET(ADMIN!$J$1,0,0,1,ADMIN!$D$5*3),0)+1),"-")</f>
        <v>-</v>
      </c>
      <c r="N21" s="241" t="str" cm="1">
        <f t="array" aca="1" ref="N21" ca="1">IFERROR(INDEX(OFFSET(ADMIN!$J$1,0,0,N$2,ADMIN!$D$5*3),N$2,MATCH($A21,OFFSET(ADMIN!$J$1,0,0,1,ADMIN!$D$5*3),0)+1),"-")</f>
        <v>-</v>
      </c>
      <c r="O21" s="241" t="str" cm="1">
        <f t="array" aca="1" ref="O21" ca="1">IFERROR(INDEX(OFFSET(ADMIN!$J$1,0,0,O$2,ADMIN!$D$5*3),O$2,MATCH($A21,OFFSET(ADMIN!$J$1,0,0,1,ADMIN!$D$5*3),0)+1),"-")</f>
        <v>-</v>
      </c>
      <c r="P21" s="238" t="str" cm="1">
        <f t="array" aca="1" ref="P21" ca="1">IFERROR(INDEX(OFFSET(ADMIN!$J$1,0,0,P$2,ADMIN!$D$5*3),P$2,MATCH($A21,OFFSET(ADMIN!$J$1,0,0,1,ADMIN!$D$5*3),0)+1),"-")</f>
        <v>-</v>
      </c>
      <c r="Q21" s="241" t="str" cm="1">
        <f t="array" aca="1" ref="Q21" ca="1">IFERROR(INDEX(OFFSET(ADMIN!$J$1,0,0,Q$2,ADMIN!$D$5*3),Q$2,MATCH($A21,OFFSET(ADMIN!$J$1,0,0,1,ADMIN!$D$5*3),0)+1),"-")</f>
        <v>-</v>
      </c>
      <c r="R21" s="241" t="str" cm="1">
        <f t="array" aca="1" ref="R21" ca="1">IFERROR(INDEX(OFFSET(ADMIN!$J$1,0,0,R$2,ADMIN!$D$5*3),R$2,MATCH($A21,OFFSET(ADMIN!$J$1,0,0,1,ADMIN!$D$5*3),0)+1),"-")</f>
        <v>-</v>
      </c>
      <c r="S21" s="241" t="str" cm="1">
        <f t="array" aca="1" ref="S21" ca="1">IFERROR(INDEX(OFFSET(ADMIN!$J$1,0,0,S$2,ADMIN!$D$5*3),S$2,MATCH($A21,OFFSET(ADMIN!$J$1,0,0,1,ADMIN!$D$5*3),0)+1),"-")</f>
        <v>-</v>
      </c>
      <c r="T21" s="234"/>
    </row>
    <row r="22" spans="1:20" ht="15.95">
      <c r="A22" s="250">
        <f t="shared" si="0"/>
        <v>19</v>
      </c>
      <c r="B22" s="236" t="str">
        <f ca="1">IFERROR(HLOOKUP(A22,OFFSET(ADMIN!$J$1,0,0,3,ADMIN!$D$5*3),3,FALSE),"-")</f>
        <v>-</v>
      </c>
      <c r="C22" s="237" t="str">
        <f ca="1">IFERROR(HLOOKUP(A22,OFFSET(ADMIN!$J$1,0,0,5,ADMIN!$D$5*3),5,FALSE),"-")</f>
        <v>-</v>
      </c>
      <c r="D22" s="236" t="str">
        <f ca="1">IFERROR(HLOOKUP(A22,OFFSET(ADMIN!$J$1,0,0,5,ADMIN!$D$5*3),4,FALSE),"-")</f>
        <v>-</v>
      </c>
      <c r="E22" s="238" t="str" cm="1">
        <f t="array" aca="1" ref="E22" ca="1">IFERROR(INDEX(OFFSET(ADMIN!$J$1,0,0,E$2,ADMIN!$D$5*3),E$2,MATCH($A22,OFFSET(ADMIN!$J$1,0,0,1,ADMIN!$D$5*3),0)+1),"-")</f>
        <v>-</v>
      </c>
      <c r="F22" s="238" t="str" cm="1">
        <f t="array" aca="1" ref="F22" ca="1">IFERROR(INDEX(OFFSET(ADMIN!$J$1,0,0,F$2,ADMIN!$D$5*3),F$2,MATCH($A22,OFFSET(ADMIN!$J$1,0,0,1,ADMIN!$D$5*3),0)+1),"-")</f>
        <v>-</v>
      </c>
      <c r="G22" s="238" t="str" cm="1">
        <f t="array" aca="1" ref="G22" ca="1">IFERROR(INDEX(OFFSET(ADMIN!$J$1,0,0,G$2,ADMIN!$D$5*3),G$2,MATCH($A22,OFFSET(ADMIN!$J$1,0,0,1,ADMIN!$D$5*3),0)+1),"-")</f>
        <v>-</v>
      </c>
      <c r="H22" s="238" t="str" cm="1">
        <f t="array" aca="1" ref="H22" ca="1">IFERROR(INDEX(OFFSET(ADMIN!$J$1,0,0,H$2,ADMIN!$D$5*3),H$2,MATCH($A22,OFFSET(ADMIN!$J$1,0,0,1,ADMIN!$D$5*3),0)+1),"-")</f>
        <v>-</v>
      </c>
      <c r="I22" s="238" t="str" cm="1">
        <f t="array" aca="1" ref="I22" ca="1">IFERROR(INDEX(OFFSET(ADMIN!$J$1,0,0,I$2,ADMIN!$D$5*3),I$2,MATCH($A22,OFFSET(ADMIN!$J$1,0,0,1,ADMIN!$D$5*3),0)+1),"-")</f>
        <v>-</v>
      </c>
      <c r="J22" s="238" t="str" cm="1">
        <f t="array" aca="1" ref="J22" ca="1">IFERROR(INDEX(OFFSET(ADMIN!$J$1,0,0,J$2,ADMIN!$D$5*3),J$2,MATCH($A22,OFFSET(ADMIN!$J$1,0,0,1,ADMIN!$D$5*3),0)+1),"-")</f>
        <v>-</v>
      </c>
      <c r="K22" s="238" t="str" cm="1">
        <f t="array" aca="1" ref="K22" ca="1">IFERROR(INDEX(OFFSET(ADMIN!$J$1,0,0,K$2,ADMIN!$D$5*3),K$2,MATCH($A22,OFFSET(ADMIN!$J$1,0,0,1,ADMIN!$D$5*3),0)+1),"-")</f>
        <v>-</v>
      </c>
      <c r="L22" s="238" t="str" cm="1">
        <f t="array" aca="1" ref="L22" ca="1">IFERROR(INDEX(OFFSET(ADMIN!$J$1,0,0,L$2,ADMIN!$D$5*3),L$2,MATCH($A22,OFFSET(ADMIN!$J$1,0,0,1,ADMIN!$D$5*3),0)+1),"-")</f>
        <v>-</v>
      </c>
      <c r="M22" s="238" t="str" cm="1">
        <f t="array" aca="1" ref="M22" ca="1">IFERROR(INDEX(OFFSET(ADMIN!$J$1,0,0,M$2,ADMIN!$D$5*3),M$2,MATCH($A22,OFFSET(ADMIN!$J$1,0,0,1,ADMIN!$D$5*3),0)+1),"-")</f>
        <v>-</v>
      </c>
      <c r="N22" s="238" t="str" cm="1">
        <f t="array" aca="1" ref="N22" ca="1">IFERROR(INDEX(OFFSET(ADMIN!$J$1,0,0,N$2,ADMIN!$D$5*3),N$2,MATCH($A22,OFFSET(ADMIN!$J$1,0,0,1,ADMIN!$D$5*3),0)+1),"-")</f>
        <v>-</v>
      </c>
      <c r="O22" s="238" t="str" cm="1">
        <f t="array" aca="1" ref="O22" ca="1">IFERROR(INDEX(OFFSET(ADMIN!$J$1,0,0,O$2,ADMIN!$D$5*3),O$2,MATCH($A22,OFFSET(ADMIN!$J$1,0,0,1,ADMIN!$D$5*3),0)+1),"-")</f>
        <v>-</v>
      </c>
      <c r="P22" s="238" t="str" cm="1">
        <f t="array" aca="1" ref="P22" ca="1">IFERROR(INDEX(OFFSET(ADMIN!$J$1,0,0,P$2,ADMIN!$D$5*3),P$2,MATCH($A22,OFFSET(ADMIN!$J$1,0,0,1,ADMIN!$D$5*3),0)+1),"-")</f>
        <v>-</v>
      </c>
      <c r="Q22" s="238" t="str" cm="1">
        <f t="array" aca="1" ref="Q22" ca="1">IFERROR(INDEX(OFFSET(ADMIN!$J$1,0,0,Q$2,ADMIN!$D$5*3),Q$2,MATCH($A22,OFFSET(ADMIN!$J$1,0,0,1,ADMIN!$D$5*3),0)+1),"-")</f>
        <v>-</v>
      </c>
      <c r="R22" s="238" t="str" cm="1">
        <f t="array" aca="1" ref="R22" ca="1">IFERROR(INDEX(OFFSET(ADMIN!$J$1,0,0,R$2,ADMIN!$D$5*3),R$2,MATCH($A22,OFFSET(ADMIN!$J$1,0,0,1,ADMIN!$D$5*3),0)+1),"-")</f>
        <v>-</v>
      </c>
      <c r="S22" s="238" t="str" cm="1">
        <f t="array" aca="1" ref="S22" ca="1">IFERROR(INDEX(OFFSET(ADMIN!$J$1,0,0,S$2,ADMIN!$D$5*3),S$2,MATCH($A22,OFFSET(ADMIN!$J$1,0,0,1,ADMIN!$D$5*3),0)+1),"-")</f>
        <v>-</v>
      </c>
      <c r="T22" s="234"/>
    </row>
    <row r="23" spans="1:20" ht="15.95">
      <c r="A23" s="250">
        <f t="shared" si="0"/>
        <v>20</v>
      </c>
      <c r="B23" s="236" t="str">
        <f ca="1">IFERROR(HLOOKUP(A23,OFFSET(ADMIN!$J$1,0,0,3,ADMIN!$D$5*3),3,FALSE),"-")</f>
        <v>-</v>
      </c>
      <c r="C23" s="237" t="str">
        <f ca="1">IFERROR(HLOOKUP(A23,OFFSET(ADMIN!$J$1,0,0,5,ADMIN!$D$5*3),5,FALSE),"-")</f>
        <v>-</v>
      </c>
      <c r="D23" s="236" t="str">
        <f ca="1">IFERROR(HLOOKUP(A23,OFFSET(ADMIN!$J$1,0,0,5,ADMIN!$D$5*3),4,FALSE),"-")</f>
        <v>-</v>
      </c>
      <c r="E23" s="238" t="str" cm="1">
        <f t="array" aca="1" ref="E23" ca="1">IFERROR(INDEX(OFFSET(ADMIN!$J$1,0,0,E$2,ADMIN!$D$5*3),E$2,MATCH($A23,OFFSET(ADMIN!$J$1,0,0,1,ADMIN!$D$5*3),0)+1),"-")</f>
        <v>-</v>
      </c>
      <c r="F23" s="238" t="str" cm="1">
        <f t="array" aca="1" ref="F23" ca="1">IFERROR(INDEX(OFFSET(ADMIN!$J$1,0,0,F$2,ADMIN!$D$5*3),F$2,MATCH($A23,OFFSET(ADMIN!$J$1,0,0,1,ADMIN!$D$5*3),0)+1),"-")</f>
        <v>-</v>
      </c>
      <c r="G23" s="238" t="str" cm="1">
        <f t="array" aca="1" ref="G23" ca="1">IFERROR(INDEX(OFFSET(ADMIN!$J$1,0,0,G$2,ADMIN!$D$5*3),G$2,MATCH($A23,OFFSET(ADMIN!$J$1,0,0,1,ADMIN!$D$5*3),0)+1),"-")</f>
        <v>-</v>
      </c>
      <c r="H23" s="238" t="str" cm="1">
        <f t="array" aca="1" ref="H23" ca="1">IFERROR(INDEX(OFFSET(ADMIN!$J$1,0,0,H$2,ADMIN!$D$5*3),H$2,MATCH($A23,OFFSET(ADMIN!$J$1,0,0,1,ADMIN!$D$5*3),0)+1),"-")</f>
        <v>-</v>
      </c>
      <c r="I23" s="238" t="str" cm="1">
        <f t="array" aca="1" ref="I23" ca="1">IFERROR(INDEX(OFFSET(ADMIN!$J$1,0,0,I$2,ADMIN!$D$5*3),I$2,MATCH($A23,OFFSET(ADMIN!$J$1,0,0,1,ADMIN!$D$5*3),0)+1),"-")</f>
        <v>-</v>
      </c>
      <c r="J23" s="238" t="str" cm="1">
        <f t="array" aca="1" ref="J23" ca="1">IFERROR(INDEX(OFFSET(ADMIN!$J$1,0,0,J$2,ADMIN!$D$5*3),J$2,MATCH($A23,OFFSET(ADMIN!$J$1,0,0,1,ADMIN!$D$5*3),0)+1),"-")</f>
        <v>-</v>
      </c>
      <c r="K23" s="238" t="str" cm="1">
        <f t="array" aca="1" ref="K23" ca="1">IFERROR(INDEX(OFFSET(ADMIN!$J$1,0,0,K$2,ADMIN!$D$5*3),K$2,MATCH($A23,OFFSET(ADMIN!$J$1,0,0,1,ADMIN!$D$5*3),0)+1),"-")</f>
        <v>-</v>
      </c>
      <c r="L23" s="238" t="str" cm="1">
        <f t="array" aca="1" ref="L23" ca="1">IFERROR(INDEX(OFFSET(ADMIN!$J$1,0,0,L$2,ADMIN!$D$5*3),L$2,MATCH($A23,OFFSET(ADMIN!$J$1,0,0,1,ADMIN!$D$5*3),0)+1),"-")</f>
        <v>-</v>
      </c>
      <c r="M23" s="238" t="str" cm="1">
        <f t="array" aca="1" ref="M23" ca="1">IFERROR(INDEX(OFFSET(ADMIN!$J$1,0,0,M$2,ADMIN!$D$5*3),M$2,MATCH($A23,OFFSET(ADMIN!$J$1,0,0,1,ADMIN!$D$5*3),0)+1),"-")</f>
        <v>-</v>
      </c>
      <c r="N23" s="238" t="str" cm="1">
        <f t="array" aca="1" ref="N23" ca="1">IFERROR(INDEX(OFFSET(ADMIN!$J$1,0,0,N$2,ADMIN!$D$5*3),N$2,MATCH($A23,OFFSET(ADMIN!$J$1,0,0,1,ADMIN!$D$5*3),0)+1),"-")</f>
        <v>-</v>
      </c>
      <c r="O23" s="238" t="str" cm="1">
        <f t="array" aca="1" ref="O23" ca="1">IFERROR(INDEX(OFFSET(ADMIN!$J$1,0,0,O$2,ADMIN!$D$5*3),O$2,MATCH($A23,OFFSET(ADMIN!$J$1,0,0,1,ADMIN!$D$5*3),0)+1),"-")</f>
        <v>-</v>
      </c>
      <c r="P23" s="238" t="str" cm="1">
        <f t="array" aca="1" ref="P23" ca="1">IFERROR(INDEX(OFFSET(ADMIN!$J$1,0,0,P$2,ADMIN!$D$5*3),P$2,MATCH($A23,OFFSET(ADMIN!$J$1,0,0,1,ADMIN!$D$5*3),0)+1),"-")</f>
        <v>-</v>
      </c>
      <c r="Q23" s="238" t="str" cm="1">
        <f t="array" aca="1" ref="Q23" ca="1">IFERROR(INDEX(OFFSET(ADMIN!$J$1,0,0,Q$2,ADMIN!$D$5*3),Q$2,MATCH($A23,OFFSET(ADMIN!$J$1,0,0,1,ADMIN!$D$5*3),0)+1),"-")</f>
        <v>-</v>
      </c>
      <c r="R23" s="238" t="str" cm="1">
        <f t="array" aca="1" ref="R23" ca="1">IFERROR(INDEX(OFFSET(ADMIN!$J$1,0,0,R$2,ADMIN!$D$5*3),R$2,MATCH($A23,OFFSET(ADMIN!$J$1,0,0,1,ADMIN!$D$5*3),0)+1),"-")</f>
        <v>-</v>
      </c>
      <c r="S23" s="238" t="str" cm="1">
        <f t="array" aca="1" ref="S23" ca="1">IFERROR(INDEX(OFFSET(ADMIN!$J$1,0,0,S$2,ADMIN!$D$5*3),S$2,MATCH($A23,OFFSET(ADMIN!$J$1,0,0,1,ADMIN!$D$5*3),0)+1),"-")</f>
        <v>-</v>
      </c>
      <c r="T23" s="234"/>
    </row>
    <row r="24" spans="1:20" ht="15.95">
      <c r="A24" s="250">
        <f t="shared" si="0"/>
        <v>21</v>
      </c>
      <c r="B24" s="236" t="str">
        <f ca="1">IFERROR(HLOOKUP(A24,OFFSET(ADMIN!$J$1,0,0,3,ADMIN!$D$5*3),3,FALSE),"-")</f>
        <v>-</v>
      </c>
      <c r="C24" s="237" t="str">
        <f ca="1">IFERROR(HLOOKUP(A24,OFFSET(ADMIN!$J$1,0,0,5,ADMIN!$D$5*3),5,FALSE),"-")</f>
        <v>-</v>
      </c>
      <c r="D24" s="236" t="str">
        <f ca="1">IFERROR(HLOOKUP(A24,OFFSET(ADMIN!$J$1,0,0,5,ADMIN!$D$5*3),4,FALSE),"-")</f>
        <v>-</v>
      </c>
      <c r="E24" s="238" t="str" cm="1">
        <f t="array" aca="1" ref="E24" ca="1">IFERROR(INDEX(OFFSET(ADMIN!$J$1,0,0,E$2,ADMIN!$D$5*3),E$2,MATCH($A24,OFFSET(ADMIN!$J$1,0,0,1,ADMIN!$D$5*3),0)+1),"-")</f>
        <v>-</v>
      </c>
      <c r="F24" s="238" t="str" cm="1">
        <f t="array" aca="1" ref="F24" ca="1">IFERROR(INDEX(OFFSET(ADMIN!$J$1,0,0,F$2,ADMIN!$D$5*3),F$2,MATCH($A24,OFFSET(ADMIN!$J$1,0,0,1,ADMIN!$D$5*3),0)+1),"-")</f>
        <v>-</v>
      </c>
      <c r="G24" s="238" t="str" cm="1">
        <f t="array" aca="1" ref="G24" ca="1">IFERROR(INDEX(OFFSET(ADMIN!$J$1,0,0,G$2,ADMIN!$D$5*3),G$2,MATCH($A24,OFFSET(ADMIN!$J$1,0,0,1,ADMIN!$D$5*3),0)+1),"-")</f>
        <v>-</v>
      </c>
      <c r="H24" s="238" t="str" cm="1">
        <f t="array" aca="1" ref="H24" ca="1">IFERROR(INDEX(OFFSET(ADMIN!$J$1,0,0,H$2,ADMIN!$D$5*3),H$2,MATCH($A24,OFFSET(ADMIN!$J$1,0,0,1,ADMIN!$D$5*3),0)+1),"-")</f>
        <v>-</v>
      </c>
      <c r="I24" s="238" t="str" cm="1">
        <f t="array" aca="1" ref="I24" ca="1">IFERROR(INDEX(OFFSET(ADMIN!$J$1,0,0,I$2,ADMIN!$D$5*3),I$2,MATCH($A24,OFFSET(ADMIN!$J$1,0,0,1,ADMIN!$D$5*3),0)+1),"-")</f>
        <v>-</v>
      </c>
      <c r="J24" s="238" t="str" cm="1">
        <f t="array" aca="1" ref="J24" ca="1">IFERROR(INDEX(OFFSET(ADMIN!$J$1,0,0,J$2,ADMIN!$D$5*3),J$2,MATCH($A24,OFFSET(ADMIN!$J$1,0,0,1,ADMIN!$D$5*3),0)+1),"-")</f>
        <v>-</v>
      </c>
      <c r="K24" s="238" t="str" cm="1">
        <f t="array" aca="1" ref="K24" ca="1">IFERROR(INDEX(OFFSET(ADMIN!$J$1,0,0,K$2,ADMIN!$D$5*3),K$2,MATCH($A24,OFFSET(ADMIN!$J$1,0,0,1,ADMIN!$D$5*3),0)+1),"-")</f>
        <v>-</v>
      </c>
      <c r="L24" s="238" t="str" cm="1">
        <f t="array" aca="1" ref="L24" ca="1">IFERROR(INDEX(OFFSET(ADMIN!$J$1,0,0,L$2,ADMIN!$D$5*3),L$2,MATCH($A24,OFFSET(ADMIN!$J$1,0,0,1,ADMIN!$D$5*3),0)+1),"-")</f>
        <v>-</v>
      </c>
      <c r="M24" s="238" t="str" cm="1">
        <f t="array" aca="1" ref="M24" ca="1">IFERROR(INDEX(OFFSET(ADMIN!$J$1,0,0,M$2,ADMIN!$D$5*3),M$2,MATCH($A24,OFFSET(ADMIN!$J$1,0,0,1,ADMIN!$D$5*3),0)+1),"-")</f>
        <v>-</v>
      </c>
      <c r="N24" s="238" t="str" cm="1">
        <f t="array" aca="1" ref="N24" ca="1">IFERROR(INDEX(OFFSET(ADMIN!$J$1,0,0,N$2,ADMIN!$D$5*3),N$2,MATCH($A24,OFFSET(ADMIN!$J$1,0,0,1,ADMIN!$D$5*3),0)+1),"-")</f>
        <v>-</v>
      </c>
      <c r="O24" s="238" t="str" cm="1">
        <f t="array" aca="1" ref="O24" ca="1">IFERROR(INDEX(OFFSET(ADMIN!$J$1,0,0,O$2,ADMIN!$D$5*3),O$2,MATCH($A24,OFFSET(ADMIN!$J$1,0,0,1,ADMIN!$D$5*3),0)+1),"-")</f>
        <v>-</v>
      </c>
      <c r="P24" s="238" t="str" cm="1">
        <f t="array" aca="1" ref="P24" ca="1">IFERROR(INDEX(OFFSET(ADMIN!$J$1,0,0,P$2,ADMIN!$D$5*3),P$2,MATCH($A24,OFFSET(ADMIN!$J$1,0,0,1,ADMIN!$D$5*3),0)+1),"-")</f>
        <v>-</v>
      </c>
      <c r="Q24" s="238" t="str" cm="1">
        <f t="array" aca="1" ref="Q24" ca="1">IFERROR(INDEX(OFFSET(ADMIN!$J$1,0,0,Q$2,ADMIN!$D$5*3),Q$2,MATCH($A24,OFFSET(ADMIN!$J$1,0,0,1,ADMIN!$D$5*3),0)+1),"-")</f>
        <v>-</v>
      </c>
      <c r="R24" s="238" t="str" cm="1">
        <f t="array" aca="1" ref="R24" ca="1">IFERROR(INDEX(OFFSET(ADMIN!$J$1,0,0,R$2,ADMIN!$D$5*3),R$2,MATCH($A24,OFFSET(ADMIN!$J$1,0,0,1,ADMIN!$D$5*3),0)+1),"-")</f>
        <v>-</v>
      </c>
      <c r="S24" s="238" t="str" cm="1">
        <f t="array" aca="1" ref="S24" ca="1">IFERROR(INDEX(OFFSET(ADMIN!$J$1,0,0,S$2,ADMIN!$D$5*3),S$2,MATCH($A24,OFFSET(ADMIN!$J$1,0,0,1,ADMIN!$D$5*3),0)+1),"-")</f>
        <v>-</v>
      </c>
      <c r="T24" s="234"/>
    </row>
    <row r="25" spans="1:20" ht="15.95">
      <c r="A25" s="250">
        <f t="shared" si="0"/>
        <v>22</v>
      </c>
      <c r="B25" s="236" t="str">
        <f ca="1">IFERROR(HLOOKUP(A25,OFFSET(ADMIN!$J$1,0,0,3,ADMIN!$D$5*3),3,FALSE),"-")</f>
        <v>-</v>
      </c>
      <c r="C25" s="240" t="str">
        <f ca="1">IFERROR(HLOOKUP(A25,OFFSET(ADMIN!$J$1,0,0,5,ADMIN!$D$5*3),5,FALSE),"-")</f>
        <v>-</v>
      </c>
      <c r="D25" s="239" t="str">
        <f ca="1">IFERROR(HLOOKUP(A25,OFFSET(ADMIN!$J$1,0,0,5,ADMIN!$D$5*3),4,FALSE),"-")</f>
        <v>-</v>
      </c>
      <c r="E25" s="241" t="str" cm="1">
        <f t="array" aca="1" ref="E25" ca="1">IFERROR(INDEX(OFFSET(ADMIN!$J$1,0,0,E$2,ADMIN!$D$5*3),E$2,MATCH($A25,OFFSET(ADMIN!$J$1,0,0,1,ADMIN!$D$5*3),0)+1),"-")</f>
        <v>-</v>
      </c>
      <c r="F25" s="238" t="str" cm="1">
        <f t="array" aca="1" ref="F25" ca="1">IFERROR(INDEX(OFFSET(ADMIN!$J$1,0,0,F$2,ADMIN!$D$5*3),F$2,MATCH($A25,OFFSET(ADMIN!$J$1,0,0,1,ADMIN!$D$5*3),0)+1),"-")</f>
        <v>-</v>
      </c>
      <c r="G25" s="241" t="str" cm="1">
        <f t="array" aca="1" ref="G25" ca="1">IFERROR(INDEX(OFFSET(ADMIN!$J$1,0,0,G$2,ADMIN!$D$5*3),G$2,MATCH($A25,OFFSET(ADMIN!$J$1,0,0,1,ADMIN!$D$5*3),0)+1),"-")</f>
        <v>-</v>
      </c>
      <c r="H25" s="241" t="str" cm="1">
        <f t="array" aca="1" ref="H25" ca="1">IFERROR(INDEX(OFFSET(ADMIN!$J$1,0,0,H$2,ADMIN!$D$5*3),H$2,MATCH($A25,OFFSET(ADMIN!$J$1,0,0,1,ADMIN!$D$5*3),0)+1),"-")</f>
        <v>-</v>
      </c>
      <c r="I25" s="241" t="str" cm="1">
        <f t="array" aca="1" ref="I25" ca="1">IFERROR(INDEX(OFFSET(ADMIN!$J$1,0,0,I$2,ADMIN!$D$5*3),I$2,MATCH($A25,OFFSET(ADMIN!$J$1,0,0,1,ADMIN!$D$5*3),0)+1),"-")</f>
        <v>-</v>
      </c>
      <c r="J25" s="241" t="str" cm="1">
        <f t="array" aca="1" ref="J25" ca="1">IFERROR(INDEX(OFFSET(ADMIN!$J$1,0,0,J$2,ADMIN!$D$5*3),J$2,MATCH($A25,OFFSET(ADMIN!$J$1,0,0,1,ADMIN!$D$5*3),0)+1),"-")</f>
        <v>-</v>
      </c>
      <c r="K25" s="238" t="str" cm="1">
        <f t="array" aca="1" ref="K25" ca="1">IFERROR(INDEX(OFFSET(ADMIN!$J$1,0,0,K$2,ADMIN!$D$5*3),K$2,MATCH($A25,OFFSET(ADMIN!$J$1,0,0,1,ADMIN!$D$5*3),0)+1),"-")</f>
        <v>-</v>
      </c>
      <c r="L25" s="241" t="str" cm="1">
        <f t="array" aca="1" ref="L25" ca="1">IFERROR(INDEX(OFFSET(ADMIN!$J$1,0,0,L$2,ADMIN!$D$5*3),L$2,MATCH($A25,OFFSET(ADMIN!$J$1,0,0,1,ADMIN!$D$5*3),0)+1),"-")</f>
        <v>-</v>
      </c>
      <c r="M25" s="241" t="str" cm="1">
        <f t="array" aca="1" ref="M25" ca="1">IFERROR(INDEX(OFFSET(ADMIN!$J$1,0,0,M$2,ADMIN!$D$5*3),M$2,MATCH($A25,OFFSET(ADMIN!$J$1,0,0,1,ADMIN!$D$5*3),0)+1),"-")</f>
        <v>-</v>
      </c>
      <c r="N25" s="241" t="str" cm="1">
        <f t="array" aca="1" ref="N25" ca="1">IFERROR(INDEX(OFFSET(ADMIN!$J$1,0,0,N$2,ADMIN!$D$5*3),N$2,MATCH($A25,OFFSET(ADMIN!$J$1,0,0,1,ADMIN!$D$5*3),0)+1),"-")</f>
        <v>-</v>
      </c>
      <c r="O25" s="241" t="str" cm="1">
        <f t="array" aca="1" ref="O25" ca="1">IFERROR(INDEX(OFFSET(ADMIN!$J$1,0,0,O$2,ADMIN!$D$5*3),O$2,MATCH($A25,OFFSET(ADMIN!$J$1,0,0,1,ADMIN!$D$5*3),0)+1),"-")</f>
        <v>-</v>
      </c>
      <c r="P25" s="238" t="str" cm="1">
        <f t="array" aca="1" ref="P25" ca="1">IFERROR(INDEX(OFFSET(ADMIN!$J$1,0,0,P$2,ADMIN!$D$5*3),P$2,MATCH($A25,OFFSET(ADMIN!$J$1,0,0,1,ADMIN!$D$5*3),0)+1),"-")</f>
        <v>-</v>
      </c>
      <c r="Q25" s="241" t="str" cm="1">
        <f t="array" aca="1" ref="Q25" ca="1">IFERROR(INDEX(OFFSET(ADMIN!$J$1,0,0,Q$2,ADMIN!$D$5*3),Q$2,MATCH($A25,OFFSET(ADMIN!$J$1,0,0,1,ADMIN!$D$5*3),0)+1),"-")</f>
        <v>-</v>
      </c>
      <c r="R25" s="241" t="str" cm="1">
        <f t="array" aca="1" ref="R25" ca="1">IFERROR(INDEX(OFFSET(ADMIN!$J$1,0,0,R$2,ADMIN!$D$5*3),R$2,MATCH($A25,OFFSET(ADMIN!$J$1,0,0,1,ADMIN!$D$5*3),0)+1),"-")</f>
        <v>-</v>
      </c>
      <c r="S25" s="241" t="str" cm="1">
        <f t="array" aca="1" ref="S25" ca="1">IFERROR(INDEX(OFFSET(ADMIN!$J$1,0,0,S$2,ADMIN!$D$5*3),S$2,MATCH($A25,OFFSET(ADMIN!$J$1,0,0,1,ADMIN!$D$5*3),0)+1),"-")</f>
        <v>-</v>
      </c>
      <c r="T25" s="234"/>
    </row>
    <row r="26" spans="1:20" ht="15.95">
      <c r="A26" s="250">
        <f t="shared" si="0"/>
        <v>23</v>
      </c>
      <c r="B26" s="236" t="str">
        <f ca="1">IFERROR(HLOOKUP(A26,OFFSET(ADMIN!$J$1,0,0,3,ADMIN!$D$5*3),3,FALSE),"-")</f>
        <v>-</v>
      </c>
      <c r="C26" s="240" t="str">
        <f ca="1">IFERROR(HLOOKUP(A26,OFFSET(ADMIN!$J$1,0,0,5,ADMIN!$D$5*3),5,FALSE),"-")</f>
        <v>-</v>
      </c>
      <c r="D26" s="239" t="str">
        <f ca="1">IFERROR(HLOOKUP(A26,OFFSET(ADMIN!$J$1,0,0,5,ADMIN!$D$5*3),4,FALSE),"-")</f>
        <v>-</v>
      </c>
      <c r="E26" s="241" t="str" cm="1">
        <f t="array" aca="1" ref="E26" ca="1">IFERROR(INDEX(OFFSET(ADMIN!$J$1,0,0,E$2,ADMIN!$D$5*3),E$2,MATCH($A26,OFFSET(ADMIN!$J$1,0,0,1,ADMIN!$D$5*3),0)+1),"-")</f>
        <v>-</v>
      </c>
      <c r="F26" s="238" t="str" cm="1">
        <f t="array" aca="1" ref="F26" ca="1">IFERROR(INDEX(OFFSET(ADMIN!$J$1,0,0,F$2,ADMIN!$D$5*3),F$2,MATCH($A26,OFFSET(ADMIN!$J$1,0,0,1,ADMIN!$D$5*3),0)+1),"-")</f>
        <v>-</v>
      </c>
      <c r="G26" s="241" t="str" cm="1">
        <f t="array" aca="1" ref="G26" ca="1">IFERROR(INDEX(OFFSET(ADMIN!$J$1,0,0,G$2,ADMIN!$D$5*3),G$2,MATCH($A26,OFFSET(ADMIN!$J$1,0,0,1,ADMIN!$D$5*3),0)+1),"-")</f>
        <v>-</v>
      </c>
      <c r="H26" s="241" t="str" cm="1">
        <f t="array" aca="1" ref="H26" ca="1">IFERROR(INDEX(OFFSET(ADMIN!$J$1,0,0,H$2,ADMIN!$D$5*3),H$2,MATCH($A26,OFFSET(ADMIN!$J$1,0,0,1,ADMIN!$D$5*3),0)+1),"-")</f>
        <v>-</v>
      </c>
      <c r="I26" s="241" t="str" cm="1">
        <f t="array" aca="1" ref="I26" ca="1">IFERROR(INDEX(OFFSET(ADMIN!$J$1,0,0,I$2,ADMIN!$D$5*3),I$2,MATCH($A26,OFFSET(ADMIN!$J$1,0,0,1,ADMIN!$D$5*3),0)+1),"-")</f>
        <v>-</v>
      </c>
      <c r="J26" s="241" t="str" cm="1">
        <f t="array" aca="1" ref="J26" ca="1">IFERROR(INDEX(OFFSET(ADMIN!$J$1,0,0,J$2,ADMIN!$D$5*3),J$2,MATCH($A26,OFFSET(ADMIN!$J$1,0,0,1,ADMIN!$D$5*3),0)+1),"-")</f>
        <v>-</v>
      </c>
      <c r="K26" s="238" t="str" cm="1">
        <f t="array" aca="1" ref="K26" ca="1">IFERROR(INDEX(OFFSET(ADMIN!$J$1,0,0,K$2,ADMIN!$D$5*3),K$2,MATCH($A26,OFFSET(ADMIN!$J$1,0,0,1,ADMIN!$D$5*3),0)+1),"-")</f>
        <v>-</v>
      </c>
      <c r="L26" s="241" t="str" cm="1">
        <f t="array" aca="1" ref="L26" ca="1">IFERROR(INDEX(OFFSET(ADMIN!$J$1,0,0,L$2,ADMIN!$D$5*3),L$2,MATCH($A26,OFFSET(ADMIN!$J$1,0,0,1,ADMIN!$D$5*3),0)+1),"-")</f>
        <v>-</v>
      </c>
      <c r="M26" s="241" t="str" cm="1">
        <f t="array" aca="1" ref="M26" ca="1">IFERROR(INDEX(OFFSET(ADMIN!$J$1,0,0,M$2,ADMIN!$D$5*3),M$2,MATCH($A26,OFFSET(ADMIN!$J$1,0,0,1,ADMIN!$D$5*3),0)+1),"-")</f>
        <v>-</v>
      </c>
      <c r="N26" s="241" t="str" cm="1">
        <f t="array" aca="1" ref="N26" ca="1">IFERROR(INDEX(OFFSET(ADMIN!$J$1,0,0,N$2,ADMIN!$D$5*3),N$2,MATCH($A26,OFFSET(ADMIN!$J$1,0,0,1,ADMIN!$D$5*3),0)+1),"-")</f>
        <v>-</v>
      </c>
      <c r="O26" s="241" t="str" cm="1">
        <f t="array" aca="1" ref="O26" ca="1">IFERROR(INDEX(OFFSET(ADMIN!$J$1,0,0,O$2,ADMIN!$D$5*3),O$2,MATCH($A26,OFFSET(ADMIN!$J$1,0,0,1,ADMIN!$D$5*3),0)+1),"-")</f>
        <v>-</v>
      </c>
      <c r="P26" s="238" t="str" cm="1">
        <f t="array" aca="1" ref="P26" ca="1">IFERROR(INDEX(OFFSET(ADMIN!$J$1,0,0,P$2,ADMIN!$D$5*3),P$2,MATCH($A26,OFFSET(ADMIN!$J$1,0,0,1,ADMIN!$D$5*3),0)+1),"-")</f>
        <v>-</v>
      </c>
      <c r="Q26" s="241" t="str" cm="1">
        <f t="array" aca="1" ref="Q26" ca="1">IFERROR(INDEX(OFFSET(ADMIN!$J$1,0,0,Q$2,ADMIN!$D$5*3),Q$2,MATCH($A26,OFFSET(ADMIN!$J$1,0,0,1,ADMIN!$D$5*3),0)+1),"-")</f>
        <v>-</v>
      </c>
      <c r="R26" s="241" t="str" cm="1">
        <f t="array" aca="1" ref="R26" ca="1">IFERROR(INDEX(OFFSET(ADMIN!$J$1,0,0,R$2,ADMIN!$D$5*3),R$2,MATCH($A26,OFFSET(ADMIN!$J$1,0,0,1,ADMIN!$D$5*3),0)+1),"-")</f>
        <v>-</v>
      </c>
      <c r="S26" s="241" t="str" cm="1">
        <f t="array" aca="1" ref="S26" ca="1">IFERROR(INDEX(OFFSET(ADMIN!$J$1,0,0,S$2,ADMIN!$D$5*3),S$2,MATCH($A26,OFFSET(ADMIN!$J$1,0,0,1,ADMIN!$D$5*3),0)+1),"-")</f>
        <v>-</v>
      </c>
      <c r="T26" s="234"/>
    </row>
    <row r="27" spans="1:20" ht="15.95">
      <c r="A27" s="250">
        <f t="shared" si="0"/>
        <v>24</v>
      </c>
      <c r="B27" s="236" t="str">
        <f ca="1">IFERROR(HLOOKUP(A27,OFFSET(ADMIN!$J$1,0,0,3,ADMIN!$D$5*3),3,FALSE),"-")</f>
        <v>-</v>
      </c>
      <c r="C27" s="237" t="str">
        <f ca="1">IFERROR(HLOOKUP(A27,OFFSET(ADMIN!$J$1,0,0,5,ADMIN!$D$5*3),5,FALSE),"-")</f>
        <v>-</v>
      </c>
      <c r="D27" s="236" t="str">
        <f ca="1">IFERROR(HLOOKUP(A27,OFFSET(ADMIN!$J$1,0,0,5,ADMIN!$D$5*3),4,FALSE),"-")</f>
        <v>-</v>
      </c>
      <c r="E27" s="238" t="str" cm="1">
        <f t="array" aca="1" ref="E27" ca="1">IFERROR(INDEX(OFFSET(ADMIN!$J$1,0,0,E$2,ADMIN!$D$5*3),E$2,MATCH($A27,OFFSET(ADMIN!$J$1,0,0,1,ADMIN!$D$5*3),0)+1),"-")</f>
        <v>-</v>
      </c>
      <c r="F27" s="238" t="str" cm="1">
        <f t="array" aca="1" ref="F27" ca="1">IFERROR(INDEX(OFFSET(ADMIN!$J$1,0,0,F$2,ADMIN!$D$5*3),F$2,MATCH($A27,OFFSET(ADMIN!$J$1,0,0,1,ADMIN!$D$5*3),0)+1),"-")</f>
        <v>-</v>
      </c>
      <c r="G27" s="238" t="str" cm="1">
        <f t="array" aca="1" ref="G27" ca="1">IFERROR(INDEX(OFFSET(ADMIN!$J$1,0,0,G$2,ADMIN!$D$5*3),G$2,MATCH($A27,OFFSET(ADMIN!$J$1,0,0,1,ADMIN!$D$5*3),0)+1),"-")</f>
        <v>-</v>
      </c>
      <c r="H27" s="238" t="str" cm="1">
        <f t="array" aca="1" ref="H27" ca="1">IFERROR(INDEX(OFFSET(ADMIN!$J$1,0,0,H$2,ADMIN!$D$5*3),H$2,MATCH($A27,OFFSET(ADMIN!$J$1,0,0,1,ADMIN!$D$5*3),0)+1),"-")</f>
        <v>-</v>
      </c>
      <c r="I27" s="238" t="str" cm="1">
        <f t="array" aca="1" ref="I27" ca="1">IFERROR(INDEX(OFFSET(ADMIN!$J$1,0,0,I$2,ADMIN!$D$5*3),I$2,MATCH($A27,OFFSET(ADMIN!$J$1,0,0,1,ADMIN!$D$5*3),0)+1),"-")</f>
        <v>-</v>
      </c>
      <c r="J27" s="238" t="str" cm="1">
        <f t="array" aca="1" ref="J27" ca="1">IFERROR(INDEX(OFFSET(ADMIN!$J$1,0,0,J$2,ADMIN!$D$5*3),J$2,MATCH($A27,OFFSET(ADMIN!$J$1,0,0,1,ADMIN!$D$5*3),0)+1),"-")</f>
        <v>-</v>
      </c>
      <c r="K27" s="238" t="str" cm="1">
        <f t="array" aca="1" ref="K27" ca="1">IFERROR(INDEX(OFFSET(ADMIN!$J$1,0,0,K$2,ADMIN!$D$5*3),K$2,MATCH($A27,OFFSET(ADMIN!$J$1,0,0,1,ADMIN!$D$5*3),0)+1),"-")</f>
        <v>-</v>
      </c>
      <c r="L27" s="238" t="str" cm="1">
        <f t="array" aca="1" ref="L27" ca="1">IFERROR(INDEX(OFFSET(ADMIN!$J$1,0,0,L$2,ADMIN!$D$5*3),L$2,MATCH($A27,OFFSET(ADMIN!$J$1,0,0,1,ADMIN!$D$5*3),0)+1),"-")</f>
        <v>-</v>
      </c>
      <c r="M27" s="238" t="str" cm="1">
        <f t="array" aca="1" ref="M27" ca="1">IFERROR(INDEX(OFFSET(ADMIN!$J$1,0,0,M$2,ADMIN!$D$5*3),M$2,MATCH($A27,OFFSET(ADMIN!$J$1,0,0,1,ADMIN!$D$5*3),0)+1),"-")</f>
        <v>-</v>
      </c>
      <c r="N27" s="238" t="str" cm="1">
        <f t="array" aca="1" ref="N27" ca="1">IFERROR(INDEX(OFFSET(ADMIN!$J$1,0,0,N$2,ADMIN!$D$5*3),N$2,MATCH($A27,OFFSET(ADMIN!$J$1,0,0,1,ADMIN!$D$5*3),0)+1),"-")</f>
        <v>-</v>
      </c>
      <c r="O27" s="238" t="str" cm="1">
        <f t="array" aca="1" ref="O27" ca="1">IFERROR(INDEX(OFFSET(ADMIN!$J$1,0,0,O$2,ADMIN!$D$5*3),O$2,MATCH($A27,OFFSET(ADMIN!$J$1,0,0,1,ADMIN!$D$5*3),0)+1),"-")</f>
        <v>-</v>
      </c>
      <c r="P27" s="238" t="str" cm="1">
        <f t="array" aca="1" ref="P27" ca="1">IFERROR(INDEX(OFFSET(ADMIN!$J$1,0,0,P$2,ADMIN!$D$5*3),P$2,MATCH($A27,OFFSET(ADMIN!$J$1,0,0,1,ADMIN!$D$5*3),0)+1),"-")</f>
        <v>-</v>
      </c>
      <c r="Q27" s="238" t="str" cm="1">
        <f t="array" aca="1" ref="Q27" ca="1">IFERROR(INDEX(OFFSET(ADMIN!$J$1,0,0,Q$2,ADMIN!$D$5*3),Q$2,MATCH($A27,OFFSET(ADMIN!$J$1,0,0,1,ADMIN!$D$5*3),0)+1),"-")</f>
        <v>-</v>
      </c>
      <c r="R27" s="238" t="str" cm="1">
        <f t="array" aca="1" ref="R27" ca="1">IFERROR(INDEX(OFFSET(ADMIN!$J$1,0,0,R$2,ADMIN!$D$5*3),R$2,MATCH($A27,OFFSET(ADMIN!$J$1,0,0,1,ADMIN!$D$5*3),0)+1),"-")</f>
        <v>-</v>
      </c>
      <c r="S27" s="238" t="str" cm="1">
        <f t="array" aca="1" ref="S27" ca="1">IFERROR(INDEX(OFFSET(ADMIN!$J$1,0,0,S$2,ADMIN!$D$5*3),S$2,MATCH($A27,OFFSET(ADMIN!$J$1,0,0,1,ADMIN!$D$5*3),0)+1),"-")</f>
        <v>-</v>
      </c>
      <c r="T27" s="234"/>
    </row>
    <row r="28" spans="1:20" ht="15.95">
      <c r="A28" s="250">
        <f t="shared" si="0"/>
        <v>25</v>
      </c>
      <c r="B28" s="236" t="str">
        <f ca="1">IFERROR(HLOOKUP(A28,OFFSET(ADMIN!$J$1,0,0,3,ADMIN!$D$5*3),3,FALSE),"-")</f>
        <v>-</v>
      </c>
      <c r="C28" s="237" t="str">
        <f ca="1">IFERROR(HLOOKUP(A28,OFFSET(ADMIN!$J$1,0,0,5,ADMIN!$D$5*3),5,FALSE),"-")</f>
        <v>-</v>
      </c>
      <c r="D28" s="236" t="str">
        <f ca="1">IFERROR(HLOOKUP(A28,OFFSET(ADMIN!$J$1,0,0,5,ADMIN!$D$5*3),4,FALSE),"-")</f>
        <v>-</v>
      </c>
      <c r="E28" s="238" t="str" cm="1">
        <f t="array" aca="1" ref="E28" ca="1">IFERROR(INDEX(OFFSET(ADMIN!$J$1,0,0,E$2,ADMIN!$D$5*3),E$2,MATCH($A28,OFFSET(ADMIN!$J$1,0,0,1,ADMIN!$D$5*3),0)+1),"-")</f>
        <v>-</v>
      </c>
      <c r="F28" s="238" t="str" cm="1">
        <f t="array" aca="1" ref="F28" ca="1">IFERROR(INDEX(OFFSET(ADMIN!$J$1,0,0,F$2,ADMIN!$D$5*3),F$2,MATCH($A28,OFFSET(ADMIN!$J$1,0,0,1,ADMIN!$D$5*3),0)+1),"-")</f>
        <v>-</v>
      </c>
      <c r="G28" s="238" t="str" cm="1">
        <f t="array" aca="1" ref="G28" ca="1">IFERROR(INDEX(OFFSET(ADMIN!$J$1,0,0,G$2,ADMIN!$D$5*3),G$2,MATCH($A28,OFFSET(ADMIN!$J$1,0,0,1,ADMIN!$D$5*3),0)+1),"-")</f>
        <v>-</v>
      </c>
      <c r="H28" s="238" t="str" cm="1">
        <f t="array" aca="1" ref="H28" ca="1">IFERROR(INDEX(OFFSET(ADMIN!$J$1,0,0,H$2,ADMIN!$D$5*3),H$2,MATCH($A28,OFFSET(ADMIN!$J$1,0,0,1,ADMIN!$D$5*3),0)+1),"-")</f>
        <v>-</v>
      </c>
      <c r="I28" s="238" t="str" cm="1">
        <f t="array" aca="1" ref="I28" ca="1">IFERROR(INDEX(OFFSET(ADMIN!$J$1,0,0,I$2,ADMIN!$D$5*3),I$2,MATCH($A28,OFFSET(ADMIN!$J$1,0,0,1,ADMIN!$D$5*3),0)+1),"-")</f>
        <v>-</v>
      </c>
      <c r="J28" s="238" t="str" cm="1">
        <f t="array" aca="1" ref="J28" ca="1">IFERROR(INDEX(OFFSET(ADMIN!$J$1,0,0,J$2,ADMIN!$D$5*3),J$2,MATCH($A28,OFFSET(ADMIN!$J$1,0,0,1,ADMIN!$D$5*3),0)+1),"-")</f>
        <v>-</v>
      </c>
      <c r="K28" s="238" t="str" cm="1">
        <f t="array" aca="1" ref="K28" ca="1">IFERROR(INDEX(OFFSET(ADMIN!$J$1,0,0,K$2,ADMIN!$D$5*3),K$2,MATCH($A28,OFFSET(ADMIN!$J$1,0,0,1,ADMIN!$D$5*3),0)+1),"-")</f>
        <v>-</v>
      </c>
      <c r="L28" s="238" t="str" cm="1">
        <f t="array" aca="1" ref="L28" ca="1">IFERROR(INDEX(OFFSET(ADMIN!$J$1,0,0,L$2,ADMIN!$D$5*3),L$2,MATCH($A28,OFFSET(ADMIN!$J$1,0,0,1,ADMIN!$D$5*3),0)+1),"-")</f>
        <v>-</v>
      </c>
      <c r="M28" s="238" t="str" cm="1">
        <f t="array" aca="1" ref="M28" ca="1">IFERROR(INDEX(OFFSET(ADMIN!$J$1,0,0,M$2,ADMIN!$D$5*3),M$2,MATCH($A28,OFFSET(ADMIN!$J$1,0,0,1,ADMIN!$D$5*3),0)+1),"-")</f>
        <v>-</v>
      </c>
      <c r="N28" s="238" t="str" cm="1">
        <f t="array" aca="1" ref="N28" ca="1">IFERROR(INDEX(OFFSET(ADMIN!$J$1,0,0,N$2,ADMIN!$D$5*3),N$2,MATCH($A28,OFFSET(ADMIN!$J$1,0,0,1,ADMIN!$D$5*3),0)+1),"-")</f>
        <v>-</v>
      </c>
      <c r="O28" s="238" t="str" cm="1">
        <f t="array" aca="1" ref="O28" ca="1">IFERROR(INDEX(OFFSET(ADMIN!$J$1,0,0,O$2,ADMIN!$D$5*3),O$2,MATCH($A28,OFFSET(ADMIN!$J$1,0,0,1,ADMIN!$D$5*3),0)+1),"-")</f>
        <v>-</v>
      </c>
      <c r="P28" s="238" t="str" cm="1">
        <f t="array" aca="1" ref="P28" ca="1">IFERROR(INDEX(OFFSET(ADMIN!$J$1,0,0,P$2,ADMIN!$D$5*3),P$2,MATCH($A28,OFFSET(ADMIN!$J$1,0,0,1,ADMIN!$D$5*3),0)+1),"-")</f>
        <v>-</v>
      </c>
      <c r="Q28" s="238" t="str" cm="1">
        <f t="array" aca="1" ref="Q28" ca="1">IFERROR(INDEX(OFFSET(ADMIN!$J$1,0,0,Q$2,ADMIN!$D$5*3),Q$2,MATCH($A28,OFFSET(ADMIN!$J$1,0,0,1,ADMIN!$D$5*3),0)+1),"-")</f>
        <v>-</v>
      </c>
      <c r="R28" s="238" t="str" cm="1">
        <f t="array" aca="1" ref="R28" ca="1">IFERROR(INDEX(OFFSET(ADMIN!$J$1,0,0,R$2,ADMIN!$D$5*3),R$2,MATCH($A28,OFFSET(ADMIN!$J$1,0,0,1,ADMIN!$D$5*3),0)+1),"-")</f>
        <v>-</v>
      </c>
      <c r="S28" s="238" t="str" cm="1">
        <f t="array" aca="1" ref="S28" ca="1">IFERROR(INDEX(OFFSET(ADMIN!$J$1,0,0,S$2,ADMIN!$D$5*3),S$2,MATCH($A28,OFFSET(ADMIN!$J$1,0,0,1,ADMIN!$D$5*3),0)+1),"-")</f>
        <v>-</v>
      </c>
      <c r="T28" s="234"/>
    </row>
    <row r="29" spans="1:20">
      <c r="A29" s="234"/>
      <c r="B29" s="234"/>
      <c r="C29" s="234"/>
      <c r="D29" s="234"/>
      <c r="E29" s="234"/>
      <c r="F29" s="234"/>
      <c r="G29" s="234"/>
      <c r="H29" s="234"/>
      <c r="I29" s="234"/>
      <c r="J29" s="234"/>
      <c r="K29" s="234"/>
      <c r="L29" s="234"/>
      <c r="M29" s="234"/>
      <c r="N29" s="234"/>
      <c r="O29" s="234"/>
      <c r="P29" s="234"/>
      <c r="Q29" s="234"/>
      <c r="R29" s="234"/>
      <c r="S29" s="234"/>
      <c r="T29" s="234"/>
    </row>
    <row r="30" spans="1:20">
      <c r="A30" s="234"/>
      <c r="B30" s="234"/>
      <c r="C30" s="234"/>
      <c r="D30" s="234"/>
      <c r="E30" s="234"/>
      <c r="F30" s="234"/>
      <c r="G30" s="234"/>
      <c r="H30" s="234"/>
      <c r="I30" s="234"/>
      <c r="J30" s="234"/>
      <c r="K30" s="234"/>
      <c r="L30" s="234"/>
      <c r="M30" s="234"/>
      <c r="N30" s="234"/>
      <c r="O30" s="234"/>
      <c r="P30" s="234"/>
      <c r="Q30" s="234"/>
      <c r="R30" s="234"/>
      <c r="S30" s="234"/>
      <c r="T30" s="234"/>
    </row>
    <row r="31" spans="1:20">
      <c r="A31" s="232"/>
      <c r="E31" s="232"/>
      <c r="F31" s="232"/>
      <c r="G31" s="232"/>
      <c r="H31" s="232"/>
      <c r="I31" s="232"/>
      <c r="J31" s="232"/>
      <c r="K31" s="232"/>
      <c r="L31" s="232"/>
      <c r="M31" s="232"/>
      <c r="N31" s="232"/>
      <c r="O31" s="232"/>
      <c r="P31" s="232"/>
    </row>
    <row r="32" spans="1:20">
      <c r="A32" s="232"/>
      <c r="E32" s="232"/>
      <c r="F32" s="232"/>
      <c r="G32" s="232"/>
      <c r="H32" s="232"/>
      <c r="I32" s="232"/>
      <c r="J32" s="232"/>
      <c r="K32" s="232"/>
      <c r="L32" s="232"/>
      <c r="M32" s="232"/>
      <c r="N32" s="232"/>
      <c r="O32" s="232"/>
      <c r="P32" s="232"/>
    </row>
    <row r="33" spans="1:16">
      <c r="A33" s="232"/>
      <c r="E33" s="232"/>
      <c r="F33" s="232"/>
      <c r="G33" s="232"/>
      <c r="H33" s="232"/>
      <c r="I33" s="232"/>
      <c r="J33" s="232"/>
      <c r="K33" s="232"/>
      <c r="L33" s="232"/>
      <c r="M33" s="232"/>
      <c r="N33" s="232"/>
      <c r="O33" s="232"/>
      <c r="P33" s="232"/>
    </row>
    <row r="34" spans="1:16">
      <c r="A34" s="232"/>
      <c r="E34" s="232"/>
      <c r="F34" s="232"/>
      <c r="G34" s="232"/>
      <c r="H34" s="232"/>
      <c r="I34" s="232"/>
      <c r="J34" s="232"/>
      <c r="K34" s="232"/>
      <c r="L34" s="232"/>
      <c r="M34" s="232"/>
      <c r="N34" s="232"/>
      <c r="O34" s="232"/>
      <c r="P34" s="232"/>
    </row>
    <row r="35" spans="1:16">
      <c r="A35" s="232"/>
      <c r="E35" s="232"/>
      <c r="F35" s="232"/>
      <c r="G35" s="232"/>
      <c r="H35" s="232"/>
      <c r="I35" s="232"/>
      <c r="J35" s="232"/>
      <c r="K35" s="232"/>
      <c r="L35" s="232"/>
      <c r="M35" s="232"/>
      <c r="N35" s="232"/>
      <c r="O35" s="232"/>
      <c r="P35" s="232"/>
    </row>
    <row r="36" spans="1:16">
      <c r="A36" s="232"/>
      <c r="E36" s="232"/>
      <c r="F36" s="232"/>
      <c r="G36" s="232"/>
      <c r="H36" s="232"/>
      <c r="I36" s="232"/>
      <c r="J36" s="232"/>
      <c r="K36" s="232"/>
      <c r="L36" s="232"/>
      <c r="M36" s="232"/>
      <c r="N36" s="232"/>
      <c r="O36" s="232"/>
      <c r="P36" s="232"/>
    </row>
    <row r="37" spans="1:16">
      <c r="A37" s="232"/>
      <c r="E37" s="232"/>
      <c r="F37" s="232"/>
      <c r="G37" s="232"/>
      <c r="H37" s="232"/>
      <c r="I37" s="232"/>
      <c r="J37" s="232"/>
      <c r="K37" s="232"/>
      <c r="L37" s="232"/>
      <c r="M37" s="232"/>
      <c r="N37" s="232"/>
      <c r="O37" s="232"/>
      <c r="P37" s="232"/>
    </row>
    <row r="38" spans="1:16">
      <c r="A38" s="232"/>
      <c r="E38" s="232"/>
      <c r="F38" s="232"/>
      <c r="G38" s="232"/>
      <c r="H38" s="232"/>
      <c r="I38" s="232"/>
      <c r="J38" s="232"/>
      <c r="K38" s="232"/>
      <c r="L38" s="232"/>
      <c r="M38" s="232"/>
      <c r="N38" s="232"/>
      <c r="O38" s="232"/>
      <c r="P38" s="232"/>
    </row>
    <row r="39" spans="1:16">
      <c r="A39" s="232"/>
      <c r="E39" s="232"/>
      <c r="F39" s="232"/>
      <c r="G39" s="232"/>
      <c r="H39" s="232"/>
      <c r="I39" s="232"/>
      <c r="J39" s="232"/>
      <c r="K39" s="232"/>
      <c r="L39" s="232"/>
      <c r="M39" s="232"/>
      <c r="N39" s="232"/>
      <c r="O39" s="232"/>
      <c r="P39" s="232"/>
    </row>
    <row r="40" spans="1:16">
      <c r="A40" s="232"/>
      <c r="E40" s="232"/>
      <c r="F40" s="232"/>
      <c r="G40" s="232"/>
      <c r="H40" s="232"/>
      <c r="I40" s="232"/>
      <c r="J40" s="232"/>
      <c r="K40" s="232"/>
      <c r="L40" s="232"/>
      <c r="M40" s="232"/>
      <c r="N40" s="232"/>
      <c r="O40" s="232"/>
      <c r="P40" s="232"/>
    </row>
    <row r="41" spans="1:16">
      <c r="A41" s="232"/>
      <c r="E41" s="232"/>
      <c r="F41" s="232"/>
      <c r="G41" s="232"/>
      <c r="H41" s="232"/>
      <c r="I41" s="232"/>
      <c r="J41" s="232"/>
      <c r="K41" s="232"/>
      <c r="L41" s="232"/>
      <c r="M41" s="232"/>
      <c r="N41" s="232"/>
      <c r="O41" s="232"/>
      <c r="P41" s="232"/>
    </row>
    <row r="42" spans="1:16">
      <c r="A42" s="232"/>
      <c r="E42" s="232"/>
      <c r="F42" s="232"/>
      <c r="G42" s="232"/>
      <c r="H42" s="232"/>
      <c r="I42" s="232"/>
      <c r="J42" s="232"/>
      <c r="K42" s="232"/>
      <c r="L42" s="232"/>
      <c r="M42" s="232"/>
      <c r="N42" s="232"/>
      <c r="O42" s="232"/>
      <c r="P42" s="232"/>
    </row>
    <row r="43" spans="1:16">
      <c r="A43" s="232"/>
      <c r="E43" s="232"/>
      <c r="F43" s="232"/>
      <c r="G43" s="232"/>
      <c r="H43" s="232"/>
      <c r="I43" s="232"/>
      <c r="J43" s="232"/>
      <c r="K43" s="232"/>
      <c r="L43" s="232"/>
      <c r="M43" s="232"/>
      <c r="N43" s="232"/>
      <c r="O43" s="232"/>
      <c r="P43" s="232"/>
    </row>
    <row r="44" spans="1:16">
      <c r="A44" s="232"/>
      <c r="E44" s="232"/>
      <c r="F44" s="232"/>
      <c r="G44" s="232"/>
      <c r="H44" s="232"/>
      <c r="I44" s="232"/>
      <c r="J44" s="232"/>
      <c r="K44" s="232"/>
      <c r="L44" s="232"/>
      <c r="M44" s="232"/>
      <c r="N44" s="232"/>
      <c r="O44" s="232"/>
      <c r="P44" s="232"/>
    </row>
    <row r="45" spans="1:16">
      <c r="A45" s="232"/>
      <c r="E45" s="232"/>
      <c r="F45" s="232"/>
      <c r="G45" s="232"/>
      <c r="H45" s="232"/>
      <c r="I45" s="232"/>
      <c r="J45" s="232"/>
      <c r="K45" s="232"/>
      <c r="L45" s="232"/>
      <c r="M45" s="232"/>
      <c r="N45" s="232"/>
      <c r="O45" s="232"/>
      <c r="P45" s="232"/>
    </row>
    <row r="46" spans="1:16">
      <c r="A46" s="232"/>
      <c r="E46" s="232"/>
      <c r="F46" s="232"/>
      <c r="G46" s="232"/>
      <c r="H46" s="232"/>
      <c r="I46" s="232"/>
      <c r="J46" s="232"/>
      <c r="K46" s="232"/>
      <c r="L46" s="232"/>
      <c r="M46" s="232"/>
      <c r="N46" s="232"/>
      <c r="O46" s="232"/>
      <c r="P46" s="232"/>
    </row>
    <row r="47" spans="1:16">
      <c r="A47" s="232"/>
      <c r="E47" s="232"/>
      <c r="F47" s="232"/>
      <c r="G47" s="232"/>
      <c r="H47" s="232"/>
      <c r="I47" s="232"/>
      <c r="J47" s="232"/>
      <c r="K47" s="232"/>
      <c r="L47" s="232"/>
      <c r="M47" s="232"/>
      <c r="N47" s="232"/>
      <c r="O47" s="232"/>
      <c r="P47" s="232"/>
    </row>
    <row r="48" spans="1:16">
      <c r="A48" s="232"/>
      <c r="E48" s="232"/>
      <c r="F48" s="232"/>
      <c r="G48" s="232"/>
      <c r="H48" s="232"/>
      <c r="I48" s="232"/>
      <c r="J48" s="232"/>
      <c r="K48" s="232"/>
      <c r="L48" s="232"/>
      <c r="M48" s="232"/>
      <c r="N48" s="232"/>
      <c r="O48" s="232"/>
      <c r="P48" s="232"/>
    </row>
    <row r="49" spans="1:16">
      <c r="A49" s="232"/>
      <c r="E49" s="232"/>
      <c r="F49" s="232"/>
      <c r="G49" s="232"/>
      <c r="H49" s="232"/>
      <c r="I49" s="232"/>
      <c r="J49" s="232"/>
      <c r="K49" s="232"/>
      <c r="L49" s="232"/>
      <c r="M49" s="232"/>
      <c r="N49" s="232"/>
      <c r="O49" s="232"/>
      <c r="P49" s="232"/>
    </row>
    <row r="50" spans="1:16">
      <c r="A50" s="232"/>
      <c r="E50" s="232"/>
      <c r="F50" s="232"/>
      <c r="G50" s="232"/>
      <c r="H50" s="232"/>
      <c r="I50" s="232"/>
      <c r="J50" s="232"/>
      <c r="K50" s="232"/>
      <c r="L50" s="232"/>
      <c r="M50" s="232"/>
      <c r="N50" s="232"/>
      <c r="O50" s="232"/>
      <c r="P50" s="232"/>
    </row>
    <row r="51" spans="1:16">
      <c r="A51" s="232"/>
      <c r="E51" s="232"/>
      <c r="F51" s="232"/>
      <c r="G51" s="232"/>
      <c r="H51" s="232"/>
      <c r="I51" s="232"/>
      <c r="J51" s="232"/>
      <c r="K51" s="232"/>
      <c r="L51" s="232"/>
      <c r="M51" s="232"/>
      <c r="N51" s="232"/>
      <c r="O51" s="232"/>
      <c r="P51" s="232"/>
    </row>
    <row r="52" spans="1:16">
      <c r="A52" s="232"/>
      <c r="E52" s="232"/>
      <c r="F52" s="232"/>
      <c r="G52" s="232"/>
      <c r="H52" s="232"/>
      <c r="I52" s="232"/>
      <c r="J52" s="232"/>
      <c r="K52" s="232"/>
      <c r="L52" s="232"/>
      <c r="M52" s="232"/>
      <c r="N52" s="232"/>
      <c r="O52" s="232"/>
      <c r="P52" s="232"/>
    </row>
    <row r="53" spans="1:16">
      <c r="A53" s="232"/>
      <c r="E53" s="232"/>
      <c r="F53" s="232"/>
      <c r="G53" s="232"/>
      <c r="H53" s="232"/>
      <c r="I53" s="232"/>
      <c r="J53" s="232"/>
      <c r="K53" s="232"/>
      <c r="L53" s="232"/>
      <c r="M53" s="232"/>
      <c r="N53" s="232"/>
      <c r="O53" s="232"/>
      <c r="P53" s="232"/>
    </row>
    <row r="54" spans="1:16">
      <c r="A54" s="232"/>
      <c r="E54" s="232"/>
      <c r="F54" s="232"/>
      <c r="G54" s="232"/>
      <c r="H54" s="232"/>
      <c r="I54" s="232"/>
      <c r="J54" s="232"/>
      <c r="K54" s="232"/>
      <c r="L54" s="232"/>
      <c r="M54" s="232"/>
      <c r="N54" s="232"/>
      <c r="O54" s="232"/>
      <c r="P54" s="232"/>
    </row>
    <row r="55" spans="1:16">
      <c r="A55" s="232"/>
      <c r="E55" s="232"/>
      <c r="F55" s="232"/>
      <c r="G55" s="232"/>
      <c r="H55" s="232"/>
      <c r="I55" s="232"/>
      <c r="J55" s="232"/>
      <c r="K55" s="232"/>
      <c r="L55" s="232"/>
      <c r="M55" s="232"/>
      <c r="N55" s="232"/>
      <c r="O55" s="232"/>
      <c r="P55" s="232"/>
    </row>
    <row r="56" spans="1:16">
      <c r="A56" s="232"/>
      <c r="E56" s="232"/>
      <c r="F56" s="232"/>
      <c r="G56" s="232"/>
      <c r="H56" s="232"/>
      <c r="I56" s="232"/>
      <c r="J56" s="232"/>
      <c r="K56" s="232"/>
      <c r="L56" s="232"/>
      <c r="M56" s="232"/>
      <c r="N56" s="232"/>
      <c r="O56" s="232"/>
      <c r="P56" s="232"/>
    </row>
    <row r="57" spans="1:16">
      <c r="A57" s="232"/>
      <c r="E57" s="232"/>
      <c r="F57" s="232"/>
      <c r="G57" s="232"/>
      <c r="H57" s="232"/>
      <c r="I57" s="232"/>
      <c r="J57" s="232"/>
      <c r="K57" s="232"/>
      <c r="L57" s="232"/>
      <c r="M57" s="232"/>
      <c r="N57" s="232"/>
      <c r="O57" s="232"/>
      <c r="P57" s="232"/>
    </row>
    <row r="58" spans="1:16">
      <c r="A58" s="232"/>
      <c r="E58" s="232"/>
      <c r="F58" s="232"/>
      <c r="G58" s="232"/>
      <c r="H58" s="232"/>
      <c r="I58" s="232"/>
      <c r="J58" s="232"/>
      <c r="K58" s="232"/>
      <c r="L58" s="232"/>
      <c r="M58" s="232"/>
      <c r="N58" s="232"/>
      <c r="O58" s="232"/>
      <c r="P58" s="232"/>
    </row>
    <row r="59" spans="1:16">
      <c r="A59" s="232"/>
      <c r="E59" s="232"/>
      <c r="F59" s="232"/>
      <c r="G59" s="232"/>
      <c r="H59" s="232"/>
      <c r="I59" s="232"/>
      <c r="J59" s="232"/>
      <c r="K59" s="232"/>
      <c r="L59" s="232"/>
      <c r="M59" s="232"/>
      <c r="N59" s="232"/>
      <c r="O59" s="232"/>
      <c r="P59" s="232"/>
    </row>
    <row r="60" spans="1:16">
      <c r="A60" s="232"/>
      <c r="E60" s="232"/>
      <c r="F60" s="232"/>
      <c r="G60" s="232"/>
      <c r="H60" s="232"/>
      <c r="I60" s="232"/>
      <c r="J60" s="232"/>
      <c r="K60" s="232"/>
      <c r="L60" s="232"/>
      <c r="M60" s="232"/>
      <c r="N60" s="232"/>
      <c r="O60" s="232"/>
      <c r="P60" s="232"/>
    </row>
    <row r="61" spans="1:16">
      <c r="A61" s="232"/>
      <c r="E61" s="232"/>
      <c r="F61" s="232"/>
      <c r="G61" s="232"/>
      <c r="H61" s="232"/>
      <c r="I61" s="232"/>
      <c r="J61" s="232"/>
      <c r="K61" s="232"/>
      <c r="L61" s="232"/>
      <c r="M61" s="232"/>
      <c r="N61" s="232"/>
      <c r="O61" s="232"/>
      <c r="P61" s="232"/>
    </row>
    <row r="62" spans="1:16">
      <c r="A62" s="232"/>
      <c r="E62" s="232"/>
      <c r="F62" s="232"/>
      <c r="G62" s="232"/>
      <c r="H62" s="232"/>
      <c r="I62" s="232"/>
      <c r="J62" s="232"/>
      <c r="K62" s="232"/>
      <c r="L62" s="232"/>
      <c r="M62" s="232"/>
      <c r="N62" s="232"/>
      <c r="O62" s="232"/>
      <c r="P62" s="232"/>
    </row>
    <row r="63" spans="1:16">
      <c r="A63" s="232"/>
      <c r="E63" s="232"/>
      <c r="F63" s="232"/>
      <c r="G63" s="232"/>
      <c r="H63" s="232"/>
      <c r="I63" s="232"/>
      <c r="J63" s="232"/>
      <c r="K63" s="232"/>
      <c r="L63" s="232"/>
      <c r="M63" s="232"/>
      <c r="N63" s="232"/>
      <c r="O63" s="232"/>
      <c r="P63" s="232"/>
    </row>
    <row r="64" spans="1:16">
      <c r="A64" s="232"/>
      <c r="E64" s="232"/>
      <c r="F64" s="232"/>
      <c r="G64" s="232"/>
      <c r="H64" s="232"/>
      <c r="I64" s="232"/>
      <c r="J64" s="232"/>
      <c r="K64" s="232"/>
      <c r="L64" s="232"/>
      <c r="M64" s="232"/>
      <c r="N64" s="232"/>
      <c r="O64" s="232"/>
      <c r="P64" s="232"/>
    </row>
    <row r="65" spans="1:16">
      <c r="A65" s="232"/>
      <c r="E65" s="232"/>
      <c r="F65" s="232"/>
      <c r="G65" s="232"/>
      <c r="H65" s="232"/>
      <c r="I65" s="232"/>
      <c r="J65" s="232"/>
      <c r="K65" s="232"/>
      <c r="L65" s="232"/>
      <c r="M65" s="232"/>
      <c r="N65" s="232"/>
      <c r="O65" s="232"/>
      <c r="P65" s="232"/>
    </row>
    <row r="66" spans="1:16">
      <c r="A66" s="232"/>
      <c r="E66" s="232"/>
      <c r="F66" s="232"/>
      <c r="G66" s="232"/>
      <c r="H66" s="232"/>
      <c r="I66" s="232"/>
      <c r="J66" s="232"/>
      <c r="K66" s="232"/>
      <c r="L66" s="232"/>
      <c r="M66" s="232"/>
      <c r="N66" s="232"/>
      <c r="O66" s="232"/>
      <c r="P66" s="232"/>
    </row>
    <row r="67" spans="1:16">
      <c r="A67" s="232"/>
      <c r="E67" s="232"/>
      <c r="F67" s="232"/>
      <c r="G67" s="232"/>
      <c r="H67" s="232"/>
      <c r="I67" s="232"/>
      <c r="J67" s="232"/>
      <c r="K67" s="232"/>
      <c r="L67" s="232"/>
      <c r="M67" s="232"/>
      <c r="N67" s="232"/>
      <c r="O67" s="232"/>
      <c r="P67" s="232"/>
    </row>
    <row r="68" spans="1:16">
      <c r="A68" s="232"/>
      <c r="E68" s="232"/>
      <c r="F68" s="232"/>
      <c r="G68" s="232"/>
      <c r="H68" s="232"/>
      <c r="I68" s="232"/>
      <c r="J68" s="232"/>
      <c r="K68" s="232"/>
      <c r="L68" s="232"/>
      <c r="M68" s="232"/>
      <c r="N68" s="232"/>
      <c r="O68" s="232"/>
      <c r="P68" s="232"/>
    </row>
    <row r="69" spans="1:16">
      <c r="A69" s="232"/>
      <c r="E69" s="232"/>
      <c r="F69" s="232"/>
      <c r="G69" s="232"/>
      <c r="H69" s="232"/>
      <c r="I69" s="232"/>
      <c r="J69" s="232"/>
      <c r="K69" s="232"/>
      <c r="L69" s="232"/>
      <c r="M69" s="232"/>
      <c r="N69" s="232"/>
      <c r="O69" s="232"/>
      <c r="P69" s="232"/>
    </row>
    <row r="70" spans="1:16">
      <c r="A70" s="232"/>
      <c r="E70" s="232"/>
      <c r="F70" s="232"/>
      <c r="G70" s="232"/>
      <c r="H70" s="232"/>
      <c r="I70" s="232"/>
      <c r="J70" s="232"/>
      <c r="K70" s="232"/>
      <c r="L70" s="232"/>
      <c r="M70" s="232"/>
      <c r="N70" s="232"/>
      <c r="O70" s="232"/>
      <c r="P70" s="232"/>
    </row>
    <row r="71" spans="1:16">
      <c r="A71" s="232"/>
      <c r="E71" s="232"/>
      <c r="F71" s="232"/>
      <c r="G71" s="232"/>
      <c r="H71" s="232"/>
      <c r="I71" s="232"/>
      <c r="J71" s="232"/>
      <c r="K71" s="232"/>
      <c r="L71" s="232"/>
      <c r="M71" s="232"/>
      <c r="N71" s="232"/>
      <c r="O71" s="232"/>
      <c r="P71" s="232"/>
    </row>
    <row r="72" spans="1:16">
      <c r="A72" s="232"/>
      <c r="E72" s="232"/>
      <c r="F72" s="232"/>
      <c r="G72" s="232"/>
      <c r="H72" s="232"/>
      <c r="I72" s="232"/>
      <c r="J72" s="232"/>
      <c r="K72" s="232"/>
      <c r="L72" s="232"/>
      <c r="M72" s="232"/>
      <c r="N72" s="232"/>
      <c r="O72" s="232"/>
      <c r="P72" s="232"/>
    </row>
    <row r="73" spans="1:16">
      <c r="A73" s="232"/>
      <c r="E73" s="232"/>
      <c r="F73" s="232"/>
      <c r="G73" s="232"/>
      <c r="H73" s="232"/>
      <c r="I73" s="232"/>
      <c r="J73" s="232"/>
      <c r="K73" s="232"/>
      <c r="L73" s="232"/>
      <c r="M73" s="232"/>
      <c r="N73" s="232"/>
      <c r="O73" s="232"/>
      <c r="P73" s="232"/>
    </row>
    <row r="74" spans="1:16">
      <c r="A74" s="232"/>
      <c r="E74" s="232"/>
      <c r="F74" s="232"/>
      <c r="G74" s="232"/>
      <c r="H74" s="232"/>
      <c r="I74" s="232"/>
      <c r="J74" s="232"/>
      <c r="K74" s="232"/>
      <c r="L74" s="232"/>
      <c r="M74" s="232"/>
      <c r="N74" s="232"/>
      <c r="O74" s="232"/>
      <c r="P74" s="232"/>
    </row>
    <row r="75" spans="1:16">
      <c r="A75" s="232"/>
      <c r="E75" s="232"/>
      <c r="F75" s="232"/>
      <c r="G75" s="232"/>
      <c r="H75" s="232"/>
      <c r="I75" s="232"/>
      <c r="J75" s="232"/>
      <c r="K75" s="232"/>
      <c r="L75" s="232"/>
      <c r="M75" s="232"/>
      <c r="N75" s="232"/>
      <c r="O75" s="232"/>
      <c r="P75" s="232"/>
    </row>
    <row r="76" spans="1:16">
      <c r="A76" s="232"/>
      <c r="E76" s="232"/>
      <c r="F76" s="232"/>
      <c r="G76" s="232"/>
      <c r="H76" s="232"/>
      <c r="I76" s="232"/>
      <c r="J76" s="232"/>
      <c r="K76" s="232"/>
      <c r="L76" s="232"/>
      <c r="M76" s="232"/>
      <c r="N76" s="232"/>
      <c r="O76" s="232"/>
      <c r="P76" s="232"/>
    </row>
    <row r="77" spans="1:16">
      <c r="A77" s="232"/>
      <c r="E77" s="232"/>
      <c r="F77" s="232"/>
      <c r="G77" s="232"/>
      <c r="H77" s="232"/>
      <c r="I77" s="232"/>
      <c r="J77" s="232"/>
      <c r="K77" s="232"/>
      <c r="L77" s="232"/>
      <c r="M77" s="232"/>
      <c r="N77" s="232"/>
      <c r="O77" s="232"/>
      <c r="P77" s="232"/>
    </row>
    <row r="78" spans="1:16">
      <c r="A78" s="232"/>
      <c r="E78" s="232"/>
      <c r="F78" s="232"/>
      <c r="G78" s="232"/>
      <c r="H78" s="232"/>
      <c r="I78" s="232"/>
      <c r="J78" s="232"/>
      <c r="K78" s="232"/>
      <c r="L78" s="232"/>
      <c r="M78" s="232"/>
      <c r="N78" s="232"/>
      <c r="O78" s="232"/>
      <c r="P78" s="232"/>
    </row>
    <row r="79" spans="1:16">
      <c r="A79" s="232"/>
      <c r="E79" s="232"/>
      <c r="F79" s="232"/>
      <c r="G79" s="232"/>
      <c r="H79" s="232"/>
      <c r="I79" s="232"/>
      <c r="J79" s="232"/>
      <c r="K79" s="232"/>
      <c r="L79" s="232"/>
      <c r="M79" s="232"/>
      <c r="N79" s="232"/>
      <c r="O79" s="232"/>
      <c r="P79" s="232"/>
    </row>
    <row r="80" spans="1:16">
      <c r="A80" s="232"/>
      <c r="E80" s="232"/>
      <c r="F80" s="232"/>
      <c r="G80" s="232"/>
      <c r="H80" s="232"/>
      <c r="I80" s="232"/>
      <c r="J80" s="232"/>
      <c r="K80" s="232"/>
      <c r="L80" s="232"/>
      <c r="M80" s="232"/>
      <c r="N80" s="232"/>
      <c r="O80" s="232"/>
      <c r="P80" s="232"/>
    </row>
    <row r="81" spans="1:16">
      <c r="A81" s="232"/>
      <c r="E81" s="232"/>
      <c r="F81" s="232"/>
      <c r="G81" s="232"/>
      <c r="H81" s="232"/>
      <c r="I81" s="232"/>
      <c r="J81" s="232"/>
      <c r="K81" s="232"/>
      <c r="L81" s="232"/>
      <c r="M81" s="232"/>
      <c r="N81" s="232"/>
      <c r="O81" s="232"/>
      <c r="P81" s="232"/>
    </row>
    <row r="82" spans="1:16">
      <c r="A82" s="232"/>
      <c r="E82" s="232"/>
      <c r="F82" s="232"/>
      <c r="G82" s="232"/>
      <c r="H82" s="232"/>
      <c r="I82" s="232"/>
      <c r="J82" s="232"/>
      <c r="K82" s="232"/>
      <c r="L82" s="232"/>
      <c r="M82" s="232"/>
      <c r="N82" s="232"/>
      <c r="O82" s="232"/>
      <c r="P82" s="232"/>
    </row>
    <row r="83" spans="1:16">
      <c r="A83" s="232"/>
      <c r="E83" s="232"/>
      <c r="F83" s="232"/>
      <c r="G83" s="232"/>
      <c r="H83" s="232"/>
      <c r="I83" s="232"/>
      <c r="J83" s="232"/>
      <c r="K83" s="232"/>
      <c r="L83" s="232"/>
      <c r="M83" s="232"/>
      <c r="N83" s="232"/>
      <c r="O83" s="232"/>
      <c r="P83" s="232"/>
    </row>
    <row r="84" spans="1:16">
      <c r="A84" s="232"/>
      <c r="E84" s="232"/>
      <c r="F84" s="232"/>
      <c r="G84" s="232"/>
      <c r="H84" s="232"/>
      <c r="I84" s="232"/>
      <c r="J84" s="232"/>
      <c r="K84" s="232"/>
      <c r="L84" s="232"/>
      <c r="M84" s="232"/>
      <c r="N84" s="232"/>
      <c r="O84" s="232"/>
      <c r="P84" s="232"/>
    </row>
    <row r="85" spans="1:16">
      <c r="A85" s="232"/>
      <c r="E85" s="232"/>
      <c r="F85" s="232"/>
      <c r="G85" s="232"/>
      <c r="H85" s="232"/>
      <c r="I85" s="232"/>
      <c r="J85" s="232"/>
      <c r="K85" s="232"/>
      <c r="L85" s="232"/>
      <c r="M85" s="232"/>
      <c r="N85" s="232"/>
      <c r="O85" s="232"/>
      <c r="P85" s="232"/>
    </row>
    <row r="86" spans="1:16">
      <c r="A86" s="232"/>
      <c r="E86" s="232"/>
      <c r="F86" s="232"/>
      <c r="G86" s="232"/>
      <c r="H86" s="232"/>
      <c r="I86" s="232"/>
      <c r="J86" s="232"/>
      <c r="K86" s="232"/>
      <c r="L86" s="232"/>
      <c r="M86" s="232"/>
      <c r="N86" s="232"/>
      <c r="O86" s="232"/>
      <c r="P86" s="232"/>
    </row>
    <row r="87" spans="1:16">
      <c r="A87" s="232"/>
      <c r="E87" s="232"/>
      <c r="F87" s="232"/>
      <c r="G87" s="232"/>
      <c r="H87" s="232"/>
      <c r="I87" s="232"/>
      <c r="J87" s="232"/>
      <c r="K87" s="232"/>
      <c r="L87" s="232"/>
      <c r="M87" s="232"/>
      <c r="N87" s="232"/>
      <c r="O87" s="232"/>
      <c r="P87" s="232"/>
    </row>
    <row r="88" spans="1:16">
      <c r="A88" s="232"/>
      <c r="E88" s="232"/>
      <c r="F88" s="232"/>
      <c r="G88" s="232"/>
      <c r="H88" s="232"/>
      <c r="I88" s="232"/>
      <c r="J88" s="232"/>
      <c r="K88" s="232"/>
      <c r="L88" s="232"/>
      <c r="M88" s="232"/>
      <c r="N88" s="232"/>
      <c r="O88" s="232"/>
      <c r="P88" s="232"/>
    </row>
    <row r="89" spans="1:16">
      <c r="A89" s="232"/>
      <c r="E89" s="232"/>
      <c r="F89" s="232"/>
      <c r="G89" s="232"/>
      <c r="H89" s="232"/>
      <c r="I89" s="232"/>
      <c r="J89" s="232"/>
      <c r="K89" s="232"/>
      <c r="L89" s="232"/>
      <c r="M89" s="232"/>
      <c r="N89" s="232"/>
      <c r="O89" s="232"/>
      <c r="P89" s="232"/>
    </row>
    <row r="90" spans="1:16">
      <c r="A90" s="232"/>
      <c r="E90" s="232"/>
      <c r="F90" s="232"/>
      <c r="G90" s="232"/>
      <c r="H90" s="232"/>
      <c r="I90" s="232"/>
      <c r="J90" s="232"/>
      <c r="K90" s="232"/>
      <c r="L90" s="232"/>
      <c r="M90" s="232"/>
      <c r="N90" s="232"/>
      <c r="O90" s="232"/>
      <c r="P90" s="232"/>
    </row>
    <row r="91" spans="1:16">
      <c r="A91" s="232"/>
      <c r="E91" s="232"/>
      <c r="F91" s="232"/>
      <c r="G91" s="232"/>
      <c r="H91" s="232"/>
      <c r="I91" s="232"/>
      <c r="J91" s="232"/>
      <c r="K91" s="232"/>
      <c r="L91" s="232"/>
      <c r="M91" s="232"/>
      <c r="N91" s="232"/>
      <c r="O91" s="232"/>
      <c r="P91" s="232"/>
    </row>
    <row r="92" spans="1:16">
      <c r="A92" s="232"/>
      <c r="E92" s="232"/>
      <c r="F92" s="232"/>
      <c r="G92" s="232"/>
      <c r="H92" s="232"/>
      <c r="I92" s="232"/>
      <c r="J92" s="232"/>
      <c r="K92" s="232"/>
      <c r="L92" s="232"/>
      <c r="M92" s="232"/>
      <c r="N92" s="232"/>
      <c r="O92" s="232"/>
      <c r="P92" s="232"/>
    </row>
    <row r="93" spans="1:16">
      <c r="A93" s="232"/>
      <c r="E93" s="232"/>
      <c r="F93" s="232"/>
      <c r="G93" s="232"/>
      <c r="H93" s="232"/>
      <c r="I93" s="232"/>
      <c r="J93" s="232"/>
      <c r="K93" s="232"/>
      <c r="L93" s="232"/>
      <c r="M93" s="232"/>
      <c r="N93" s="232"/>
      <c r="O93" s="232"/>
      <c r="P93" s="232"/>
    </row>
    <row r="94" spans="1:16">
      <c r="A94" s="232"/>
      <c r="E94" s="232"/>
      <c r="F94" s="232"/>
      <c r="G94" s="232"/>
      <c r="H94" s="232"/>
      <c r="I94" s="232"/>
      <c r="J94" s="232"/>
      <c r="K94" s="232"/>
      <c r="L94" s="232"/>
      <c r="M94" s="232"/>
      <c r="N94" s="232"/>
      <c r="O94" s="232"/>
      <c r="P94" s="232"/>
    </row>
    <row r="95" spans="1:16">
      <c r="A95" s="232"/>
      <c r="E95" s="232"/>
      <c r="F95" s="232"/>
      <c r="G95" s="232"/>
      <c r="H95" s="232"/>
      <c r="I95" s="232"/>
      <c r="J95" s="232"/>
      <c r="K95" s="232"/>
      <c r="L95" s="232"/>
      <c r="M95" s="232"/>
      <c r="N95" s="232"/>
      <c r="O95" s="232"/>
      <c r="P95" s="232"/>
    </row>
    <row r="96" spans="1:16">
      <c r="A96" s="232"/>
      <c r="E96" s="232"/>
      <c r="F96" s="232"/>
      <c r="G96" s="232"/>
      <c r="H96" s="232"/>
      <c r="I96" s="232"/>
      <c r="J96" s="232"/>
      <c r="K96" s="232"/>
      <c r="L96" s="232"/>
      <c r="M96" s="232"/>
      <c r="N96" s="232"/>
      <c r="O96" s="232"/>
      <c r="P96" s="232"/>
    </row>
    <row r="97" spans="1:16">
      <c r="A97" s="232"/>
      <c r="E97" s="232"/>
      <c r="F97" s="232"/>
      <c r="G97" s="232"/>
      <c r="H97" s="232"/>
      <c r="I97" s="232"/>
      <c r="J97" s="232"/>
      <c r="K97" s="232"/>
      <c r="L97" s="232"/>
      <c r="M97" s="232"/>
      <c r="N97" s="232"/>
      <c r="O97" s="232"/>
      <c r="P97" s="232"/>
    </row>
    <row r="98" spans="1:16">
      <c r="A98" s="232"/>
      <c r="E98" s="232"/>
      <c r="F98" s="232"/>
      <c r="G98" s="232"/>
      <c r="H98" s="232"/>
      <c r="I98" s="232"/>
      <c r="J98" s="232"/>
      <c r="K98" s="232"/>
      <c r="L98" s="232"/>
      <c r="M98" s="232"/>
      <c r="N98" s="232"/>
      <c r="O98" s="232"/>
      <c r="P98" s="232"/>
    </row>
    <row r="99" spans="1:16">
      <c r="A99" s="232"/>
      <c r="E99" s="232"/>
      <c r="F99" s="232"/>
      <c r="G99" s="232"/>
      <c r="H99" s="232"/>
      <c r="I99" s="232"/>
      <c r="J99" s="232"/>
      <c r="K99" s="232"/>
      <c r="L99" s="232"/>
      <c r="M99" s="232"/>
      <c r="N99" s="232"/>
      <c r="O99" s="232"/>
      <c r="P99" s="232"/>
    </row>
    <row r="100" spans="1:16">
      <c r="A100" s="232"/>
      <c r="E100" s="232"/>
      <c r="F100" s="232"/>
      <c r="G100" s="232"/>
      <c r="H100" s="232"/>
      <c r="I100" s="232"/>
      <c r="J100" s="232"/>
      <c r="K100" s="232"/>
      <c r="L100" s="232"/>
      <c r="M100" s="232"/>
      <c r="N100" s="232"/>
      <c r="O100" s="232"/>
      <c r="P100" s="232"/>
    </row>
    <row r="101" spans="1:16">
      <c r="A101" s="232"/>
      <c r="E101" s="232"/>
      <c r="F101" s="232"/>
      <c r="G101" s="232"/>
      <c r="H101" s="232"/>
      <c r="I101" s="232"/>
      <c r="J101" s="232"/>
      <c r="K101" s="232"/>
      <c r="L101" s="232"/>
      <c r="M101" s="232"/>
      <c r="N101" s="232"/>
      <c r="O101" s="232"/>
      <c r="P101" s="232"/>
    </row>
    <row r="102" spans="1:16">
      <c r="A102" s="232"/>
      <c r="E102" s="232"/>
      <c r="F102" s="232"/>
      <c r="G102" s="232"/>
      <c r="H102" s="232"/>
      <c r="I102" s="232"/>
      <c r="J102" s="232"/>
      <c r="K102" s="232"/>
      <c r="L102" s="232"/>
      <c r="M102" s="232"/>
      <c r="N102" s="232"/>
      <c r="O102" s="232"/>
      <c r="P102" s="232"/>
    </row>
    <row r="103" spans="1:16">
      <c r="A103" s="232"/>
      <c r="E103" s="232"/>
      <c r="F103" s="232"/>
      <c r="G103" s="232"/>
      <c r="H103" s="232"/>
      <c r="I103" s="232"/>
      <c r="J103" s="232"/>
      <c r="K103" s="232"/>
      <c r="L103" s="232"/>
      <c r="M103" s="232"/>
      <c r="N103" s="232"/>
      <c r="O103" s="232"/>
      <c r="P103" s="232"/>
    </row>
    <row r="104" spans="1:16">
      <c r="A104" s="232"/>
      <c r="E104" s="232"/>
      <c r="F104" s="232"/>
      <c r="G104" s="232"/>
      <c r="H104" s="232"/>
      <c r="I104" s="232"/>
      <c r="J104" s="232"/>
      <c r="K104" s="232"/>
      <c r="L104" s="232"/>
      <c r="M104" s="232"/>
      <c r="N104" s="232"/>
      <c r="O104" s="232"/>
      <c r="P104" s="232"/>
    </row>
    <row r="105" spans="1:16">
      <c r="A105" s="232"/>
      <c r="E105" s="232"/>
      <c r="F105" s="232"/>
      <c r="G105" s="232"/>
      <c r="H105" s="232"/>
      <c r="I105" s="232"/>
      <c r="J105" s="232"/>
      <c r="K105" s="232"/>
      <c r="L105" s="232"/>
      <c r="M105" s="232"/>
      <c r="N105" s="232"/>
      <c r="O105" s="232"/>
      <c r="P105" s="232"/>
    </row>
    <row r="106" spans="1:16">
      <c r="A106" s="232"/>
      <c r="E106" s="232"/>
      <c r="F106" s="232"/>
      <c r="G106" s="232"/>
      <c r="H106" s="232"/>
      <c r="I106" s="232"/>
      <c r="J106" s="232"/>
      <c r="K106" s="232"/>
      <c r="L106" s="232"/>
      <c r="M106" s="232"/>
      <c r="N106" s="232"/>
      <c r="O106" s="232"/>
      <c r="P106" s="232"/>
    </row>
    <row r="107" spans="1:16">
      <c r="A107" s="232"/>
      <c r="E107" s="232"/>
      <c r="F107" s="232"/>
      <c r="G107" s="232"/>
      <c r="H107" s="232"/>
      <c r="I107" s="232"/>
      <c r="J107" s="232"/>
      <c r="K107" s="232"/>
      <c r="L107" s="232"/>
      <c r="M107" s="232"/>
      <c r="N107" s="232"/>
      <c r="O107" s="232"/>
      <c r="P107" s="232"/>
    </row>
    <row r="108" spans="1:16">
      <c r="A108" s="232"/>
      <c r="E108" s="232"/>
      <c r="F108" s="232"/>
      <c r="G108" s="232"/>
      <c r="H108" s="232"/>
      <c r="I108" s="232"/>
      <c r="J108" s="232"/>
      <c r="K108" s="232"/>
      <c r="L108" s="232"/>
      <c r="M108" s="232"/>
      <c r="N108" s="232"/>
      <c r="O108" s="232"/>
      <c r="P108" s="232"/>
    </row>
    <row r="109" spans="1:16">
      <c r="A109" s="232"/>
      <c r="E109" s="232"/>
      <c r="F109" s="232"/>
      <c r="G109" s="232"/>
      <c r="H109" s="232"/>
      <c r="I109" s="232"/>
      <c r="J109" s="232"/>
      <c r="K109" s="232"/>
      <c r="L109" s="232"/>
      <c r="M109" s="232"/>
      <c r="N109" s="232"/>
      <c r="O109" s="232"/>
      <c r="P109" s="232"/>
    </row>
    <row r="110" spans="1:16">
      <c r="A110" s="232"/>
      <c r="E110" s="232"/>
      <c r="F110" s="232"/>
      <c r="G110" s="232"/>
      <c r="H110" s="232"/>
      <c r="I110" s="232"/>
      <c r="J110" s="232"/>
      <c r="K110" s="232"/>
      <c r="L110" s="232"/>
      <c r="M110" s="232"/>
      <c r="N110" s="232"/>
      <c r="O110" s="232"/>
      <c r="P110" s="232"/>
    </row>
    <row r="111" spans="1:16">
      <c r="A111" s="232"/>
      <c r="E111" s="232"/>
      <c r="F111" s="232"/>
      <c r="G111" s="232"/>
      <c r="H111" s="232"/>
      <c r="I111" s="232"/>
      <c r="J111" s="232"/>
      <c r="K111" s="232"/>
      <c r="L111" s="232"/>
      <c r="M111" s="232"/>
      <c r="N111" s="232"/>
      <c r="O111" s="232"/>
      <c r="P111" s="232"/>
    </row>
    <row r="112" spans="1:16">
      <c r="A112" s="232"/>
      <c r="E112" s="232"/>
      <c r="F112" s="232"/>
      <c r="G112" s="232"/>
      <c r="H112" s="232"/>
      <c r="I112" s="232"/>
      <c r="J112" s="232"/>
      <c r="K112" s="232"/>
      <c r="L112" s="232"/>
      <c r="M112" s="232"/>
      <c r="N112" s="232"/>
      <c r="O112" s="232"/>
      <c r="P112" s="232"/>
    </row>
    <row r="113" spans="1:20">
      <c r="A113" s="232"/>
      <c r="E113" s="232"/>
      <c r="F113" s="232"/>
      <c r="G113" s="232"/>
      <c r="H113" s="232"/>
      <c r="I113" s="232"/>
      <c r="J113" s="232"/>
      <c r="K113" s="232"/>
      <c r="L113" s="232"/>
      <c r="M113" s="232"/>
      <c r="N113" s="232"/>
      <c r="O113" s="232"/>
      <c r="P113" s="232"/>
    </row>
    <row r="114" spans="1:20">
      <c r="A114" s="232"/>
      <c r="E114" s="232"/>
      <c r="F114" s="232"/>
      <c r="G114" s="232"/>
      <c r="H114" s="232"/>
      <c r="I114" s="232"/>
      <c r="J114" s="232"/>
      <c r="K114" s="232"/>
      <c r="L114" s="232"/>
      <c r="M114" s="232"/>
      <c r="N114" s="232"/>
      <c r="O114" s="232"/>
      <c r="P114" s="232"/>
    </row>
    <row r="115" spans="1:20">
      <c r="A115" s="232"/>
      <c r="E115" s="232"/>
      <c r="F115" s="232"/>
      <c r="G115" s="232"/>
      <c r="H115" s="232"/>
      <c r="I115" s="232"/>
      <c r="J115" s="232"/>
      <c r="K115" s="232"/>
      <c r="L115" s="232"/>
      <c r="M115" s="232"/>
      <c r="N115" s="232"/>
      <c r="O115" s="232"/>
      <c r="P115" s="232"/>
    </row>
    <row r="116" spans="1:20">
      <c r="A116" s="232"/>
      <c r="E116" s="232"/>
      <c r="F116" s="232"/>
      <c r="G116" s="232"/>
      <c r="H116" s="232"/>
      <c r="I116" s="232"/>
      <c r="J116" s="232"/>
      <c r="K116" s="232"/>
      <c r="L116" s="232"/>
      <c r="M116" s="232"/>
      <c r="N116" s="232"/>
      <c r="O116" s="232"/>
      <c r="P116" s="232"/>
    </row>
    <row r="117" spans="1:20">
      <c r="A117" s="232"/>
      <c r="E117" s="232"/>
      <c r="F117" s="232"/>
      <c r="G117" s="232"/>
      <c r="H117" s="232"/>
      <c r="I117" s="232"/>
      <c r="J117" s="232"/>
      <c r="K117" s="232"/>
      <c r="L117" s="232"/>
      <c r="M117" s="232"/>
      <c r="N117" s="232"/>
      <c r="O117" s="232"/>
      <c r="P117" s="232"/>
    </row>
    <row r="118" spans="1:20">
      <c r="A118" s="232"/>
      <c r="E118" s="232"/>
      <c r="F118" s="232"/>
      <c r="G118" s="232"/>
      <c r="H118" s="232"/>
      <c r="I118" s="232"/>
      <c r="J118" s="232"/>
      <c r="K118" s="232"/>
      <c r="L118" s="232"/>
      <c r="M118" s="232"/>
      <c r="N118" s="232"/>
      <c r="O118" s="232"/>
      <c r="P118" s="232"/>
    </row>
    <row r="119" spans="1:20">
      <c r="A119" s="232"/>
      <c r="E119" s="232"/>
      <c r="F119" s="232"/>
      <c r="G119" s="232"/>
      <c r="H119" s="232"/>
      <c r="I119" s="232"/>
      <c r="J119" s="232"/>
      <c r="K119" s="232"/>
      <c r="L119" s="232"/>
      <c r="M119" s="232"/>
      <c r="N119" s="232"/>
      <c r="O119" s="232"/>
      <c r="P119" s="232"/>
    </row>
    <row r="120" spans="1:20">
      <c r="A120" s="232"/>
      <c r="E120" s="232"/>
      <c r="F120" s="232"/>
      <c r="G120" s="232"/>
      <c r="H120" s="232"/>
      <c r="I120" s="232"/>
      <c r="J120" s="232"/>
      <c r="K120" s="232"/>
      <c r="L120" s="232"/>
      <c r="M120" s="232"/>
      <c r="N120" s="232"/>
      <c r="O120" s="232"/>
      <c r="P120" s="232"/>
    </row>
    <row r="121" spans="1:20">
      <c r="A121" s="232"/>
      <c r="E121" s="232"/>
      <c r="F121" s="232"/>
      <c r="G121" s="232"/>
      <c r="H121" s="232"/>
      <c r="I121" s="232"/>
      <c r="J121" s="232"/>
      <c r="K121" s="232"/>
      <c r="L121" s="232"/>
      <c r="M121" s="232"/>
      <c r="N121" s="232"/>
      <c r="O121" s="232"/>
      <c r="P121" s="232"/>
    </row>
    <row r="122" spans="1:20">
      <c r="A122" s="232"/>
      <c r="E122" s="232"/>
      <c r="F122" s="232"/>
      <c r="G122" s="232"/>
      <c r="H122" s="232"/>
      <c r="I122" s="232"/>
      <c r="J122" s="232"/>
      <c r="K122" s="232"/>
      <c r="L122" s="232"/>
      <c r="M122" s="232"/>
      <c r="N122" s="232"/>
      <c r="O122" s="232"/>
      <c r="P122" s="232"/>
    </row>
    <row r="123" spans="1:20">
      <c r="A123" s="232"/>
      <c r="E123" s="232"/>
      <c r="F123" s="232"/>
      <c r="G123" s="232"/>
      <c r="H123" s="232"/>
      <c r="I123" s="232"/>
      <c r="J123" s="232"/>
      <c r="K123" s="232"/>
      <c r="L123" s="232"/>
      <c r="M123" s="232"/>
      <c r="N123" s="232"/>
      <c r="O123" s="232"/>
      <c r="P123" s="232"/>
    </row>
    <row r="124" spans="1:20">
      <c r="A124" s="245"/>
      <c r="B124" s="234"/>
      <c r="C124" s="234"/>
      <c r="D124" s="234"/>
      <c r="E124" s="234"/>
      <c r="F124" s="234"/>
      <c r="G124" s="234"/>
      <c r="H124" s="234"/>
      <c r="I124" s="234"/>
      <c r="J124" s="234"/>
      <c r="K124" s="234"/>
      <c r="L124" s="234"/>
      <c r="M124" s="234"/>
      <c r="N124" s="234"/>
      <c r="O124" s="234"/>
      <c r="P124" s="234"/>
      <c r="Q124" s="234"/>
      <c r="R124" s="234"/>
      <c r="S124" s="234"/>
      <c r="T124" s="234"/>
    </row>
    <row r="125" spans="1:20">
      <c r="A125" s="234"/>
      <c r="B125" s="234"/>
      <c r="C125" s="234"/>
      <c r="D125" s="234"/>
      <c r="E125" s="234"/>
      <c r="F125" s="234"/>
      <c r="G125" s="234"/>
      <c r="H125" s="234"/>
      <c r="I125" s="234"/>
      <c r="J125" s="234"/>
      <c r="K125" s="234"/>
      <c r="L125" s="234"/>
      <c r="M125" s="234"/>
      <c r="N125" s="234"/>
      <c r="O125" s="234"/>
      <c r="P125" s="234"/>
      <c r="Q125" s="234"/>
      <c r="R125" s="234"/>
      <c r="S125" s="234"/>
      <c r="T125" s="234"/>
    </row>
    <row r="126" spans="1:20">
      <c r="A126" s="232"/>
      <c r="E126" s="232"/>
      <c r="F126" s="232"/>
      <c r="G126" s="232"/>
      <c r="H126" s="232"/>
      <c r="I126" s="232"/>
      <c r="J126" s="232"/>
      <c r="K126" s="232"/>
      <c r="L126" s="232"/>
      <c r="M126" s="232"/>
      <c r="N126" s="232"/>
      <c r="O126" s="232"/>
      <c r="P126" s="232"/>
    </row>
    <row r="127" spans="1:20">
      <c r="A127" s="232"/>
      <c r="E127" s="232"/>
      <c r="F127" s="232"/>
      <c r="G127" s="232"/>
      <c r="H127" s="232"/>
      <c r="I127" s="232"/>
      <c r="J127" s="232"/>
      <c r="K127" s="232"/>
      <c r="L127" s="232"/>
      <c r="M127" s="232"/>
      <c r="N127" s="232"/>
      <c r="O127" s="232"/>
      <c r="P127" s="232"/>
    </row>
    <row r="128" spans="1:20">
      <c r="A128" s="232"/>
      <c r="E128" s="232"/>
      <c r="F128" s="232"/>
      <c r="G128" s="232"/>
      <c r="H128" s="232"/>
      <c r="I128" s="232"/>
      <c r="J128" s="232"/>
      <c r="K128" s="232"/>
      <c r="L128" s="232"/>
      <c r="M128" s="232"/>
      <c r="N128" s="232"/>
      <c r="O128" s="232"/>
      <c r="P128" s="232"/>
    </row>
    <row r="129" spans="1:16">
      <c r="A129" s="232"/>
      <c r="E129" s="232"/>
      <c r="F129" s="232"/>
      <c r="G129" s="232"/>
      <c r="H129" s="232"/>
      <c r="I129" s="232"/>
      <c r="J129" s="232"/>
      <c r="K129" s="232"/>
      <c r="L129" s="232"/>
      <c r="M129" s="232"/>
      <c r="N129" s="232"/>
      <c r="O129" s="232"/>
      <c r="P129" s="232"/>
    </row>
    <row r="130" spans="1:16">
      <c r="A130" s="232"/>
      <c r="E130" s="232"/>
      <c r="F130" s="232"/>
      <c r="G130" s="232"/>
      <c r="H130" s="232"/>
      <c r="I130" s="232"/>
      <c r="J130" s="232"/>
      <c r="K130" s="232"/>
      <c r="L130" s="232"/>
      <c r="M130" s="232"/>
      <c r="N130" s="232"/>
      <c r="O130" s="232"/>
      <c r="P130" s="232"/>
    </row>
    <row r="131" spans="1:16">
      <c r="A131" s="232"/>
      <c r="E131" s="232"/>
      <c r="F131" s="232"/>
      <c r="G131" s="232"/>
      <c r="H131" s="232"/>
      <c r="I131" s="232"/>
      <c r="J131" s="232"/>
      <c r="K131" s="232"/>
      <c r="L131" s="232"/>
      <c r="M131" s="232"/>
      <c r="N131" s="232"/>
      <c r="O131" s="232"/>
      <c r="P131" s="232"/>
    </row>
    <row r="132" spans="1:16">
      <c r="A132" s="232"/>
      <c r="E132" s="232"/>
      <c r="F132" s="232"/>
      <c r="G132" s="232"/>
      <c r="H132" s="232"/>
      <c r="I132" s="232"/>
      <c r="J132" s="232"/>
      <c r="K132" s="232"/>
      <c r="L132" s="232"/>
      <c r="M132" s="232"/>
      <c r="N132" s="232"/>
      <c r="O132" s="232"/>
      <c r="P132" s="232"/>
    </row>
    <row r="133" spans="1:16">
      <c r="A133" s="232"/>
      <c r="E133" s="232"/>
      <c r="F133" s="232"/>
      <c r="G133" s="232"/>
      <c r="H133" s="232"/>
      <c r="I133" s="232"/>
      <c r="J133" s="232"/>
      <c r="K133" s="232"/>
      <c r="L133" s="232"/>
      <c r="M133" s="232"/>
      <c r="N133" s="232"/>
      <c r="O133" s="232"/>
      <c r="P133" s="232"/>
    </row>
    <row r="134" spans="1:16">
      <c r="A134" s="232"/>
      <c r="E134" s="232"/>
      <c r="F134" s="232"/>
      <c r="G134" s="232"/>
      <c r="H134" s="232"/>
      <c r="I134" s="232"/>
      <c r="J134" s="232"/>
      <c r="K134" s="232"/>
      <c r="L134" s="232"/>
      <c r="M134" s="232"/>
      <c r="N134" s="232"/>
      <c r="O134" s="232"/>
      <c r="P134" s="232"/>
    </row>
    <row r="135" spans="1:16">
      <c r="A135" s="232"/>
      <c r="E135" s="232"/>
      <c r="F135" s="232"/>
      <c r="G135" s="232"/>
      <c r="H135" s="232"/>
      <c r="I135" s="232"/>
      <c r="J135" s="232"/>
      <c r="K135" s="232"/>
      <c r="L135" s="232"/>
      <c r="M135" s="232"/>
      <c r="N135" s="232"/>
      <c r="O135" s="232"/>
      <c r="P135" s="232"/>
    </row>
    <row r="136" spans="1:16">
      <c r="A136" s="232"/>
      <c r="E136" s="232"/>
      <c r="F136" s="232"/>
      <c r="G136" s="232"/>
      <c r="H136" s="232"/>
      <c r="I136" s="232"/>
      <c r="J136" s="232"/>
      <c r="K136" s="232"/>
      <c r="L136" s="232"/>
      <c r="M136" s="232"/>
      <c r="N136" s="232"/>
      <c r="O136" s="232"/>
      <c r="P136" s="232"/>
    </row>
    <row r="137" spans="1:16">
      <c r="A137" s="232"/>
      <c r="E137" s="232"/>
      <c r="F137" s="232"/>
      <c r="G137" s="232"/>
      <c r="H137" s="232"/>
      <c r="I137" s="232"/>
      <c r="J137" s="232"/>
      <c r="K137" s="232"/>
      <c r="L137" s="232"/>
      <c r="M137" s="232"/>
      <c r="N137" s="232"/>
      <c r="O137" s="232"/>
      <c r="P137" s="232"/>
    </row>
    <row r="138" spans="1:16">
      <c r="A138" s="232"/>
    </row>
  </sheetData>
  <sheetProtection algorithmName="SHA-512" hashValue="ZyfG+fAsOd2UpApLtYWGBIfhIPlFueqhZhAUWPD4u8Esek47v28e0k6Hb4LY+VhecqhhTcHFntdp9DHzxR26Cg==" saltValue="emwdxUMO/3+5ac0iA/4VjQ==" spinCount="100000" sheet="1" objects="1" scenarios="1"/>
  <mergeCells count="2">
    <mergeCell ref="B2:D2"/>
    <mergeCell ref="B1:S1"/>
  </mergeCell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 id="{4B407554-69D9-AD43-BF6E-F430F16520AF}">
            <xm:f>AND((OFFSET(ADMIN!$J$5,0,ADMIN!$D$5*3-1)&gt;=ROW()-3),MOD(ROW(),2)=1)</xm:f>
            <x14:dxf>
              <font>
                <color theme="1"/>
              </font>
              <fill>
                <patternFill>
                  <bgColor theme="0" tint="-0.14996795556505021"/>
                </patternFill>
              </fill>
              <border>
                <vertical/>
                <horizontal/>
              </border>
            </x14:dxf>
          </x14:cfRule>
          <x14:cfRule type="expression" priority="2" id="{75D1C5A8-5DEF-B148-8090-3674152C59F4}">
            <xm:f>AND((OFFSET(ADMIN!$J$5,0,ADMIN!$D$5*3-1)&gt;=ROW()-3),MOD(ROW(),2)=0)</xm:f>
            <x14:dxf>
              <font>
                <color theme="1"/>
              </font>
              <fill>
                <patternFill>
                  <bgColor theme="0"/>
                </patternFill>
              </fill>
              <border>
                <left/>
                <right/>
                <top/>
                <bottom/>
                <vertical/>
                <horizontal/>
              </border>
            </x14:dxf>
          </x14:cfRule>
          <xm:sqref>B4:S28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C80F-3CED-6245-83E5-4B269E825937}">
  <sheetPr codeName="Hoja8"/>
  <dimension ref="B1:N32"/>
  <sheetViews>
    <sheetView showGridLines="0" showRowColHeaders="0" workbookViewId="0">
      <selection activeCell="D21" sqref="D21"/>
    </sheetView>
  </sheetViews>
  <sheetFormatPr defaultColWidth="10.875" defaultRowHeight="15"/>
  <cols>
    <col min="1" max="1" width="6" style="1" customWidth="1"/>
    <col min="2" max="2" width="7.5" style="1" customWidth="1"/>
    <col min="3" max="3" width="34.875" style="1" customWidth="1"/>
    <col min="4" max="4" width="10.875" style="1" customWidth="1"/>
    <col min="5" max="6" width="10.875" style="1"/>
    <col min="7" max="7" width="39.625" style="1" customWidth="1"/>
    <col min="8" max="16384" width="10.875" style="1"/>
  </cols>
  <sheetData>
    <row r="1" spans="2:14">
      <c r="C1" s="2"/>
      <c r="D1" s="2"/>
      <c r="E1" s="2"/>
      <c r="F1" s="2"/>
      <c r="G1" s="2"/>
    </row>
    <row r="2" spans="2:14">
      <c r="B2" s="3" t="str">
        <f>+Idiomas!D71</f>
        <v>Limitación de responsabilidad:</v>
      </c>
      <c r="C2" s="4"/>
      <c r="D2" s="4"/>
      <c r="E2" s="4"/>
      <c r="F2" s="4"/>
      <c r="G2" s="4"/>
    </row>
    <row r="3" spans="2:14">
      <c r="B3" s="572" t="str">
        <f>+Idiomas!D68</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572"/>
      <c r="D3" s="572"/>
      <c r="E3" s="572"/>
      <c r="F3" s="572"/>
      <c r="G3" s="572"/>
      <c r="I3" s="572"/>
      <c r="J3" s="572"/>
      <c r="K3" s="572"/>
      <c r="L3" s="572"/>
      <c r="M3" s="572"/>
      <c r="N3" s="572"/>
    </row>
    <row r="4" spans="2:14">
      <c r="B4" s="572"/>
      <c r="C4" s="572"/>
      <c r="D4" s="572"/>
      <c r="E4" s="572"/>
      <c r="F4" s="572"/>
      <c r="G4" s="572"/>
      <c r="I4" s="572"/>
      <c r="J4" s="572"/>
      <c r="K4" s="572"/>
      <c r="L4" s="572"/>
      <c r="M4" s="572"/>
      <c r="N4" s="572"/>
    </row>
    <row r="5" spans="2:14">
      <c r="B5" s="572"/>
      <c r="C5" s="572"/>
      <c r="D5" s="572"/>
      <c r="E5" s="572"/>
      <c r="F5" s="572"/>
      <c r="G5" s="572"/>
      <c r="I5" s="572"/>
      <c r="J5" s="572"/>
      <c r="K5" s="572"/>
      <c r="L5" s="572"/>
      <c r="M5" s="572"/>
      <c r="N5" s="572"/>
    </row>
    <row r="6" spans="2:14">
      <c r="B6" s="572"/>
      <c r="C6" s="572"/>
      <c r="D6" s="572"/>
      <c r="E6" s="572"/>
      <c r="F6" s="572"/>
      <c r="G6" s="572"/>
      <c r="I6" s="572"/>
      <c r="J6" s="572"/>
      <c r="K6" s="572"/>
      <c r="L6" s="572"/>
      <c r="M6" s="572"/>
      <c r="N6" s="572"/>
    </row>
    <row r="7" spans="2:14">
      <c r="B7" s="572"/>
      <c r="C7" s="572"/>
      <c r="D7" s="572"/>
      <c r="E7" s="572"/>
      <c r="F7" s="572"/>
      <c r="G7" s="572"/>
      <c r="I7" s="572"/>
      <c r="J7" s="572"/>
      <c r="K7" s="572"/>
      <c r="L7" s="572"/>
      <c r="M7" s="572"/>
      <c r="N7" s="572"/>
    </row>
    <row r="8" spans="2:14">
      <c r="B8" s="572"/>
      <c r="C8" s="572"/>
      <c r="D8" s="572"/>
      <c r="E8" s="572"/>
      <c r="F8" s="572"/>
      <c r="G8" s="572"/>
      <c r="I8" s="572"/>
      <c r="J8" s="572"/>
      <c r="K8" s="572"/>
      <c r="L8" s="572"/>
      <c r="M8" s="572"/>
      <c r="N8" s="572"/>
    </row>
    <row r="9" spans="2:14">
      <c r="B9" s="572"/>
      <c r="C9" s="572"/>
      <c r="D9" s="572"/>
      <c r="E9" s="572"/>
      <c r="F9" s="572"/>
      <c r="G9" s="572"/>
      <c r="I9" s="572"/>
      <c r="J9" s="572"/>
      <c r="K9" s="572"/>
      <c r="L9" s="572"/>
      <c r="M9" s="572"/>
      <c r="N9" s="572"/>
    </row>
    <row r="10" spans="2:14">
      <c r="B10" s="572"/>
      <c r="C10" s="572"/>
      <c r="D10" s="572"/>
      <c r="E10" s="572"/>
      <c r="F10" s="572"/>
      <c r="G10" s="572"/>
      <c r="I10" s="572"/>
      <c r="J10" s="572"/>
      <c r="K10" s="572"/>
      <c r="L10" s="572"/>
      <c r="M10" s="572"/>
      <c r="N10" s="572"/>
    </row>
    <row r="11" spans="2:14">
      <c r="B11" s="572"/>
      <c r="C11" s="572"/>
      <c r="D11" s="572"/>
      <c r="E11" s="572"/>
      <c r="F11" s="572"/>
      <c r="G11" s="572"/>
      <c r="I11" s="572"/>
      <c r="J11" s="572"/>
      <c r="K11" s="572"/>
      <c r="L11" s="572"/>
      <c r="M11" s="572"/>
      <c r="N11" s="572"/>
    </row>
    <row r="12" spans="2:14">
      <c r="B12" s="572"/>
      <c r="C12" s="572"/>
      <c r="D12" s="572"/>
      <c r="E12" s="572"/>
      <c r="F12" s="572"/>
      <c r="G12" s="572"/>
      <c r="I12" s="572"/>
      <c r="J12" s="572"/>
      <c r="K12" s="572"/>
      <c r="L12" s="572"/>
      <c r="M12" s="572"/>
      <c r="N12" s="572"/>
    </row>
    <row r="13" spans="2:14">
      <c r="B13" s="5"/>
      <c r="C13" s="5"/>
      <c r="D13" s="5"/>
      <c r="E13" s="5"/>
      <c r="F13" s="5"/>
      <c r="G13" s="5"/>
    </row>
    <row r="14" spans="2:14">
      <c r="B14" s="213" t="str">
        <f>+Idiomas!D69</f>
        <v>Autor:</v>
      </c>
      <c r="C14" s="6" t="s">
        <v>206</v>
      </c>
      <c r="D14" s="7"/>
      <c r="E14" s="7"/>
      <c r="F14" s="5"/>
      <c r="G14" s="5"/>
    </row>
    <row r="15" spans="2:14" ht="15.95">
      <c r="B15" s="214" t="str">
        <f>+Idiomas!D70</f>
        <v>Útima versión</v>
      </c>
      <c r="C15" s="215">
        <v>45899</v>
      </c>
      <c r="D15" s="4"/>
      <c r="E15" s="4"/>
      <c r="F15" s="2"/>
      <c r="G15" s="399"/>
    </row>
    <row r="16" spans="2:14">
      <c r="B16" s="8"/>
    </row>
    <row r="17" spans="2:5">
      <c r="B17" s="400" t="s">
        <v>207</v>
      </c>
    </row>
    <row r="18" spans="2:5">
      <c r="B18" s="8"/>
    </row>
    <row r="19" spans="2:5" ht="15.95">
      <c r="C19" s="282"/>
      <c r="D19" s="305" t="s">
        <v>1</v>
      </c>
      <c r="E19" s="262">
        <v>2</v>
      </c>
    </row>
    <row r="20" spans="2:5">
      <c r="C20" s="285" t="s">
        <v>3</v>
      </c>
      <c r="D20" s="285" t="s">
        <v>2</v>
      </c>
      <c r="E20" s="285" t="s">
        <v>4</v>
      </c>
    </row>
    <row r="21" spans="2:5" ht="15.95">
      <c r="C21" s="286" t="s">
        <v>5</v>
      </c>
      <c r="D21" s="287">
        <v>2</v>
      </c>
      <c r="E21" s="288">
        <v>2</v>
      </c>
    </row>
    <row r="22" spans="2:5" ht="15.95">
      <c r="C22" s="286" t="s">
        <v>6</v>
      </c>
      <c r="D22" s="287">
        <v>2</v>
      </c>
      <c r="E22" s="288">
        <v>2</v>
      </c>
    </row>
    <row r="23" spans="2:5" ht="15.95">
      <c r="C23" s="286" t="s">
        <v>8</v>
      </c>
      <c r="D23" s="290">
        <v>0</v>
      </c>
      <c r="E23" s="288">
        <v>2</v>
      </c>
    </row>
    <row r="24" spans="2:5" ht="15.95">
      <c r="C24" s="291" t="s">
        <v>9</v>
      </c>
      <c r="D24" s="288">
        <v>2</v>
      </c>
      <c r="E24" s="292">
        <v>0</v>
      </c>
    </row>
    <row r="25" spans="2:5" ht="15.95">
      <c r="C25" s="291" t="s">
        <v>10</v>
      </c>
      <c r="D25" s="288">
        <v>2</v>
      </c>
      <c r="E25" s="292">
        <v>0</v>
      </c>
    </row>
    <row r="26" spans="2:5" ht="15.95">
      <c r="C26" s="291" t="s">
        <v>12</v>
      </c>
      <c r="D26" s="288">
        <v>2</v>
      </c>
      <c r="E26" s="292">
        <v>0</v>
      </c>
    </row>
    <row r="27" spans="2:5" ht="15.95">
      <c r="C27" s="291" t="s">
        <v>13</v>
      </c>
      <c r="D27" s="288">
        <v>2</v>
      </c>
      <c r="E27" s="292">
        <v>0</v>
      </c>
    </row>
    <row r="28" spans="2:5" ht="15.95">
      <c r="C28" s="286" t="s">
        <v>14</v>
      </c>
      <c r="D28" s="293">
        <v>2</v>
      </c>
      <c r="E28" s="288">
        <v>0</v>
      </c>
    </row>
    <row r="29" spans="2:5" ht="15.95">
      <c r="C29" s="286" t="s">
        <v>208</v>
      </c>
      <c r="D29" s="295">
        <v>2</v>
      </c>
      <c r="E29" s="288">
        <v>2</v>
      </c>
    </row>
    <row r="32" spans="2:5">
      <c r="C32" s="401"/>
    </row>
  </sheetData>
  <sheetProtection algorithmName="SHA-512" hashValue="/60F48kPEuZAyp/VsyddIUGFBZcs01acQ0gxjmax24rOfdXojL0v7S1e3Xwu9x64veVCqFLWC23ctrUsUo+fqA==" saltValue="jwZDQpYkMde4nkhtQTpUMQ==" spinCount="100000" sheet="1" objects="1" scenarios="1"/>
  <mergeCells count="2">
    <mergeCell ref="B3:G12"/>
    <mergeCell ref="I3:N12"/>
  </mergeCells>
  <conditionalFormatting sqref="D24:D27">
    <cfRule type="iconSet" priority="5">
      <iconSet iconSet="3Symbols2" showValue="0">
        <cfvo type="percent" val="0"/>
        <cfvo type="num" val="1"/>
        <cfvo type="num" val="2"/>
      </iconSet>
    </cfRule>
  </conditionalFormatting>
  <conditionalFormatting sqref="D25">
    <cfRule type="iconSet" priority="4">
      <iconSet iconSet="3Symbols2" showValue="0">
        <cfvo type="percent" val="0"/>
        <cfvo type="num" val="1"/>
        <cfvo type="num" val="2"/>
      </iconSet>
    </cfRule>
  </conditionalFormatting>
  <conditionalFormatting sqref="D26">
    <cfRule type="iconSet" priority="2">
      <iconSet iconSet="3Symbols2" showValue="0">
        <cfvo type="percent" val="0"/>
        <cfvo type="num" val="1"/>
        <cfvo type="num" val="2"/>
      </iconSet>
    </cfRule>
    <cfRule type="iconSet" priority="3">
      <iconSet iconSet="3Symbols2" showValue="0">
        <cfvo type="percent" val="0"/>
        <cfvo type="num" val="1"/>
        <cfvo type="num" val="2"/>
      </iconSet>
    </cfRule>
  </conditionalFormatting>
  <conditionalFormatting sqref="D27">
    <cfRule type="iconSet" priority="1">
      <iconSet iconSet="3Symbols2" showValue="0">
        <cfvo type="percent" val="0"/>
        <cfvo type="num" val="1"/>
        <cfvo type="num" val="2"/>
      </iconSet>
    </cfRule>
  </conditionalFormatting>
  <conditionalFormatting sqref="D22:E22">
    <cfRule type="iconSet" priority="7">
      <iconSet iconSet="3Symbols2" showValue="0">
        <cfvo type="percent" val="0"/>
        <cfvo type="num" val="1"/>
        <cfvo type="num" val="2"/>
      </iconSet>
    </cfRule>
  </conditionalFormatting>
  <conditionalFormatting sqref="D23:E23 D21:E21">
    <cfRule type="iconSet" priority="10">
      <iconSet iconSet="3Symbols2" showValue="0">
        <cfvo type="percent" val="0"/>
        <cfvo type="num" val="1"/>
        <cfvo type="num" val="2"/>
      </iconSet>
    </cfRule>
  </conditionalFormatting>
  <conditionalFormatting sqref="D28:E28 E24:E27">
    <cfRule type="iconSet" priority="6">
      <iconSet iconSet="3Symbols2" showValue="0">
        <cfvo type="percent" val="0"/>
        <cfvo type="num" val="1"/>
        <cfvo type="num" val="2"/>
      </iconSet>
    </cfRule>
  </conditionalFormatting>
  <conditionalFormatting sqref="D29:E29">
    <cfRule type="iconSet" priority="9">
      <iconSet iconSet="3Symbols2" showValue="0">
        <cfvo type="percent" val="0"/>
        <cfvo type="num" val="1"/>
        <cfvo type="num" val="2"/>
      </iconSet>
    </cfRule>
  </conditionalFormatting>
  <conditionalFormatting sqref="E19">
    <cfRule type="iconSet" priority="8">
      <iconSet iconSet="3Symbols2" showValue="0">
        <cfvo type="percent" val="0"/>
        <cfvo type="num" val="1"/>
        <cfvo type="num" val="2"/>
      </iconSet>
    </cfRule>
  </conditionalFormatting>
  <hyperlinks>
    <hyperlink ref="C14" r:id="rId1" xr:uid="{D5D24EB0-C93B-CC45-87F7-F89E0037D0BB}"/>
    <hyperlink ref="D29" r:id="rId2" display="https://matejero.es/excel-porra-mundial/" xr:uid="{0BA30595-1B07-0341-89C2-C114DBD16882}"/>
    <hyperlink ref="E29" r:id="rId3" display="https://matejero.com/world-cup-excel-sweepstake/" xr:uid="{2FCA45AE-56CB-4F45-94AD-0E5815182FD8}"/>
    <hyperlink ref="E23" r:id="rId4" display="https://matejero.com/premier-league-excel-schedule/" xr:uid="{A7A06A11-3CDB-4B44-98A4-BF61552ABB8E}"/>
    <hyperlink ref="D21" r:id="rId5" display="https://matejero.es/excel-champions-league/" xr:uid="{7B7E465D-3D7B-7740-A68A-5E53C5B61070}"/>
    <hyperlink ref="E21" r:id="rId6" display="https://matejero.com/europa-league-excel-schedule/" xr:uid="{45A1ECAF-9349-E44E-8D8B-823A90E87339}"/>
    <hyperlink ref="D28" r:id="rId7" display="https://matejero.es/excel-copa-libertadores/" xr:uid="{89A198D5-C804-6A4C-9908-D5311DE5B210}"/>
    <hyperlink ref="D22" r:id="rId8" display="https://matejero.es/excel-conference-league/" xr:uid="{5E4F76F6-0DD3-7D42-A92D-2E9B6E25062D}"/>
    <hyperlink ref="E22" r:id="rId9" display="https://matejero.com/conference-league-excel-schedule/" xr:uid="{3D43200B-9EB2-BD43-AEFE-CD42F21FAC42}"/>
    <hyperlink ref="D24" r:id="rId10" display="https://matejero.es/calendario-excel-liga/" xr:uid="{5404EA62-9B1F-6944-B21F-DC33283CFED7}"/>
    <hyperlink ref="D25:D27" r:id="rId11" display="https://matejero.es/download/excel-liga-25-26/" xr:uid="{407A1013-2C95-8049-9EF6-96D66131BC0D}"/>
    <hyperlink ref="D25" r:id="rId12" display="https://matejero.es/download/calendario-2a-division-25-26-excel" xr:uid="{95EF2DA6-5862-8841-968F-437D2E2D5860}"/>
    <hyperlink ref="D26" r:id="rId13" display="https://matejero.es/download/calendario-1a-federacion-grupo-1-25-26-excel" xr:uid="{0E363FA7-1538-3144-841E-AAF844E7A950}"/>
    <hyperlink ref="D27" r:id="rId14" display="https://matejero.es/download/calendario-ligaf-25-26-excel" xr:uid="{A016AC3C-6DFE-7447-B8FA-D1E8E01C498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B1EAB-0018-5146-B287-6D293A4793EA}">
  <sheetPr codeName="Hoja9"/>
  <dimension ref="A1:CM37"/>
  <sheetViews>
    <sheetView showGridLines="0" showRowColHeaders="0" topLeftCell="A202" workbookViewId="0">
      <selection activeCell="P230" sqref="P230"/>
    </sheetView>
  </sheetViews>
  <sheetFormatPr defaultColWidth="10.875" defaultRowHeight="15.95"/>
  <cols>
    <col min="1" max="1" width="16.5" style="301" bestFit="1" customWidth="1"/>
    <col min="2" max="2" width="2.875" style="301" bestFit="1" customWidth="1"/>
    <col min="3" max="3" width="3.375" style="301" bestFit="1" customWidth="1"/>
    <col min="4" max="4" width="3" style="301" bestFit="1" customWidth="1"/>
    <col min="5" max="6" width="3.125" style="301" bestFit="1" customWidth="1"/>
    <col min="7" max="7" width="3.375" style="301" bestFit="1" customWidth="1"/>
    <col min="8" max="8" width="3.5" style="301" bestFit="1" customWidth="1"/>
    <col min="9" max="9" width="5.5" style="301" bestFit="1" customWidth="1"/>
    <col min="10" max="10" width="4.125" style="301" bestFit="1" customWidth="1"/>
    <col min="11" max="11" width="4.625" style="301" bestFit="1" customWidth="1"/>
    <col min="12" max="12" width="4.375" style="301" bestFit="1" customWidth="1"/>
    <col min="13" max="14" width="4.5" style="301" bestFit="1" customWidth="1"/>
    <col min="15" max="15" width="4.625" style="301" bestFit="1" customWidth="1"/>
    <col min="16" max="17" width="4.875" style="301" bestFit="1" customWidth="1"/>
    <col min="18" max="18" width="4" style="301" bestFit="1" customWidth="1"/>
    <col min="19" max="19" width="4.5" style="301" bestFit="1" customWidth="1"/>
    <col min="20" max="20" width="4.125" style="301" bestFit="1" customWidth="1"/>
    <col min="21" max="22" width="4.375" style="301" bestFit="1" customWidth="1"/>
    <col min="23" max="23" width="4.5" style="301" bestFit="1" customWidth="1"/>
    <col min="24" max="24" width="4.625" style="301" bestFit="1" customWidth="1"/>
    <col min="25" max="26" width="4.625" style="301" customWidth="1"/>
    <col min="27" max="28" width="5.875" style="301" customWidth="1"/>
    <col min="29" max="29" width="2.625" style="301" customWidth="1"/>
    <col min="30" max="30" width="10.875" style="301"/>
    <col min="31" max="31" width="1.875" style="301" customWidth="1"/>
    <col min="32" max="32" width="10.875" style="301"/>
    <col min="33" max="33" width="2.5" style="301" customWidth="1"/>
    <col min="34" max="34" width="10.875" style="301"/>
    <col min="35" max="35" width="1.875" style="301" customWidth="1"/>
    <col min="36" max="36" width="10.875" style="301"/>
    <col min="37" max="37" width="1.875" style="301" customWidth="1"/>
    <col min="38" max="38" width="10.875" style="301"/>
    <col min="39" max="39" width="3.375" style="301" customWidth="1"/>
    <col min="40" max="40" width="10.625" style="301" customWidth="1"/>
    <col min="41" max="41" width="1.875" style="301" customWidth="1"/>
    <col min="42" max="42" width="8.625" style="301" customWidth="1"/>
    <col min="43" max="43" width="1.875" style="301" customWidth="1"/>
    <col min="44" max="44" width="10.875" style="301"/>
    <col min="45" max="45" width="3.625" style="301" customWidth="1"/>
    <col min="46" max="46" width="10.875" style="301"/>
    <col min="47" max="47" width="1.875" style="301" customWidth="1"/>
    <col min="48" max="48" width="10.875" style="301"/>
    <col min="49" max="49" width="1.875" style="301" customWidth="1"/>
    <col min="50" max="50" width="10.875" style="301"/>
    <col min="51" max="51" width="3.625" style="301" customWidth="1"/>
    <col min="52" max="52" width="10.625" style="301" customWidth="1"/>
    <col min="53" max="53" width="1.875" style="301" customWidth="1"/>
    <col min="54" max="54" width="8.625" style="301" customWidth="1"/>
    <col min="55" max="55" width="1.875" style="301" customWidth="1"/>
    <col min="56" max="56" width="10.875" style="301"/>
    <col min="57" max="57" width="3.625" style="301" customWidth="1"/>
    <col min="58" max="58" width="10.625" style="301" customWidth="1"/>
    <col min="59" max="59" width="1.875" style="301" customWidth="1"/>
    <col min="60" max="60" width="8.625" style="301" customWidth="1"/>
    <col min="61" max="61" width="1.875" style="301" customWidth="1"/>
    <col min="62" max="62" width="10.875" style="301"/>
    <col min="63" max="63" width="3.625" style="301" customWidth="1"/>
    <col min="64" max="64" width="10.625" style="301" customWidth="1"/>
    <col min="65" max="65" width="1.875" style="301" customWidth="1"/>
    <col min="66" max="66" width="8.625" style="301" customWidth="1"/>
    <col min="67" max="67" width="1.875" style="301" customWidth="1"/>
    <col min="68" max="68" width="10.875" style="301"/>
    <col min="69" max="69" width="3.625" style="301" customWidth="1"/>
    <col min="70" max="70" width="10.625" style="301" customWidth="1"/>
    <col min="71" max="71" width="1.875" style="301" customWidth="1"/>
    <col min="72" max="72" width="8.625" style="301" customWidth="1"/>
    <col min="73" max="73" width="1.875" style="301" customWidth="1"/>
    <col min="74" max="74" width="10.875" style="301"/>
    <col min="75" max="75" width="3.625" style="301" customWidth="1"/>
    <col min="76" max="76" width="10.625" style="301" customWidth="1"/>
    <col min="77" max="77" width="1.875" style="301" customWidth="1"/>
    <col min="78" max="78" width="8.625" style="301" customWidth="1"/>
    <col min="79" max="79" width="1.875" style="301" customWidth="1"/>
    <col min="80" max="80" width="10.875" style="301"/>
    <col min="81" max="81" width="3.625" style="301" customWidth="1"/>
    <col min="82" max="82" width="10.875" style="301"/>
    <col min="83" max="83" width="1.875" style="301" customWidth="1"/>
    <col min="84" max="84" width="8.5" style="301" customWidth="1"/>
    <col min="85" max="85" width="9.125" style="301" customWidth="1"/>
    <col min="86" max="16384" width="10.875" style="301"/>
  </cols>
  <sheetData>
    <row r="1" spans="1:91" ht="42.95" customHeight="1">
      <c r="A1" s="297" t="str">
        <f>Idiomas!D52</f>
        <v>Equipo</v>
      </c>
      <c r="B1" s="298" t="str">
        <f>Idiomas!D54</f>
        <v>J</v>
      </c>
      <c r="C1" s="298" t="str">
        <f>Idiomas!D55</f>
        <v>G</v>
      </c>
      <c r="D1" s="298" t="str">
        <f>Idiomas!D56</f>
        <v>E</v>
      </c>
      <c r="E1" s="298" t="str">
        <f>Idiomas!D57</f>
        <v>P</v>
      </c>
      <c r="F1" s="298" t="str">
        <f>Idiomas!D58</f>
        <v>GF</v>
      </c>
      <c r="G1" s="298" t="str">
        <f>Idiomas!D59</f>
        <v>GC</v>
      </c>
      <c r="H1" s="298" t="str">
        <f>Idiomas!D60</f>
        <v>DG</v>
      </c>
      <c r="I1" s="297" t="str">
        <f>Idiomas!D53</f>
        <v>Pts</v>
      </c>
      <c r="J1" s="299" t="str">
        <f>CONCATENATE(B1&amp;" "&amp;Idiomas!$D61)</f>
        <v>J C</v>
      </c>
      <c r="K1" s="298" t="str">
        <f>CONCATENATE(C1&amp;" "&amp;Idiomas!$D61)</f>
        <v>G C</v>
      </c>
      <c r="L1" s="298" t="str">
        <f>CONCATENATE(D1&amp;" "&amp;Idiomas!$D61)</f>
        <v>E C</v>
      </c>
      <c r="M1" s="298" t="str">
        <f>CONCATENATE(E1&amp;" "&amp;Idiomas!$D61)</f>
        <v>P C</v>
      </c>
      <c r="N1" s="298" t="str">
        <f>CONCATENATE(F1&amp;" "&amp;Idiomas!$D61)</f>
        <v>GF C</v>
      </c>
      <c r="O1" s="298" t="str">
        <f>CONCATENATE(G1&amp;" "&amp;Idiomas!$D61)</f>
        <v>GC C</v>
      </c>
      <c r="P1" s="298" t="str">
        <f>CONCATENATE(H1&amp;" "&amp;Idiomas!$D61)</f>
        <v>DG C</v>
      </c>
      <c r="Q1" s="297" t="str">
        <f>CONCATENATE(I1&amp;" "&amp;Idiomas!$D61)</f>
        <v>Pts C</v>
      </c>
      <c r="R1" s="299" t="str">
        <f>CONCATENATE(B1&amp;" "&amp;Idiomas!$D62)</f>
        <v>J F</v>
      </c>
      <c r="S1" s="298" t="str">
        <f>CONCATENATE(C1&amp;" "&amp;Idiomas!$D62)</f>
        <v>G F</v>
      </c>
      <c r="T1" s="298" t="str">
        <f>CONCATENATE(D1&amp;" "&amp;Idiomas!$D62)</f>
        <v>E F</v>
      </c>
      <c r="U1" s="298" t="str">
        <f>CONCATENATE(E1&amp;" "&amp;Idiomas!$D62)</f>
        <v>P F</v>
      </c>
      <c r="V1" s="298" t="str">
        <f>CONCATENATE(F1&amp;" "&amp;Idiomas!$D62)</f>
        <v>GF F</v>
      </c>
      <c r="W1" s="298" t="str">
        <f>CONCATENATE(G1&amp;" "&amp;Idiomas!$D62)</f>
        <v>GC F</v>
      </c>
      <c r="X1" s="298" t="str">
        <f>CONCATENATE(H1&amp;" "&amp;Idiomas!$D62)</f>
        <v>DG F</v>
      </c>
      <c r="Y1" s="300" t="str">
        <f>CONCATENATE(I1&amp;" "&amp;Idiomas!$D62)</f>
        <v>Pts F</v>
      </c>
      <c r="Z1" s="298" t="s">
        <v>18</v>
      </c>
      <c r="AA1" s="298" t="s">
        <v>19</v>
      </c>
      <c r="AB1" s="298" t="s">
        <v>20</v>
      </c>
      <c r="AC1" s="297"/>
      <c r="AD1" s="298" t="s">
        <v>209</v>
      </c>
      <c r="AE1" s="298"/>
      <c r="AF1" s="298" t="s">
        <v>210</v>
      </c>
      <c r="AG1" s="297"/>
      <c r="AH1" s="298" t="s">
        <v>211</v>
      </c>
      <c r="AI1" s="298"/>
      <c r="AJ1" s="298" t="s">
        <v>212</v>
      </c>
      <c r="AK1" s="298"/>
      <c r="AL1" s="298" t="s">
        <v>213</v>
      </c>
      <c r="AM1" s="298"/>
      <c r="AN1" s="298" t="s">
        <v>214</v>
      </c>
      <c r="AO1" s="298"/>
      <c r="AP1" s="298" t="s">
        <v>215</v>
      </c>
      <c r="AQ1" s="298"/>
      <c r="AR1" s="298" t="s">
        <v>216</v>
      </c>
      <c r="AS1" s="298"/>
      <c r="AT1" s="298" t="s">
        <v>217</v>
      </c>
      <c r="AU1" s="298"/>
      <c r="AV1" s="298" t="s">
        <v>218</v>
      </c>
      <c r="AW1" s="298"/>
      <c r="AX1" s="298" t="s">
        <v>219</v>
      </c>
      <c r="AY1" s="298"/>
      <c r="AZ1" s="298" t="s">
        <v>220</v>
      </c>
      <c r="BA1" s="298"/>
      <c r="BB1" s="298" t="s">
        <v>221</v>
      </c>
      <c r="BC1" s="298"/>
      <c r="BD1" s="298" t="s">
        <v>222</v>
      </c>
      <c r="BE1" s="298"/>
      <c r="BF1" s="298" t="s">
        <v>223</v>
      </c>
      <c r="BG1" s="298"/>
      <c r="BH1" s="298" t="s">
        <v>224</v>
      </c>
      <c r="BI1" s="298"/>
      <c r="BJ1" s="298" t="s">
        <v>225</v>
      </c>
      <c r="BK1" s="298"/>
      <c r="BL1" s="298" t="s">
        <v>57</v>
      </c>
      <c r="BM1" s="298"/>
      <c r="BN1" s="298" t="s">
        <v>226</v>
      </c>
      <c r="BO1" s="298"/>
      <c r="BP1" s="298" t="s">
        <v>227</v>
      </c>
      <c r="BQ1" s="298"/>
      <c r="BR1" s="298" t="s">
        <v>62</v>
      </c>
      <c r="BS1" s="298"/>
      <c r="BT1" s="298" t="s">
        <v>228</v>
      </c>
      <c r="BU1" s="298"/>
      <c r="BV1" s="298" t="s">
        <v>229</v>
      </c>
      <c r="BW1" s="298"/>
      <c r="BX1" s="298" t="s">
        <v>64</v>
      </c>
      <c r="BY1" s="298"/>
      <c r="BZ1" s="298" t="s">
        <v>230</v>
      </c>
      <c r="CA1" s="298"/>
      <c r="CB1" s="298" t="s">
        <v>231</v>
      </c>
      <c r="CC1" s="298"/>
      <c r="CD1" s="298" t="s">
        <v>232</v>
      </c>
      <c r="CE1" s="297"/>
      <c r="CF1" s="297" t="s">
        <v>233</v>
      </c>
      <c r="CG1" s="297"/>
      <c r="CH1" s="297" t="s">
        <v>234</v>
      </c>
      <c r="CI1" s="297" t="s">
        <v>235</v>
      </c>
      <c r="CJ1" s="298" t="s">
        <v>236</v>
      </c>
      <c r="CK1" s="298"/>
      <c r="CM1" s="301" t="s">
        <v>237</v>
      </c>
    </row>
    <row r="2" spans="1:91">
      <c r="A2" s="301" t="str">
        <f>TablaEquipos[[#This Row],[Team]]</f>
        <v>Ajax</v>
      </c>
      <c r="B2" s="302">
        <f>C2+D2+E2</f>
        <v>7</v>
      </c>
      <c r="C2" s="302">
        <f t="shared" ref="C2:C37" si="0">COUNTIFS(Equipo_local,$A2,Ganador,"Local")+COUNTIFS(Equipo_visitante,$A2,Ganador,"Visitante")</f>
        <v>2</v>
      </c>
      <c r="D2" s="302">
        <f t="shared" ref="D2:D37" si="1">COUNTIFS(Equipo_local,$A2,Ganador,"Empate")+COUNTIFS(Equipo_visitante,$A2,Ganador,"Empate")</f>
        <v>0</v>
      </c>
      <c r="E2" s="302">
        <f t="shared" ref="E2:E37" si="2">COUNTIFS(Equipo_local,$A2,Ganador,"Visitante")+COUNTIFS(Equipo_visitante,$A2,Ganador,"Local")</f>
        <v>5</v>
      </c>
      <c r="F2" s="302">
        <f t="shared" ref="F2:F37" si="3">SUMIFS(Goles_local,Equipo_local,$A2,Goles_visitante,"&lt;&gt;"&amp;"")+SUMIFS(Goles_visitante,Equipo_visitante,$A2,Goles_local,"&lt;&gt;"&amp;"")</f>
        <v>7</v>
      </c>
      <c r="G2" s="302">
        <f t="shared" ref="G2:G37" si="4">SUMIFS(Goles_visitante,Equipo_local,$A2,Goles_local,"&lt;&gt;"&amp;"")+SUMIFS(Goles_local,Equipo_visitante,$A2,Goles_visitante,"&lt;&gt;"&amp;"")</f>
        <v>19</v>
      </c>
      <c r="H2" s="302">
        <f>F2-G2</f>
        <v>-12</v>
      </c>
      <c r="I2" s="302">
        <f>C2*3+D2*1+E2*0+INDEX(League!$BA$2:$BA$37,MATCH(Calcs!A2,League!$AZ$2:$AZ$37,0))</f>
        <v>6</v>
      </c>
      <c r="J2" s="303">
        <f>K2+L2+M2</f>
        <v>3</v>
      </c>
      <c r="K2" s="302">
        <f t="shared" ref="K2:K37" si="5">COUNTIFS(Equipo_local,$A2,Ganador,"Local")</f>
        <v>0</v>
      </c>
      <c r="L2" s="302">
        <f t="shared" ref="L2:L37" si="6">COUNTIFS(Equipo_local,$A2,Ganador,"Empate")</f>
        <v>0</v>
      </c>
      <c r="M2" s="302">
        <f t="shared" ref="M2:M37" si="7">COUNTIFS(Equipo_local,$A2,Ganador,"Visitante")</f>
        <v>3</v>
      </c>
      <c r="N2" s="302">
        <f t="shared" ref="N2:N37" si="8">SUMIFS(Goles_local,Equipo_local,$A2,Goles_visitante,"&lt;&gt;"&amp;"")</f>
        <v>0</v>
      </c>
      <c r="O2" s="302">
        <f t="shared" ref="O2:O37" si="9">SUMIFS(Goles_visitante,Equipo_local,$A2,Goles_local,"&lt;&gt;"&amp;"")</f>
        <v>7</v>
      </c>
      <c r="P2" s="302">
        <f>N2-O2</f>
        <v>-7</v>
      </c>
      <c r="Q2" s="302">
        <f>K2*3+L2*1+M2*0</f>
        <v>0</v>
      </c>
      <c r="R2" s="303">
        <f>S2+T2+U2</f>
        <v>4</v>
      </c>
      <c r="S2" s="302">
        <f t="shared" ref="S2:S37" si="10">COUNTIFS(Equipo_visitante,$A2,Ganador,"Visitante")</f>
        <v>2</v>
      </c>
      <c r="T2" s="302">
        <f t="shared" ref="T2:T37" si="11">COUNTIFS(Equipo_visitante,$A2,Ganador,"Empate")</f>
        <v>0</v>
      </c>
      <c r="U2" s="302">
        <f t="shared" ref="U2:U37" si="12">COUNTIFS(Equipo_visitante,$A2,Ganador,"Local")</f>
        <v>2</v>
      </c>
      <c r="V2" s="302">
        <f t="shared" ref="V2:V37" si="13">SUMIFS(Goles_visitante,Equipo_visitante,$A2,Goles_local,"&lt;&gt;"&amp;"")</f>
        <v>7</v>
      </c>
      <c r="W2" s="302">
        <f t="shared" ref="W2:W37" si="14">SUMIFS(Goles_local,Equipo_visitante,$A2,Goles_visitante,"&lt;&gt;"&amp;"")</f>
        <v>12</v>
      </c>
      <c r="X2" s="302">
        <f>V2-W2</f>
        <v>-5</v>
      </c>
      <c r="Y2" s="304">
        <f>S2*3+T2*1+U2*0</f>
        <v>6</v>
      </c>
      <c r="Z2" s="302" cm="1">
        <f t="array" ref="Z2">+INDEX(League!$BI$18:$CR$18,,MATCH(Calcs!A2,League!$BI$1:$CR$1,0))</f>
        <v>69</v>
      </c>
      <c r="AA2" s="302" cm="1">
        <f t="array" ref="AA2">+INDEX(League!$BI$27:$CR$27,,MATCH(Calcs!A2,League!$BI$1:$CR$1,0))</f>
        <v>-9</v>
      </c>
      <c r="AB2" s="302" cm="1">
        <f t="array" ref="AB2">+INDEX(League!$BI$36:$CR$36,,MATCH(Calcs!A2,League!$BI$1:$CR$1,0))</f>
        <v>79</v>
      </c>
      <c r="AD2" s="302">
        <f>COUNTIF(I$2:I$37,"&gt;"&amp;I2)+1</f>
        <v>28</v>
      </c>
      <c r="AF2" s="302" t="str">
        <f>IF(COUNTIF(AD$2:AD$37,AD2)=1,"-","Pos. "&amp;AD2&amp;" ("&amp;COUNTIF(AD$2:AD$37,AD2)&amp;")")</f>
        <v>Pos. 28 (5)</v>
      </c>
      <c r="AH2" s="302">
        <f t="shared" ref="AH2:AH37" si="15">IF(AF2="-","-",H2)</f>
        <v>-12</v>
      </c>
      <c r="AJ2" s="302">
        <f t="shared" ref="AJ2:AJ37" si="16">AD2+COUNTIFS(AF$2:AF$37,AF2,AH$2:AH$37,"&gt;"&amp;AH2)</f>
        <v>32</v>
      </c>
      <c r="AL2" s="302" t="str">
        <f>IF(COUNTIF(AJ$2:AJ$37,AJ2)=1,"-","Pos. "&amp;AJ2&amp;" ("&amp;COUNTIF(AJ$2:AJ$37,AJ2)&amp;")")</f>
        <v>-</v>
      </c>
      <c r="AN2" s="302" t="str">
        <f t="shared" ref="AN2:AN37" si="17">IF(AL2="-","-",F2)</f>
        <v>-</v>
      </c>
      <c r="AP2" s="302">
        <f>AJ2+COUNTIFS(AL$2:AL$37,AL2,AN$2:AN$37,"&gt;"&amp;AN2)</f>
        <v>32</v>
      </c>
      <c r="AR2" s="302" t="str">
        <f>IF(COUNTIF(AP$2:AP$37,AP2)=1,"-","Pos. "&amp;AP2&amp;" ("&amp;COUNTIF(AP$2:AP$37,AP2)&amp;")")</f>
        <v>-</v>
      </c>
      <c r="AT2" s="302" t="str">
        <f t="shared" ref="AT2:AT37" si="18">IF(AR2="-","-",V2)</f>
        <v>-</v>
      </c>
      <c r="AV2" s="302">
        <f>AP2+COUNTIFS(AR$2:AR$37,AR2,AT$2:AT$37,"&gt;"&amp;AT2)</f>
        <v>32</v>
      </c>
      <c r="AX2" s="302" t="str">
        <f>IF(COUNTIF(AV$2:AV$37,AV2)=1,"-","Pos. "&amp;AV2&amp;" ("&amp;COUNTIF(AV$2:AV$37,AV2)&amp;")")</f>
        <v>-</v>
      </c>
      <c r="AZ2" s="302" t="str">
        <f t="shared" ref="AZ2:AZ37" si="19">IF(AX2="-","-",C2)</f>
        <v>-</v>
      </c>
      <c r="BB2" s="302">
        <f>AV2+COUNTIFS(AX$2:AX$37,AX2,AZ$2:AZ$37,"&gt;"&amp;AZ2)</f>
        <v>32</v>
      </c>
      <c r="BD2" s="302" t="str">
        <f>IF(COUNTIF(BB$2:BB$37,BB2)=1,"-","Pos. "&amp;BB2&amp;" ("&amp;COUNTIF(BB$2:BB$37,BB2)&amp;")")</f>
        <v>-</v>
      </c>
      <c r="BF2" s="302" t="str">
        <f t="shared" ref="BF2:BF37" si="20">IF(BD2="-","-",S2)</f>
        <v>-</v>
      </c>
      <c r="BH2" s="302">
        <f>BB2+COUNTIFS(BD$2:BD$37,BD2,BF$2:BF$37,"&gt;"&amp;BF2)</f>
        <v>32</v>
      </c>
      <c r="BJ2" s="302" t="str">
        <f>IF(COUNTIF(BH$2:BH$37,BH2)=1,"-","Pos. "&amp;BH2&amp;" ("&amp;COUNTIF(BH$2:BH$37,BH2)&amp;")")</f>
        <v>-</v>
      </c>
      <c r="BL2" s="302" t="str">
        <f>IF(BJ2="-","-",Z2)</f>
        <v>-</v>
      </c>
      <c r="BN2" s="302">
        <f>BH2+COUNTIFS(BJ$2:BJ$37,BJ2,BL$2:BL$37,"&gt;"&amp;BL2)</f>
        <v>32</v>
      </c>
      <c r="BP2" s="302" t="str">
        <f>IF(COUNTIF(BN$2:BN$37,BN2)=1,"-","Pos. "&amp;BN2&amp;" ("&amp;COUNTIF(BN$2:BN$37,BN2)&amp;")")</f>
        <v>-</v>
      </c>
      <c r="BR2" s="302" t="str">
        <f>IF(BP2="-","-",AA2)</f>
        <v>-</v>
      </c>
      <c r="BT2" s="302">
        <f>BN2+COUNTIFS(BP$2:BP$37,BP2,BR$2:BR$37,"&gt;"&amp;BR2)</f>
        <v>32</v>
      </c>
      <c r="BV2" s="302" t="str">
        <f>IF(COUNTIF(BT$2:BT$37,BT2)=1,"-","Pos. "&amp;BT2&amp;" ("&amp;COUNTIF(BT$2:BT$37,BT2)&amp;")")</f>
        <v>-</v>
      </c>
      <c r="BX2" s="302" t="str">
        <f>IF(BV2="-","-",AB2)</f>
        <v>-</v>
      </c>
      <c r="BZ2" s="302">
        <f>BT2+COUNTIFS(BV$2:BV$37,BV2,BX$2:BX$37,"&gt;"&amp;BX2)</f>
        <v>32</v>
      </c>
      <c r="CB2" s="302" t="str">
        <f>IF(COUNTIF(BZ$2:BZ$37,BZ2)=1,"-","Pos. "&amp;BZ2&amp;" ("&amp;COUNTIF(BZ$2:BZ$37,BZ2)&amp;")")</f>
        <v>-</v>
      </c>
      <c r="CD2" s="302" t="str">
        <f t="shared" ref="CD2:CD37" si="21">IF(CB2="-","-",COUNTIF(A$2:A$37,"&lt;"&amp;A2))</f>
        <v>-</v>
      </c>
      <c r="CF2" s="302">
        <f>BZ2+COUNTIFS(CB$2:CB$37,CB2,CD$2:CD$37,"&lt;"&amp;CD2)</f>
        <v>32</v>
      </c>
      <c r="CH2" s="301">
        <f>IF(OR(INDEX(League!$AT$2:$AT$37,MATCH($A2,League!$AS$2:$AS$37,0))="",CB2="-"),CF2,INDEX(League!$AT$2:$AT$37,MATCH($A2,League!$AS$2:$AS$37,0))+ROW()/1000)</f>
        <v>32</v>
      </c>
      <c r="CI2" s="301" t="str">
        <f>IF(CB2="-","-",COUNTIF(CH$2:CH$37,"&lt;"&amp;CH2))</f>
        <v>-</v>
      </c>
      <c r="CJ2" s="301">
        <f>BZ2+COUNTIFS(CB$2:CB$37,CB2,CI$2:CI$37,"&lt;"&amp;CI2)</f>
        <v>32</v>
      </c>
      <c r="CM2" s="301">
        <f>COUNTIFS(Equipo_local,$A2,Ganador,"Local")+COUNTIFS(Equipo_visitante,$A2,Ganador,"Visitante")</f>
        <v>2</v>
      </c>
    </row>
    <row r="3" spans="1:91">
      <c r="A3" s="301" t="str">
        <f>TablaEquipos[[#This Row],[Team]]</f>
        <v>Arsenal</v>
      </c>
      <c r="B3" s="302">
        <f t="shared" ref="B3:B37" si="22">C3+D3+E3</f>
        <v>7</v>
      </c>
      <c r="C3" s="302">
        <f t="shared" si="0"/>
        <v>7</v>
      </c>
      <c r="D3" s="302">
        <f t="shared" si="1"/>
        <v>0</v>
      </c>
      <c r="E3" s="302">
        <f t="shared" si="2"/>
        <v>0</v>
      </c>
      <c r="F3" s="302">
        <f t="shared" si="3"/>
        <v>20</v>
      </c>
      <c r="G3" s="302">
        <f t="shared" si="4"/>
        <v>2</v>
      </c>
      <c r="H3" s="302">
        <f t="shared" ref="H3:H37" si="23">F3-G3</f>
        <v>18</v>
      </c>
      <c r="I3" s="302">
        <f>C3*3+D3*1+E3*0+INDEX(League!$BA$2:$BA$37,MATCH(Calcs!A3,League!$AZ$2:$AZ$37,0))</f>
        <v>21</v>
      </c>
      <c r="J3" s="303">
        <f t="shared" ref="J3:J37" si="24">K3+L3+M3</f>
        <v>3</v>
      </c>
      <c r="K3" s="302">
        <f t="shared" si="5"/>
        <v>3</v>
      </c>
      <c r="L3" s="302">
        <f t="shared" si="6"/>
        <v>0</v>
      </c>
      <c r="M3" s="302">
        <f t="shared" si="7"/>
        <v>0</v>
      </c>
      <c r="N3" s="302">
        <f t="shared" si="8"/>
        <v>9</v>
      </c>
      <c r="O3" s="302">
        <f t="shared" si="9"/>
        <v>1</v>
      </c>
      <c r="P3" s="302">
        <f t="shared" ref="P3:P37" si="25">N3-O3</f>
        <v>8</v>
      </c>
      <c r="Q3" s="302">
        <f t="shared" ref="Q3:Q37" si="26">K3*3+L3*1+M3*0</f>
        <v>9</v>
      </c>
      <c r="R3" s="303">
        <f t="shared" ref="R3:R37" si="27">S3+T3+U3</f>
        <v>4</v>
      </c>
      <c r="S3" s="302">
        <f t="shared" si="10"/>
        <v>4</v>
      </c>
      <c r="T3" s="302">
        <f t="shared" si="11"/>
        <v>0</v>
      </c>
      <c r="U3" s="302">
        <f t="shared" si="12"/>
        <v>0</v>
      </c>
      <c r="V3" s="302">
        <f t="shared" si="13"/>
        <v>11</v>
      </c>
      <c r="W3" s="302">
        <f t="shared" si="14"/>
        <v>1</v>
      </c>
      <c r="X3" s="302">
        <f t="shared" ref="X3:X37" si="28">V3-W3</f>
        <v>10</v>
      </c>
      <c r="Y3" s="304">
        <f t="shared" ref="Y3:Y37" si="29">S3*3+T3*1+U3*0</f>
        <v>12</v>
      </c>
      <c r="Z3" s="302" cm="1">
        <f t="array" ref="Z3">+INDEX(League!$BI$18:$CR$18,,MATCH(Calcs!A3,League!$BI$1:$CR$1,0))</f>
        <v>70</v>
      </c>
      <c r="AA3" s="302" cm="1">
        <f t="array" ref="AA3">+INDEX(League!$BI$27:$CR$27,,MATCH(Calcs!A3,League!$BI$1:$CR$1,0))</f>
        <v>-17</v>
      </c>
      <c r="AB3" s="302" cm="1">
        <f t="array" ref="AB3">+INDEX(League!$BI$36:$CR$36,,MATCH(Calcs!A3,League!$BI$1:$CR$1,0))</f>
        <v>85</v>
      </c>
      <c r="AD3" s="302">
        <f t="shared" ref="AD3:AD37" si="30">COUNTIF(I$2:I$37,"&gt;"&amp;I3)+1</f>
        <v>1</v>
      </c>
      <c r="AF3" s="302" t="str">
        <f t="shared" ref="AF3:AF37" si="31">IF(COUNTIF(AD$2:AD$37,AD3)=1,"-","Pos. "&amp;AD3&amp;" ("&amp;COUNTIF(AD$2:AD$37,AD3)&amp;")")</f>
        <v>-</v>
      </c>
      <c r="AH3" s="302" t="str">
        <f t="shared" si="15"/>
        <v>-</v>
      </c>
      <c r="AJ3" s="302">
        <f t="shared" si="16"/>
        <v>1</v>
      </c>
      <c r="AL3" s="302" t="str">
        <f t="shared" ref="AL3:AL37" si="32">IF(COUNTIF(AJ$2:AJ$37,AJ3)=1,"-","Pos. "&amp;AJ3&amp;" ("&amp;COUNTIF(AJ$2:AJ$37,AJ3)&amp;")")</f>
        <v>-</v>
      </c>
      <c r="AN3" s="302" t="str">
        <f t="shared" si="17"/>
        <v>-</v>
      </c>
      <c r="AP3" s="302">
        <f t="shared" ref="AP3:AP37" si="33">AJ3+COUNTIFS(AL$2:AL$37,AL3,AN$2:AN$37,"&gt;"&amp;AN3)</f>
        <v>1</v>
      </c>
      <c r="AR3" s="302" t="str">
        <f t="shared" ref="AR3:AR37" si="34">IF(COUNTIF(AP$2:AP$37,AP3)=1,"-","Pos. "&amp;AP3&amp;" ("&amp;COUNTIF(AP$2:AP$37,AP3)&amp;")")</f>
        <v>-</v>
      </c>
      <c r="AT3" s="302" t="str">
        <f t="shared" si="18"/>
        <v>-</v>
      </c>
      <c r="AV3" s="302">
        <f t="shared" ref="AV3:AV37" si="35">AP3+COUNTIFS(AR$2:AR$37,AR3,AT$2:AT$37,"&gt;"&amp;AT3)</f>
        <v>1</v>
      </c>
      <c r="AX3" s="302" t="str">
        <f t="shared" ref="AX3:AX37" si="36">IF(COUNTIF(AV$2:AV$37,AV3)=1,"-","Pos. "&amp;AV3&amp;" ("&amp;COUNTIF(AV$2:AV$37,AV3)&amp;")")</f>
        <v>-</v>
      </c>
      <c r="AZ3" s="302" t="str">
        <f t="shared" si="19"/>
        <v>-</v>
      </c>
      <c r="BB3" s="302">
        <f t="shared" ref="BB3:BB37" si="37">AV3+COUNTIFS(AX$2:AX$37,AX3,AZ$2:AZ$37,"&gt;"&amp;AZ3)</f>
        <v>1</v>
      </c>
      <c r="BD3" s="302" t="str">
        <f t="shared" ref="BD3:BD37" si="38">IF(COUNTIF(BB$2:BB$37,BB3)=1,"-","Pos. "&amp;BB3&amp;" ("&amp;COUNTIF(BB$2:BB$37,BB3)&amp;")")</f>
        <v>-</v>
      </c>
      <c r="BF3" s="302" t="str">
        <f t="shared" si="20"/>
        <v>-</v>
      </c>
      <c r="BH3" s="302">
        <f t="shared" ref="BH3:BH37" si="39">BB3+COUNTIFS(BD$2:BD$37,BD3,BF$2:BF$37,"&gt;"&amp;BF3)</f>
        <v>1</v>
      </c>
      <c r="BJ3" s="302" t="str">
        <f t="shared" ref="BJ3:BJ37" si="40">IF(COUNTIF(BH$2:BH$37,BH3)=1,"-","Pos. "&amp;BH3&amp;" ("&amp;COUNTIF(BH$2:BH$37,BH3)&amp;")")</f>
        <v>-</v>
      </c>
      <c r="BL3" s="302" t="str">
        <f t="shared" ref="BL3:BL37" si="41">IF(BJ3="-","-",Z3)</f>
        <v>-</v>
      </c>
      <c r="BN3" s="302">
        <f t="shared" ref="BN3:BN37" si="42">BH3+COUNTIFS(BJ$2:BJ$37,BJ3,BL$2:BL$37,"&gt;"&amp;BL3)</f>
        <v>1</v>
      </c>
      <c r="BP3" s="302" t="str">
        <f t="shared" ref="BP3:BP37" si="43">IF(COUNTIF(BN$2:BN$37,BN3)=1,"-","Pos. "&amp;BN3&amp;" ("&amp;COUNTIF(BN$2:BN$37,BN3)&amp;")")</f>
        <v>-</v>
      </c>
      <c r="BR3" s="302" t="str">
        <f t="shared" ref="BR3:BR37" si="44">IF(BP3="-","-",AA3)</f>
        <v>-</v>
      </c>
      <c r="BT3" s="302">
        <f t="shared" ref="BT3:BT37" si="45">BN3+COUNTIFS(BP$2:BP$37,BP3,BR$2:BR$37,"&gt;"&amp;BR3)</f>
        <v>1</v>
      </c>
      <c r="BV3" s="302" t="str">
        <f t="shared" ref="BV3:BV37" si="46">IF(COUNTIF(BT$2:BT$37,BT3)=1,"-","Pos. "&amp;BT3&amp;" ("&amp;COUNTIF(BT$2:BT$37,BT3)&amp;")")</f>
        <v>-</v>
      </c>
      <c r="BX3" s="302" t="str">
        <f t="shared" ref="BX3:BX37" si="47">IF(BV3="-","-",AB3)</f>
        <v>-</v>
      </c>
      <c r="BZ3" s="302">
        <f t="shared" ref="BZ3:BZ37" si="48">BT3+COUNTIFS(BV$2:BV$37,BV3,BX$2:BX$37,"&gt;"&amp;BX3)</f>
        <v>1</v>
      </c>
      <c r="CB3" s="302" t="str">
        <f t="shared" ref="CB3:CB37" si="49">IF(COUNTIF(BZ$2:BZ$37,BZ3)=1,"-","Pos. "&amp;BZ3&amp;" ("&amp;COUNTIF(BZ$2:BZ$37,BZ3)&amp;")")</f>
        <v>-</v>
      </c>
      <c r="CD3" s="302" t="str">
        <f t="shared" si="21"/>
        <v>-</v>
      </c>
      <c r="CF3" s="302">
        <f t="shared" ref="CF3:CF37" si="50">BZ3+COUNTIFS(CB$2:CB$37,CB3,CD$2:CD$37,"&lt;"&amp;CD3)</f>
        <v>1</v>
      </c>
      <c r="CH3" s="301">
        <f>IF(OR(INDEX(League!$AT$2:$AT$37,MATCH($A3,League!$AS$2:$AS$37,0))="",CB3="-"),CF3,INDEX(League!$AT$2:$AT$37,MATCH($A3,League!$AS$2:$AS$37,0))+ROW()/1000)</f>
        <v>1</v>
      </c>
      <c r="CI3" s="301" t="str">
        <f t="shared" ref="CI3:CI37" si="51">IF(CB3="-","-",COUNTIF(CH$2:CH$37,"&lt;"&amp;CH3))</f>
        <v>-</v>
      </c>
      <c r="CJ3" s="301">
        <f t="shared" ref="CJ3:CJ37" si="52">BZ3+COUNTIFS(CB$2:CB$37,CB3,CI$2:CI$37,"&lt;"&amp;CI3)</f>
        <v>1</v>
      </c>
    </row>
    <row r="4" spans="1:91">
      <c r="A4" s="301" t="str">
        <f>TablaEquipos[[#This Row],[Team]]</f>
        <v>Atalanta</v>
      </c>
      <c r="B4" s="302">
        <f t="shared" si="22"/>
        <v>7</v>
      </c>
      <c r="C4" s="302">
        <f t="shared" si="0"/>
        <v>4</v>
      </c>
      <c r="D4" s="302">
        <f t="shared" si="1"/>
        <v>1</v>
      </c>
      <c r="E4" s="302">
        <f t="shared" si="2"/>
        <v>2</v>
      </c>
      <c r="F4" s="302">
        <f t="shared" si="3"/>
        <v>10</v>
      </c>
      <c r="G4" s="302">
        <f t="shared" si="4"/>
        <v>9</v>
      </c>
      <c r="H4" s="302">
        <f t="shared" si="23"/>
        <v>1</v>
      </c>
      <c r="I4" s="302">
        <f>C4*3+D4*1+E4*0+INDEX(League!$BA$2:$BA$37,MATCH(Calcs!A4,League!$AZ$2:$AZ$37,0))</f>
        <v>13</v>
      </c>
      <c r="J4" s="303">
        <f t="shared" si="24"/>
        <v>4</v>
      </c>
      <c r="K4" s="302">
        <f t="shared" si="5"/>
        <v>2</v>
      </c>
      <c r="L4" s="302">
        <f t="shared" si="6"/>
        <v>1</v>
      </c>
      <c r="M4" s="302">
        <f t="shared" si="7"/>
        <v>1</v>
      </c>
      <c r="N4" s="302">
        <f t="shared" si="8"/>
        <v>6</v>
      </c>
      <c r="O4" s="302">
        <f t="shared" si="9"/>
        <v>5</v>
      </c>
      <c r="P4" s="302">
        <f t="shared" si="25"/>
        <v>1</v>
      </c>
      <c r="Q4" s="302">
        <f t="shared" si="26"/>
        <v>7</v>
      </c>
      <c r="R4" s="303">
        <f t="shared" si="27"/>
        <v>3</v>
      </c>
      <c r="S4" s="302">
        <f t="shared" si="10"/>
        <v>2</v>
      </c>
      <c r="T4" s="302">
        <f t="shared" si="11"/>
        <v>0</v>
      </c>
      <c r="U4" s="302">
        <f t="shared" si="12"/>
        <v>1</v>
      </c>
      <c r="V4" s="302">
        <f t="shared" si="13"/>
        <v>4</v>
      </c>
      <c r="W4" s="302">
        <f t="shared" si="14"/>
        <v>4</v>
      </c>
      <c r="X4" s="302">
        <f t="shared" si="28"/>
        <v>0</v>
      </c>
      <c r="Y4" s="304">
        <f t="shared" si="29"/>
        <v>6</v>
      </c>
      <c r="Z4" s="302" cm="1">
        <f t="array" ref="Z4">+INDEX(League!$BI$18:$CR$18,,MATCH(Calcs!A4,League!$BI$1:$CR$1,0))</f>
        <v>63</v>
      </c>
      <c r="AA4" s="302" cm="1">
        <f t="array" ref="AA4">+INDEX(League!$BI$27:$CR$27,,MATCH(Calcs!A4,League!$BI$1:$CR$1,0))</f>
        <v>-23</v>
      </c>
      <c r="AB4" s="302" cm="1">
        <f t="array" ref="AB4">+INDEX(League!$BI$36:$CR$36,,MATCH(Calcs!A4,League!$BI$1:$CR$1,0))</f>
        <v>85</v>
      </c>
      <c r="AD4" s="302">
        <f t="shared" si="30"/>
        <v>6</v>
      </c>
      <c r="AF4" s="302" t="str">
        <f t="shared" si="31"/>
        <v>Pos. 6 (8)</v>
      </c>
      <c r="AH4" s="302">
        <f t="shared" si="15"/>
        <v>1</v>
      </c>
      <c r="AJ4" s="302">
        <f t="shared" si="16"/>
        <v>13</v>
      </c>
      <c r="AL4" s="302" t="str">
        <f t="shared" si="32"/>
        <v>-</v>
      </c>
      <c r="AN4" s="302" t="str">
        <f t="shared" si="17"/>
        <v>-</v>
      </c>
      <c r="AP4" s="302">
        <f t="shared" si="33"/>
        <v>13</v>
      </c>
      <c r="AR4" s="302" t="str">
        <f t="shared" si="34"/>
        <v>-</v>
      </c>
      <c r="AT4" s="302" t="str">
        <f t="shared" si="18"/>
        <v>-</v>
      </c>
      <c r="AV4" s="302">
        <f t="shared" si="35"/>
        <v>13</v>
      </c>
      <c r="AX4" s="302" t="str">
        <f t="shared" si="36"/>
        <v>-</v>
      </c>
      <c r="AZ4" s="302" t="str">
        <f t="shared" si="19"/>
        <v>-</v>
      </c>
      <c r="BB4" s="302">
        <f t="shared" si="37"/>
        <v>13</v>
      </c>
      <c r="BD4" s="302" t="str">
        <f t="shared" si="38"/>
        <v>-</v>
      </c>
      <c r="BF4" s="302" t="str">
        <f t="shared" si="20"/>
        <v>-</v>
      </c>
      <c r="BH4" s="302">
        <f t="shared" si="39"/>
        <v>13</v>
      </c>
      <c r="BJ4" s="302" t="str">
        <f t="shared" si="40"/>
        <v>-</v>
      </c>
      <c r="BL4" s="302" t="str">
        <f t="shared" si="41"/>
        <v>-</v>
      </c>
      <c r="BN4" s="302">
        <f t="shared" si="42"/>
        <v>13</v>
      </c>
      <c r="BP4" s="302" t="str">
        <f t="shared" si="43"/>
        <v>-</v>
      </c>
      <c r="BR4" s="302" t="str">
        <f t="shared" si="44"/>
        <v>-</v>
      </c>
      <c r="BT4" s="302">
        <f t="shared" si="45"/>
        <v>13</v>
      </c>
      <c r="BV4" s="302" t="str">
        <f t="shared" si="46"/>
        <v>-</v>
      </c>
      <c r="BX4" s="302" t="str">
        <f t="shared" si="47"/>
        <v>-</v>
      </c>
      <c r="BZ4" s="302">
        <f t="shared" si="48"/>
        <v>13</v>
      </c>
      <c r="CB4" s="302" t="str">
        <f t="shared" si="49"/>
        <v>-</v>
      </c>
      <c r="CD4" s="302" t="str">
        <f t="shared" si="21"/>
        <v>-</v>
      </c>
      <c r="CF4" s="302">
        <f t="shared" si="50"/>
        <v>13</v>
      </c>
      <c r="CH4" s="301">
        <f>IF(OR(INDEX(League!$AT$2:$AT$37,MATCH($A4,League!$AS$2:$AS$37,0))="",CB4="-"),CF4,INDEX(League!$AT$2:$AT$37,MATCH($A4,League!$AS$2:$AS$37,0))+ROW()/1000)</f>
        <v>13</v>
      </c>
      <c r="CI4" s="301" t="str">
        <f t="shared" si="51"/>
        <v>-</v>
      </c>
      <c r="CJ4" s="301">
        <f t="shared" si="52"/>
        <v>13</v>
      </c>
    </row>
    <row r="5" spans="1:91">
      <c r="A5" s="301" t="str">
        <f>TablaEquipos[[#This Row],[Team]]</f>
        <v>Athletic Bilbao</v>
      </c>
      <c r="B5" s="302">
        <f t="shared" si="22"/>
        <v>7</v>
      </c>
      <c r="C5" s="302">
        <f t="shared" si="0"/>
        <v>2</v>
      </c>
      <c r="D5" s="302">
        <f t="shared" si="1"/>
        <v>2</v>
      </c>
      <c r="E5" s="302">
        <f t="shared" si="2"/>
        <v>3</v>
      </c>
      <c r="F5" s="302">
        <f t="shared" si="3"/>
        <v>7</v>
      </c>
      <c r="G5" s="302">
        <f t="shared" si="4"/>
        <v>11</v>
      </c>
      <c r="H5" s="302">
        <f t="shared" si="23"/>
        <v>-4</v>
      </c>
      <c r="I5" s="302">
        <f>C5*3+D5*1+E5*0+INDEX(League!$BA$2:$BA$37,MATCH(Calcs!A5,League!$AZ$2:$AZ$37,0))</f>
        <v>8</v>
      </c>
      <c r="J5" s="303">
        <f t="shared" si="24"/>
        <v>3</v>
      </c>
      <c r="K5" s="302">
        <f t="shared" si="5"/>
        <v>1</v>
      </c>
      <c r="L5" s="302">
        <f t="shared" si="6"/>
        <v>1</v>
      </c>
      <c r="M5" s="302">
        <f t="shared" si="7"/>
        <v>1</v>
      </c>
      <c r="N5" s="302">
        <f t="shared" si="8"/>
        <v>3</v>
      </c>
      <c r="O5" s="302">
        <f t="shared" si="9"/>
        <v>3</v>
      </c>
      <c r="P5" s="302">
        <f t="shared" si="25"/>
        <v>0</v>
      </c>
      <c r="Q5" s="302">
        <f t="shared" si="26"/>
        <v>4</v>
      </c>
      <c r="R5" s="303">
        <f t="shared" si="27"/>
        <v>4</v>
      </c>
      <c r="S5" s="302">
        <f t="shared" si="10"/>
        <v>1</v>
      </c>
      <c r="T5" s="302">
        <f t="shared" si="11"/>
        <v>1</v>
      </c>
      <c r="U5" s="302">
        <f t="shared" si="12"/>
        <v>2</v>
      </c>
      <c r="V5" s="302">
        <f t="shared" si="13"/>
        <v>4</v>
      </c>
      <c r="W5" s="302">
        <f t="shared" si="14"/>
        <v>8</v>
      </c>
      <c r="X5" s="302">
        <f t="shared" si="28"/>
        <v>-4</v>
      </c>
      <c r="Y5" s="304">
        <f t="shared" si="29"/>
        <v>4</v>
      </c>
      <c r="Z5" s="302" cm="1">
        <f t="array" ref="Z5">+INDEX(League!$BI$18:$CR$18,,MATCH(Calcs!A5,League!$BI$1:$CR$1,0))</f>
        <v>97</v>
      </c>
      <c r="AA5" s="302" cm="1">
        <f t="array" ref="AA5">+INDEX(League!$BI$27:$CR$27,,MATCH(Calcs!A5,League!$BI$1:$CR$1,0))</f>
        <v>35</v>
      </c>
      <c r="AB5" s="302" cm="1">
        <f t="array" ref="AB5">+INDEX(League!$BI$36:$CR$36,,MATCH(Calcs!A5,League!$BI$1:$CR$1,0))</f>
        <v>116</v>
      </c>
      <c r="AD5" s="302">
        <f t="shared" si="30"/>
        <v>22</v>
      </c>
      <c r="AF5" s="302" t="str">
        <f t="shared" si="31"/>
        <v>Pos. 22 (5)</v>
      </c>
      <c r="AH5" s="302">
        <f t="shared" si="15"/>
        <v>-4</v>
      </c>
      <c r="AJ5" s="302">
        <f t="shared" si="16"/>
        <v>23</v>
      </c>
      <c r="AL5" s="302" t="str">
        <f t="shared" si="32"/>
        <v>-</v>
      </c>
      <c r="AN5" s="302" t="str">
        <f t="shared" si="17"/>
        <v>-</v>
      </c>
      <c r="AP5" s="302">
        <f t="shared" si="33"/>
        <v>23</v>
      </c>
      <c r="AR5" s="302" t="str">
        <f t="shared" si="34"/>
        <v>-</v>
      </c>
      <c r="AT5" s="302" t="str">
        <f t="shared" si="18"/>
        <v>-</v>
      </c>
      <c r="AV5" s="302">
        <f t="shared" si="35"/>
        <v>23</v>
      </c>
      <c r="AX5" s="302" t="str">
        <f t="shared" si="36"/>
        <v>-</v>
      </c>
      <c r="AZ5" s="302" t="str">
        <f t="shared" si="19"/>
        <v>-</v>
      </c>
      <c r="BB5" s="302">
        <f t="shared" si="37"/>
        <v>23</v>
      </c>
      <c r="BD5" s="302" t="str">
        <f t="shared" si="38"/>
        <v>-</v>
      </c>
      <c r="BF5" s="302" t="str">
        <f t="shared" si="20"/>
        <v>-</v>
      </c>
      <c r="BH5" s="302">
        <f t="shared" si="39"/>
        <v>23</v>
      </c>
      <c r="BJ5" s="302" t="str">
        <f t="shared" si="40"/>
        <v>-</v>
      </c>
      <c r="BL5" s="302" t="str">
        <f t="shared" si="41"/>
        <v>-</v>
      </c>
      <c r="BN5" s="302">
        <f t="shared" si="42"/>
        <v>23</v>
      </c>
      <c r="BP5" s="302" t="str">
        <f t="shared" si="43"/>
        <v>-</v>
      </c>
      <c r="BR5" s="302" t="str">
        <f t="shared" si="44"/>
        <v>-</v>
      </c>
      <c r="BT5" s="302">
        <f t="shared" si="45"/>
        <v>23</v>
      </c>
      <c r="BV5" s="302" t="str">
        <f t="shared" si="46"/>
        <v>-</v>
      </c>
      <c r="BX5" s="302" t="str">
        <f t="shared" si="47"/>
        <v>-</v>
      </c>
      <c r="BZ5" s="302">
        <f t="shared" si="48"/>
        <v>23</v>
      </c>
      <c r="CB5" s="302" t="str">
        <f t="shared" si="49"/>
        <v>-</v>
      </c>
      <c r="CD5" s="302" t="str">
        <f t="shared" si="21"/>
        <v>-</v>
      </c>
      <c r="CF5" s="302">
        <f t="shared" si="50"/>
        <v>23</v>
      </c>
      <c r="CH5" s="301">
        <f>IF(OR(INDEX(League!$AT$2:$AT$37,MATCH($A5,League!$AS$2:$AS$37,0))="",CB5="-"),CF5,INDEX(League!$AT$2:$AT$37,MATCH($A5,League!$AS$2:$AS$37,0))+ROW()/1000)</f>
        <v>23</v>
      </c>
      <c r="CI5" s="301" t="str">
        <f t="shared" si="51"/>
        <v>-</v>
      </c>
      <c r="CJ5" s="301">
        <f t="shared" si="52"/>
        <v>23</v>
      </c>
    </row>
    <row r="6" spans="1:91">
      <c r="A6" s="301" t="str">
        <f>TablaEquipos[[#This Row],[Team]]</f>
        <v>Atlético Madrid</v>
      </c>
      <c r="B6" s="302">
        <f t="shared" si="22"/>
        <v>7</v>
      </c>
      <c r="C6" s="302">
        <f t="shared" si="0"/>
        <v>4</v>
      </c>
      <c r="D6" s="302">
        <f t="shared" si="1"/>
        <v>1</v>
      </c>
      <c r="E6" s="302">
        <f t="shared" si="2"/>
        <v>2</v>
      </c>
      <c r="F6" s="302">
        <f t="shared" si="3"/>
        <v>16</v>
      </c>
      <c r="G6" s="302">
        <f t="shared" si="4"/>
        <v>13</v>
      </c>
      <c r="H6" s="302">
        <f t="shared" si="23"/>
        <v>3</v>
      </c>
      <c r="I6" s="302">
        <f>C6*3+D6*1+E6*0+INDEX(League!$BA$2:$BA$37,MATCH(Calcs!A6,League!$AZ$2:$AZ$37,0))</f>
        <v>13</v>
      </c>
      <c r="J6" s="303">
        <f t="shared" si="24"/>
        <v>3</v>
      </c>
      <c r="K6" s="302">
        <f t="shared" si="5"/>
        <v>3</v>
      </c>
      <c r="L6" s="302">
        <f t="shared" si="6"/>
        <v>0</v>
      </c>
      <c r="M6" s="302">
        <f t="shared" si="7"/>
        <v>0</v>
      </c>
      <c r="N6" s="302">
        <f t="shared" si="8"/>
        <v>10</v>
      </c>
      <c r="O6" s="302">
        <f t="shared" si="9"/>
        <v>3</v>
      </c>
      <c r="P6" s="302">
        <f t="shared" si="25"/>
        <v>7</v>
      </c>
      <c r="Q6" s="302">
        <f t="shared" si="26"/>
        <v>9</v>
      </c>
      <c r="R6" s="303">
        <f t="shared" si="27"/>
        <v>4</v>
      </c>
      <c r="S6" s="302">
        <f t="shared" si="10"/>
        <v>1</v>
      </c>
      <c r="T6" s="302">
        <f t="shared" si="11"/>
        <v>1</v>
      </c>
      <c r="U6" s="302">
        <f t="shared" si="12"/>
        <v>2</v>
      </c>
      <c r="V6" s="302">
        <f t="shared" si="13"/>
        <v>6</v>
      </c>
      <c r="W6" s="302">
        <f t="shared" si="14"/>
        <v>10</v>
      </c>
      <c r="X6" s="302">
        <f t="shared" si="28"/>
        <v>-4</v>
      </c>
      <c r="Y6" s="304">
        <f t="shared" si="29"/>
        <v>4</v>
      </c>
      <c r="Z6" s="302" cm="1">
        <f t="array" ref="Z6">+INDEX(League!$BI$18:$CR$18,,MATCH(Calcs!A6,League!$BI$1:$CR$1,0))</f>
        <v>82</v>
      </c>
      <c r="AA6" s="302" cm="1">
        <f t="array" ref="AA6">+INDEX(League!$BI$27:$CR$27,,MATCH(Calcs!A6,League!$BI$1:$CR$1,0))</f>
        <v>10</v>
      </c>
      <c r="AB6" s="302" cm="1">
        <f t="array" ref="AB6">+INDEX(League!$BI$36:$CR$36,,MATCH(Calcs!A6,League!$BI$1:$CR$1,0))</f>
        <v>100</v>
      </c>
      <c r="AD6" s="302">
        <f t="shared" si="30"/>
        <v>6</v>
      </c>
      <c r="AF6" s="302" t="str">
        <f t="shared" si="31"/>
        <v>Pos. 6 (8)</v>
      </c>
      <c r="AH6" s="302">
        <f t="shared" si="15"/>
        <v>3</v>
      </c>
      <c r="AJ6" s="302">
        <f t="shared" si="16"/>
        <v>12</v>
      </c>
      <c r="AL6" s="302" t="str">
        <f t="shared" si="32"/>
        <v>-</v>
      </c>
      <c r="AN6" s="302" t="str">
        <f t="shared" si="17"/>
        <v>-</v>
      </c>
      <c r="AP6" s="302">
        <f t="shared" si="33"/>
        <v>12</v>
      </c>
      <c r="AR6" s="302" t="str">
        <f t="shared" si="34"/>
        <v>-</v>
      </c>
      <c r="AT6" s="302" t="str">
        <f t="shared" si="18"/>
        <v>-</v>
      </c>
      <c r="AV6" s="302">
        <f t="shared" si="35"/>
        <v>12</v>
      </c>
      <c r="AX6" s="302" t="str">
        <f t="shared" si="36"/>
        <v>-</v>
      </c>
      <c r="AZ6" s="302" t="str">
        <f t="shared" si="19"/>
        <v>-</v>
      </c>
      <c r="BB6" s="302">
        <f t="shared" si="37"/>
        <v>12</v>
      </c>
      <c r="BD6" s="302" t="str">
        <f t="shared" si="38"/>
        <v>-</v>
      </c>
      <c r="BF6" s="302" t="str">
        <f t="shared" si="20"/>
        <v>-</v>
      </c>
      <c r="BH6" s="302">
        <f t="shared" si="39"/>
        <v>12</v>
      </c>
      <c r="BJ6" s="302" t="str">
        <f t="shared" si="40"/>
        <v>-</v>
      </c>
      <c r="BL6" s="302" t="str">
        <f t="shared" si="41"/>
        <v>-</v>
      </c>
      <c r="BN6" s="302">
        <f t="shared" si="42"/>
        <v>12</v>
      </c>
      <c r="BP6" s="302" t="str">
        <f t="shared" si="43"/>
        <v>-</v>
      </c>
      <c r="BR6" s="302" t="str">
        <f t="shared" si="44"/>
        <v>-</v>
      </c>
      <c r="BT6" s="302">
        <f t="shared" si="45"/>
        <v>12</v>
      </c>
      <c r="BV6" s="302" t="str">
        <f t="shared" si="46"/>
        <v>-</v>
      </c>
      <c r="BX6" s="302" t="str">
        <f t="shared" si="47"/>
        <v>-</v>
      </c>
      <c r="BZ6" s="302">
        <f t="shared" si="48"/>
        <v>12</v>
      </c>
      <c r="CB6" s="302" t="str">
        <f t="shared" si="49"/>
        <v>-</v>
      </c>
      <c r="CD6" s="302" t="str">
        <f t="shared" si="21"/>
        <v>-</v>
      </c>
      <c r="CF6" s="302">
        <f t="shared" si="50"/>
        <v>12</v>
      </c>
      <c r="CH6" s="301">
        <f>IF(OR(INDEX(League!$AT$2:$AT$37,MATCH($A6,League!$AS$2:$AS$37,0))="",CB6="-"),CF6,INDEX(League!$AT$2:$AT$37,MATCH($A6,League!$AS$2:$AS$37,0))+ROW()/1000)</f>
        <v>12</v>
      </c>
      <c r="CI6" s="301" t="str">
        <f t="shared" si="51"/>
        <v>-</v>
      </c>
      <c r="CJ6" s="301">
        <f t="shared" si="52"/>
        <v>12</v>
      </c>
    </row>
    <row r="7" spans="1:91">
      <c r="A7" s="301" t="str">
        <f>TablaEquipos[[#This Row],[Team]]</f>
        <v>Barcelona</v>
      </c>
      <c r="B7" s="302">
        <f t="shared" si="22"/>
        <v>7</v>
      </c>
      <c r="C7" s="302">
        <f t="shared" si="0"/>
        <v>4</v>
      </c>
      <c r="D7" s="302">
        <f t="shared" si="1"/>
        <v>1</v>
      </c>
      <c r="E7" s="302">
        <f t="shared" si="2"/>
        <v>2</v>
      </c>
      <c r="F7" s="302">
        <f t="shared" si="3"/>
        <v>18</v>
      </c>
      <c r="G7" s="302">
        <f t="shared" si="4"/>
        <v>13</v>
      </c>
      <c r="H7" s="302">
        <f t="shared" si="23"/>
        <v>5</v>
      </c>
      <c r="I7" s="302">
        <f>C7*3+D7*1+E7*0+INDEX(League!$BA$2:$BA$37,MATCH(Calcs!A7,League!$AZ$2:$AZ$37,0))</f>
        <v>13</v>
      </c>
      <c r="J7" s="303">
        <f t="shared" si="24"/>
        <v>3</v>
      </c>
      <c r="K7" s="302">
        <f t="shared" si="5"/>
        <v>2</v>
      </c>
      <c r="L7" s="302">
        <f t="shared" si="6"/>
        <v>0</v>
      </c>
      <c r="M7" s="302">
        <f t="shared" si="7"/>
        <v>1</v>
      </c>
      <c r="N7" s="302">
        <f t="shared" si="8"/>
        <v>9</v>
      </c>
      <c r="O7" s="302">
        <f t="shared" si="9"/>
        <v>4</v>
      </c>
      <c r="P7" s="302">
        <f t="shared" si="25"/>
        <v>5</v>
      </c>
      <c r="Q7" s="302">
        <f t="shared" si="26"/>
        <v>6</v>
      </c>
      <c r="R7" s="303">
        <f t="shared" si="27"/>
        <v>4</v>
      </c>
      <c r="S7" s="302">
        <f t="shared" si="10"/>
        <v>2</v>
      </c>
      <c r="T7" s="302">
        <f t="shared" si="11"/>
        <v>1</v>
      </c>
      <c r="U7" s="302">
        <f t="shared" si="12"/>
        <v>1</v>
      </c>
      <c r="V7" s="302">
        <f t="shared" si="13"/>
        <v>9</v>
      </c>
      <c r="W7" s="302">
        <f t="shared" si="14"/>
        <v>9</v>
      </c>
      <c r="X7" s="302">
        <f t="shared" si="28"/>
        <v>0</v>
      </c>
      <c r="Y7" s="304">
        <f t="shared" si="29"/>
        <v>7</v>
      </c>
      <c r="Z7" s="302" cm="1">
        <f t="array" ref="Z7">+INDEX(League!$BI$18:$CR$18,,MATCH(Calcs!A7,League!$BI$1:$CR$1,0))</f>
        <v>69</v>
      </c>
      <c r="AA7" s="302" cm="1">
        <f t="array" ref="AA7">+INDEX(League!$BI$27:$CR$27,,MATCH(Calcs!A7,League!$BI$1:$CR$1,0))</f>
        <v>-10</v>
      </c>
      <c r="AB7" s="302" cm="1">
        <f t="array" ref="AB7">+INDEX(League!$BI$36:$CR$36,,MATCH(Calcs!A7,League!$BI$1:$CR$1,0))</f>
        <v>95</v>
      </c>
      <c r="AD7" s="302">
        <f t="shared" si="30"/>
        <v>6</v>
      </c>
      <c r="AF7" s="302" t="str">
        <f t="shared" si="31"/>
        <v>Pos. 6 (8)</v>
      </c>
      <c r="AH7" s="302">
        <f t="shared" si="15"/>
        <v>5</v>
      </c>
      <c r="AJ7" s="302">
        <f t="shared" si="16"/>
        <v>9</v>
      </c>
      <c r="AL7" s="302" t="str">
        <f t="shared" si="32"/>
        <v>Pos. 9 (2)</v>
      </c>
      <c r="AN7" s="302">
        <f t="shared" si="17"/>
        <v>18</v>
      </c>
      <c r="AP7" s="302">
        <f t="shared" si="33"/>
        <v>9</v>
      </c>
      <c r="AR7" s="302" t="str">
        <f t="shared" si="34"/>
        <v>-</v>
      </c>
      <c r="AT7" s="302" t="str">
        <f t="shared" si="18"/>
        <v>-</v>
      </c>
      <c r="AV7" s="302">
        <f t="shared" si="35"/>
        <v>9</v>
      </c>
      <c r="AX7" s="302" t="str">
        <f t="shared" si="36"/>
        <v>-</v>
      </c>
      <c r="AZ7" s="302" t="str">
        <f t="shared" si="19"/>
        <v>-</v>
      </c>
      <c r="BB7" s="302">
        <f t="shared" si="37"/>
        <v>9</v>
      </c>
      <c r="BD7" s="302" t="str">
        <f t="shared" si="38"/>
        <v>-</v>
      </c>
      <c r="BF7" s="302" t="str">
        <f t="shared" si="20"/>
        <v>-</v>
      </c>
      <c r="BH7" s="302">
        <f t="shared" si="39"/>
        <v>9</v>
      </c>
      <c r="BJ7" s="302" t="str">
        <f t="shared" si="40"/>
        <v>-</v>
      </c>
      <c r="BL7" s="302" t="str">
        <f t="shared" si="41"/>
        <v>-</v>
      </c>
      <c r="BN7" s="302">
        <f t="shared" si="42"/>
        <v>9</v>
      </c>
      <c r="BP7" s="302" t="str">
        <f t="shared" si="43"/>
        <v>-</v>
      </c>
      <c r="BR7" s="302" t="str">
        <f t="shared" si="44"/>
        <v>-</v>
      </c>
      <c r="BT7" s="302">
        <f t="shared" si="45"/>
        <v>9</v>
      </c>
      <c r="BV7" s="302" t="str">
        <f t="shared" si="46"/>
        <v>-</v>
      </c>
      <c r="BX7" s="302" t="str">
        <f t="shared" si="47"/>
        <v>-</v>
      </c>
      <c r="BZ7" s="302">
        <f t="shared" si="48"/>
        <v>9</v>
      </c>
      <c r="CB7" s="302" t="str">
        <f t="shared" si="49"/>
        <v>-</v>
      </c>
      <c r="CD7" s="302" t="str">
        <f t="shared" si="21"/>
        <v>-</v>
      </c>
      <c r="CF7" s="302">
        <f t="shared" si="50"/>
        <v>9</v>
      </c>
      <c r="CH7" s="301">
        <f>IF(OR(INDEX(League!$AT$2:$AT$37,MATCH($A7,League!$AS$2:$AS$37,0))="",CB7="-"),CF7,INDEX(League!$AT$2:$AT$37,MATCH($A7,League!$AS$2:$AS$37,0))+ROW()/1000)</f>
        <v>9</v>
      </c>
      <c r="CI7" s="301" t="str">
        <f t="shared" si="51"/>
        <v>-</v>
      </c>
      <c r="CJ7" s="301">
        <f t="shared" si="52"/>
        <v>9</v>
      </c>
    </row>
    <row r="8" spans="1:91">
      <c r="A8" s="301" t="str">
        <f>TablaEquipos[[#This Row],[Team]]</f>
        <v>Bayer Leverkusen</v>
      </c>
      <c r="B8" s="302">
        <f t="shared" si="22"/>
        <v>7</v>
      </c>
      <c r="C8" s="302">
        <f t="shared" si="0"/>
        <v>2</v>
      </c>
      <c r="D8" s="302">
        <f t="shared" si="1"/>
        <v>3</v>
      </c>
      <c r="E8" s="302">
        <f t="shared" si="2"/>
        <v>2</v>
      </c>
      <c r="F8" s="302">
        <f t="shared" si="3"/>
        <v>10</v>
      </c>
      <c r="G8" s="302">
        <f t="shared" si="4"/>
        <v>14</v>
      </c>
      <c r="H8" s="302">
        <f t="shared" si="23"/>
        <v>-4</v>
      </c>
      <c r="I8" s="302">
        <f>C8*3+D8*1+E8*0+INDEX(League!$BA$2:$BA$37,MATCH(Calcs!A8,League!$AZ$2:$AZ$37,0))</f>
        <v>9</v>
      </c>
      <c r="J8" s="303">
        <f t="shared" si="24"/>
        <v>3</v>
      </c>
      <c r="K8" s="302">
        <f t="shared" si="5"/>
        <v>0</v>
      </c>
      <c r="L8" s="302">
        <f t="shared" si="6"/>
        <v>2</v>
      </c>
      <c r="M8" s="302">
        <f t="shared" si="7"/>
        <v>1</v>
      </c>
      <c r="N8" s="302">
        <f t="shared" si="8"/>
        <v>5</v>
      </c>
      <c r="O8" s="302">
        <f t="shared" si="9"/>
        <v>10</v>
      </c>
      <c r="P8" s="302">
        <f t="shared" si="25"/>
        <v>-5</v>
      </c>
      <c r="Q8" s="302">
        <f t="shared" si="26"/>
        <v>2</v>
      </c>
      <c r="R8" s="303">
        <f t="shared" si="27"/>
        <v>4</v>
      </c>
      <c r="S8" s="302">
        <f t="shared" si="10"/>
        <v>2</v>
      </c>
      <c r="T8" s="302">
        <f t="shared" si="11"/>
        <v>1</v>
      </c>
      <c r="U8" s="302">
        <f t="shared" si="12"/>
        <v>1</v>
      </c>
      <c r="V8" s="302">
        <f t="shared" si="13"/>
        <v>5</v>
      </c>
      <c r="W8" s="302">
        <f t="shared" si="14"/>
        <v>4</v>
      </c>
      <c r="X8" s="302">
        <f t="shared" si="28"/>
        <v>1</v>
      </c>
      <c r="Y8" s="304">
        <f t="shared" si="29"/>
        <v>7</v>
      </c>
      <c r="Z8" s="302" cm="1">
        <f t="array" ref="Z8">+INDEX(League!$BI$18:$CR$18,,MATCH(Calcs!A8,League!$BI$1:$CR$1,0))</f>
        <v>70</v>
      </c>
      <c r="AA8" s="302" cm="1">
        <f t="array" ref="AA8">+INDEX(League!$BI$27:$CR$27,,MATCH(Calcs!A8,League!$BI$1:$CR$1,0))</f>
        <v>0</v>
      </c>
      <c r="AB8" s="302" cm="1">
        <f t="array" ref="AB8">+INDEX(League!$BI$36:$CR$36,,MATCH(Calcs!A8,League!$BI$1:$CR$1,0))</f>
        <v>94</v>
      </c>
      <c r="AD8" s="302">
        <f t="shared" si="30"/>
        <v>19</v>
      </c>
      <c r="AF8" s="302" t="str">
        <f t="shared" si="31"/>
        <v>Pos. 19 (3)</v>
      </c>
      <c r="AH8" s="302">
        <f t="shared" si="15"/>
        <v>-4</v>
      </c>
      <c r="AJ8" s="302">
        <f t="shared" si="16"/>
        <v>20</v>
      </c>
      <c r="AL8" s="302" t="str">
        <f t="shared" si="32"/>
        <v>-</v>
      </c>
      <c r="AN8" s="302" t="str">
        <f t="shared" si="17"/>
        <v>-</v>
      </c>
      <c r="AP8" s="302">
        <f t="shared" si="33"/>
        <v>20</v>
      </c>
      <c r="AR8" s="302" t="str">
        <f t="shared" si="34"/>
        <v>-</v>
      </c>
      <c r="AT8" s="302" t="str">
        <f t="shared" si="18"/>
        <v>-</v>
      </c>
      <c r="AV8" s="302">
        <f t="shared" si="35"/>
        <v>20</v>
      </c>
      <c r="AX8" s="302" t="str">
        <f t="shared" si="36"/>
        <v>-</v>
      </c>
      <c r="AZ8" s="302" t="str">
        <f t="shared" si="19"/>
        <v>-</v>
      </c>
      <c r="BB8" s="302">
        <f t="shared" si="37"/>
        <v>20</v>
      </c>
      <c r="BD8" s="302" t="str">
        <f t="shared" si="38"/>
        <v>-</v>
      </c>
      <c r="BF8" s="302" t="str">
        <f t="shared" si="20"/>
        <v>-</v>
      </c>
      <c r="BH8" s="302">
        <f t="shared" si="39"/>
        <v>20</v>
      </c>
      <c r="BJ8" s="302" t="str">
        <f t="shared" si="40"/>
        <v>-</v>
      </c>
      <c r="BL8" s="302" t="str">
        <f t="shared" si="41"/>
        <v>-</v>
      </c>
      <c r="BN8" s="302">
        <f t="shared" si="42"/>
        <v>20</v>
      </c>
      <c r="BP8" s="302" t="str">
        <f t="shared" si="43"/>
        <v>-</v>
      </c>
      <c r="BR8" s="302" t="str">
        <f t="shared" si="44"/>
        <v>-</v>
      </c>
      <c r="BT8" s="302">
        <f t="shared" si="45"/>
        <v>20</v>
      </c>
      <c r="BV8" s="302" t="str">
        <f t="shared" si="46"/>
        <v>-</v>
      </c>
      <c r="BX8" s="302" t="str">
        <f t="shared" si="47"/>
        <v>-</v>
      </c>
      <c r="BZ8" s="302">
        <f t="shared" si="48"/>
        <v>20</v>
      </c>
      <c r="CB8" s="302" t="str">
        <f t="shared" si="49"/>
        <v>-</v>
      </c>
      <c r="CD8" s="302" t="str">
        <f t="shared" si="21"/>
        <v>-</v>
      </c>
      <c r="CF8" s="302">
        <f t="shared" si="50"/>
        <v>20</v>
      </c>
      <c r="CH8" s="301">
        <f>IF(OR(INDEX(League!$AT$2:$AT$37,MATCH($A8,League!$AS$2:$AS$37,0))="",CB8="-"),CF8,INDEX(League!$AT$2:$AT$37,MATCH($A8,League!$AS$2:$AS$37,0))+ROW()/1000)</f>
        <v>20</v>
      </c>
      <c r="CI8" s="301" t="str">
        <f t="shared" si="51"/>
        <v>-</v>
      </c>
      <c r="CJ8" s="301">
        <f t="shared" si="52"/>
        <v>20</v>
      </c>
    </row>
    <row r="9" spans="1:91">
      <c r="A9" s="301" t="str">
        <f>TablaEquipos[[#This Row],[Team]]</f>
        <v>Bayern München</v>
      </c>
      <c r="B9" s="302">
        <f t="shared" si="22"/>
        <v>7</v>
      </c>
      <c r="C9" s="302">
        <f t="shared" si="0"/>
        <v>6</v>
      </c>
      <c r="D9" s="302">
        <f t="shared" si="1"/>
        <v>0</v>
      </c>
      <c r="E9" s="302">
        <f t="shared" si="2"/>
        <v>1</v>
      </c>
      <c r="F9" s="302">
        <f t="shared" si="3"/>
        <v>20</v>
      </c>
      <c r="G9" s="302">
        <f t="shared" si="4"/>
        <v>7</v>
      </c>
      <c r="H9" s="302">
        <f t="shared" si="23"/>
        <v>13</v>
      </c>
      <c r="I9" s="302">
        <f>C9*3+D9*1+E9*0+INDEX(League!$BA$2:$BA$37,MATCH(Calcs!A9,League!$AZ$2:$AZ$37,0))</f>
        <v>18</v>
      </c>
      <c r="J9" s="303">
        <f t="shared" si="24"/>
        <v>4</v>
      </c>
      <c r="K9" s="302">
        <f t="shared" si="5"/>
        <v>4</v>
      </c>
      <c r="L9" s="302">
        <f t="shared" si="6"/>
        <v>0</v>
      </c>
      <c r="M9" s="302">
        <f t="shared" si="7"/>
        <v>0</v>
      </c>
      <c r="N9" s="302">
        <f t="shared" si="8"/>
        <v>12</v>
      </c>
      <c r="O9" s="302">
        <f t="shared" si="9"/>
        <v>2</v>
      </c>
      <c r="P9" s="302">
        <f t="shared" si="25"/>
        <v>10</v>
      </c>
      <c r="Q9" s="302">
        <f t="shared" si="26"/>
        <v>12</v>
      </c>
      <c r="R9" s="303">
        <f t="shared" si="27"/>
        <v>3</v>
      </c>
      <c r="S9" s="302">
        <f t="shared" si="10"/>
        <v>2</v>
      </c>
      <c r="T9" s="302">
        <f t="shared" si="11"/>
        <v>0</v>
      </c>
      <c r="U9" s="302">
        <f t="shared" si="12"/>
        <v>1</v>
      </c>
      <c r="V9" s="302">
        <f t="shared" si="13"/>
        <v>8</v>
      </c>
      <c r="W9" s="302">
        <f t="shared" si="14"/>
        <v>5</v>
      </c>
      <c r="X9" s="302">
        <f t="shared" si="28"/>
        <v>3</v>
      </c>
      <c r="Y9" s="304">
        <f t="shared" si="29"/>
        <v>6</v>
      </c>
      <c r="Z9" s="302" cm="1">
        <f t="array" ref="Z9">+INDEX(League!$BI$18:$CR$18,,MATCH(Calcs!A9,League!$BI$1:$CR$1,0))</f>
        <v>87</v>
      </c>
      <c r="AA9" s="302" cm="1">
        <f t="array" ref="AA9">+INDEX(League!$BI$27:$CR$27,,MATCH(Calcs!A9,League!$BI$1:$CR$1,0))</f>
        <v>19</v>
      </c>
      <c r="AB9" s="302" cm="1">
        <f t="array" ref="AB9">+INDEX(League!$BI$36:$CR$36,,MATCH(Calcs!A9,League!$BI$1:$CR$1,0))</f>
        <v>106</v>
      </c>
      <c r="AD9" s="302">
        <f t="shared" si="30"/>
        <v>2</v>
      </c>
      <c r="AF9" s="302" t="str">
        <f t="shared" si="31"/>
        <v>-</v>
      </c>
      <c r="AH9" s="302" t="str">
        <f t="shared" si="15"/>
        <v>-</v>
      </c>
      <c r="AJ9" s="302">
        <f t="shared" si="16"/>
        <v>2</v>
      </c>
      <c r="AL9" s="302" t="str">
        <f t="shared" si="32"/>
        <v>-</v>
      </c>
      <c r="AN9" s="302" t="str">
        <f t="shared" si="17"/>
        <v>-</v>
      </c>
      <c r="AP9" s="302">
        <f t="shared" si="33"/>
        <v>2</v>
      </c>
      <c r="AR9" s="302" t="str">
        <f t="shared" si="34"/>
        <v>-</v>
      </c>
      <c r="AT9" s="302" t="str">
        <f t="shared" si="18"/>
        <v>-</v>
      </c>
      <c r="AV9" s="302">
        <f t="shared" si="35"/>
        <v>2</v>
      </c>
      <c r="AX9" s="302" t="str">
        <f t="shared" si="36"/>
        <v>-</v>
      </c>
      <c r="AZ9" s="302" t="str">
        <f t="shared" si="19"/>
        <v>-</v>
      </c>
      <c r="BB9" s="302">
        <f t="shared" si="37"/>
        <v>2</v>
      </c>
      <c r="BD9" s="302" t="str">
        <f t="shared" si="38"/>
        <v>-</v>
      </c>
      <c r="BF9" s="302" t="str">
        <f t="shared" si="20"/>
        <v>-</v>
      </c>
      <c r="BH9" s="302">
        <f t="shared" si="39"/>
        <v>2</v>
      </c>
      <c r="BJ9" s="302" t="str">
        <f t="shared" si="40"/>
        <v>-</v>
      </c>
      <c r="BL9" s="302" t="str">
        <f t="shared" si="41"/>
        <v>-</v>
      </c>
      <c r="BN9" s="302">
        <f t="shared" si="42"/>
        <v>2</v>
      </c>
      <c r="BP9" s="302" t="str">
        <f t="shared" si="43"/>
        <v>-</v>
      </c>
      <c r="BR9" s="302" t="str">
        <f t="shared" si="44"/>
        <v>-</v>
      </c>
      <c r="BT9" s="302">
        <f t="shared" si="45"/>
        <v>2</v>
      </c>
      <c r="BV9" s="302" t="str">
        <f t="shared" si="46"/>
        <v>-</v>
      </c>
      <c r="BX9" s="302" t="str">
        <f t="shared" si="47"/>
        <v>-</v>
      </c>
      <c r="BZ9" s="302">
        <f t="shared" si="48"/>
        <v>2</v>
      </c>
      <c r="CB9" s="302" t="str">
        <f t="shared" si="49"/>
        <v>-</v>
      </c>
      <c r="CD9" s="302" t="str">
        <f t="shared" si="21"/>
        <v>-</v>
      </c>
      <c r="CF9" s="302">
        <f t="shared" si="50"/>
        <v>2</v>
      </c>
      <c r="CH9" s="301">
        <f>IF(OR(INDEX(League!$AT$2:$AT$37,MATCH($A9,League!$AS$2:$AS$37,0))="",CB9="-"),CF9,INDEX(League!$AT$2:$AT$37,MATCH($A9,League!$AS$2:$AS$37,0))+ROW()/1000)</f>
        <v>2</v>
      </c>
      <c r="CI9" s="301" t="str">
        <f t="shared" si="51"/>
        <v>-</v>
      </c>
      <c r="CJ9" s="301">
        <f t="shared" si="52"/>
        <v>2</v>
      </c>
    </row>
    <row r="10" spans="1:91">
      <c r="A10" s="301" t="str">
        <f>TablaEquipos[[#This Row],[Team]]</f>
        <v>Benfica</v>
      </c>
      <c r="B10" s="302">
        <f t="shared" si="22"/>
        <v>7</v>
      </c>
      <c r="C10" s="302">
        <f t="shared" si="0"/>
        <v>2</v>
      </c>
      <c r="D10" s="302">
        <f t="shared" si="1"/>
        <v>0</v>
      </c>
      <c r="E10" s="302">
        <f t="shared" si="2"/>
        <v>5</v>
      </c>
      <c r="F10" s="302">
        <f t="shared" si="3"/>
        <v>6</v>
      </c>
      <c r="G10" s="302">
        <f t="shared" si="4"/>
        <v>10</v>
      </c>
      <c r="H10" s="302">
        <f t="shared" si="23"/>
        <v>-4</v>
      </c>
      <c r="I10" s="302">
        <f>C10*3+D10*1+E10*0+INDEX(League!$BA$2:$BA$37,MATCH(Calcs!A10,League!$AZ$2:$AZ$37,0))</f>
        <v>6</v>
      </c>
      <c r="J10" s="303">
        <f t="shared" si="24"/>
        <v>3</v>
      </c>
      <c r="K10" s="302">
        <f t="shared" si="5"/>
        <v>1</v>
      </c>
      <c r="L10" s="302">
        <f t="shared" si="6"/>
        <v>0</v>
      </c>
      <c r="M10" s="302">
        <f t="shared" si="7"/>
        <v>2</v>
      </c>
      <c r="N10" s="302">
        <f t="shared" si="8"/>
        <v>4</v>
      </c>
      <c r="O10" s="302">
        <f t="shared" si="9"/>
        <v>4</v>
      </c>
      <c r="P10" s="302">
        <f t="shared" si="25"/>
        <v>0</v>
      </c>
      <c r="Q10" s="302">
        <f t="shared" si="26"/>
        <v>3</v>
      </c>
      <c r="R10" s="303">
        <f t="shared" si="27"/>
        <v>4</v>
      </c>
      <c r="S10" s="302">
        <f t="shared" si="10"/>
        <v>1</v>
      </c>
      <c r="T10" s="302">
        <f t="shared" si="11"/>
        <v>0</v>
      </c>
      <c r="U10" s="302">
        <f t="shared" si="12"/>
        <v>3</v>
      </c>
      <c r="V10" s="302">
        <f t="shared" si="13"/>
        <v>2</v>
      </c>
      <c r="W10" s="302">
        <f t="shared" si="14"/>
        <v>6</v>
      </c>
      <c r="X10" s="302">
        <f t="shared" si="28"/>
        <v>-4</v>
      </c>
      <c r="Y10" s="304">
        <f t="shared" si="29"/>
        <v>3</v>
      </c>
      <c r="Z10" s="302" cm="1">
        <f t="array" ref="Z10">+INDEX(League!$BI$18:$CR$18,,MATCH(Calcs!A10,League!$BI$1:$CR$1,0))</f>
        <v>86</v>
      </c>
      <c r="AA10" s="302" cm="1">
        <f t="array" ref="AA10">+INDEX(League!$BI$27:$CR$27,,MATCH(Calcs!A10,League!$BI$1:$CR$1,0))</f>
        <v>8</v>
      </c>
      <c r="AB10" s="302" cm="1">
        <f t="array" ref="AB10">+INDEX(League!$BI$36:$CR$36,,MATCH(Calcs!A10,League!$BI$1:$CR$1,0))</f>
        <v>100</v>
      </c>
      <c r="AD10" s="302">
        <f t="shared" si="30"/>
        <v>28</v>
      </c>
      <c r="AF10" s="302" t="str">
        <f t="shared" si="31"/>
        <v>Pos. 28 (5)</v>
      </c>
      <c r="AH10" s="302">
        <f t="shared" si="15"/>
        <v>-4</v>
      </c>
      <c r="AJ10" s="302">
        <f t="shared" si="16"/>
        <v>29</v>
      </c>
      <c r="AL10" s="302" t="str">
        <f t="shared" si="32"/>
        <v>-</v>
      </c>
      <c r="AN10" s="302" t="str">
        <f t="shared" si="17"/>
        <v>-</v>
      </c>
      <c r="AP10" s="302">
        <f t="shared" si="33"/>
        <v>29</v>
      </c>
      <c r="AR10" s="302" t="str">
        <f t="shared" si="34"/>
        <v>-</v>
      </c>
      <c r="AT10" s="302" t="str">
        <f t="shared" si="18"/>
        <v>-</v>
      </c>
      <c r="AV10" s="302">
        <f t="shared" si="35"/>
        <v>29</v>
      </c>
      <c r="AX10" s="302" t="str">
        <f t="shared" si="36"/>
        <v>-</v>
      </c>
      <c r="AZ10" s="302" t="str">
        <f t="shared" si="19"/>
        <v>-</v>
      </c>
      <c r="BB10" s="302">
        <f t="shared" si="37"/>
        <v>29</v>
      </c>
      <c r="BD10" s="302" t="str">
        <f t="shared" si="38"/>
        <v>-</v>
      </c>
      <c r="BF10" s="302" t="str">
        <f t="shared" si="20"/>
        <v>-</v>
      </c>
      <c r="BH10" s="302">
        <f t="shared" si="39"/>
        <v>29</v>
      </c>
      <c r="BJ10" s="302" t="str">
        <f t="shared" si="40"/>
        <v>-</v>
      </c>
      <c r="BL10" s="302" t="str">
        <f t="shared" si="41"/>
        <v>-</v>
      </c>
      <c r="BN10" s="302">
        <f t="shared" si="42"/>
        <v>29</v>
      </c>
      <c r="BP10" s="302" t="str">
        <f t="shared" si="43"/>
        <v>-</v>
      </c>
      <c r="BR10" s="302" t="str">
        <f t="shared" si="44"/>
        <v>-</v>
      </c>
      <c r="BT10" s="302">
        <f t="shared" si="45"/>
        <v>29</v>
      </c>
      <c r="BV10" s="302" t="str">
        <f t="shared" si="46"/>
        <v>-</v>
      </c>
      <c r="BX10" s="302" t="str">
        <f t="shared" si="47"/>
        <v>-</v>
      </c>
      <c r="BZ10" s="302">
        <f t="shared" si="48"/>
        <v>29</v>
      </c>
      <c r="CB10" s="302" t="str">
        <f t="shared" si="49"/>
        <v>-</v>
      </c>
      <c r="CD10" s="302" t="str">
        <f t="shared" si="21"/>
        <v>-</v>
      </c>
      <c r="CF10" s="302">
        <f t="shared" si="50"/>
        <v>29</v>
      </c>
      <c r="CH10" s="301">
        <f>IF(OR(INDEX(League!$AT$2:$AT$37,MATCH($A10,League!$AS$2:$AS$37,0))="",CB10="-"),CF10,INDEX(League!$AT$2:$AT$37,MATCH($A10,League!$AS$2:$AS$37,0))+ROW()/1000)</f>
        <v>29</v>
      </c>
      <c r="CI10" s="301" t="str">
        <f t="shared" si="51"/>
        <v>-</v>
      </c>
      <c r="CJ10" s="301">
        <f t="shared" si="52"/>
        <v>29</v>
      </c>
    </row>
    <row r="11" spans="1:91">
      <c r="A11" s="301" t="str">
        <f>TablaEquipos[[#This Row],[Team]]</f>
        <v>Bodø/Glimt</v>
      </c>
      <c r="B11" s="302">
        <f t="shared" si="22"/>
        <v>7</v>
      </c>
      <c r="C11" s="302">
        <f t="shared" si="0"/>
        <v>1</v>
      </c>
      <c r="D11" s="302">
        <f t="shared" si="1"/>
        <v>3</v>
      </c>
      <c r="E11" s="302">
        <f t="shared" si="2"/>
        <v>3</v>
      </c>
      <c r="F11" s="302">
        <f t="shared" si="3"/>
        <v>12</v>
      </c>
      <c r="G11" s="302">
        <f t="shared" si="4"/>
        <v>14</v>
      </c>
      <c r="H11" s="302">
        <f t="shared" si="23"/>
        <v>-2</v>
      </c>
      <c r="I11" s="302">
        <f>C11*3+D11*1+E11*0+INDEX(League!$BA$2:$BA$37,MATCH(Calcs!A11,League!$AZ$2:$AZ$37,0))</f>
        <v>6</v>
      </c>
      <c r="J11" s="303">
        <f t="shared" si="24"/>
        <v>4</v>
      </c>
      <c r="K11" s="302">
        <f t="shared" si="5"/>
        <v>1</v>
      </c>
      <c r="L11" s="302">
        <f t="shared" si="6"/>
        <v>1</v>
      </c>
      <c r="M11" s="302">
        <f t="shared" si="7"/>
        <v>2</v>
      </c>
      <c r="N11" s="302">
        <f t="shared" si="8"/>
        <v>7</v>
      </c>
      <c r="O11" s="302">
        <f t="shared" si="9"/>
        <v>7</v>
      </c>
      <c r="P11" s="302">
        <f t="shared" si="25"/>
        <v>0</v>
      </c>
      <c r="Q11" s="302">
        <f t="shared" si="26"/>
        <v>4</v>
      </c>
      <c r="R11" s="303">
        <f t="shared" si="27"/>
        <v>3</v>
      </c>
      <c r="S11" s="302">
        <f t="shared" si="10"/>
        <v>0</v>
      </c>
      <c r="T11" s="302">
        <f t="shared" si="11"/>
        <v>2</v>
      </c>
      <c r="U11" s="302">
        <f t="shared" si="12"/>
        <v>1</v>
      </c>
      <c r="V11" s="302">
        <f t="shared" si="13"/>
        <v>5</v>
      </c>
      <c r="W11" s="302">
        <f t="shared" si="14"/>
        <v>7</v>
      </c>
      <c r="X11" s="302">
        <f t="shared" si="28"/>
        <v>-2</v>
      </c>
      <c r="Y11" s="304">
        <f t="shared" si="29"/>
        <v>2</v>
      </c>
      <c r="Z11" s="302" cm="1">
        <f t="array" ref="Z11">+INDEX(League!$BI$18:$CR$18,,MATCH(Calcs!A11,League!$BI$1:$CR$1,0))</f>
        <v>85</v>
      </c>
      <c r="AA11" s="302" cm="1">
        <f t="array" ref="AA11">+INDEX(League!$BI$27:$CR$27,,MATCH(Calcs!A11,League!$BI$1:$CR$1,0))</f>
        <v>6</v>
      </c>
      <c r="AB11" s="302" cm="1">
        <f t="array" ref="AB11">+INDEX(League!$BI$36:$CR$36,,MATCH(Calcs!A11,League!$BI$1:$CR$1,0))</f>
        <v>98</v>
      </c>
      <c r="AD11" s="302">
        <f t="shared" si="30"/>
        <v>28</v>
      </c>
      <c r="AF11" s="302" t="str">
        <f t="shared" si="31"/>
        <v>Pos. 28 (5)</v>
      </c>
      <c r="AH11" s="302">
        <f t="shared" si="15"/>
        <v>-2</v>
      </c>
      <c r="AJ11" s="302">
        <f t="shared" si="16"/>
        <v>28</v>
      </c>
      <c r="AL11" s="302" t="str">
        <f t="shared" si="32"/>
        <v>-</v>
      </c>
      <c r="AN11" s="302" t="str">
        <f t="shared" si="17"/>
        <v>-</v>
      </c>
      <c r="AP11" s="302">
        <f t="shared" si="33"/>
        <v>28</v>
      </c>
      <c r="AR11" s="302" t="str">
        <f t="shared" si="34"/>
        <v>-</v>
      </c>
      <c r="AT11" s="302" t="str">
        <f t="shared" si="18"/>
        <v>-</v>
      </c>
      <c r="AV11" s="302">
        <f t="shared" si="35"/>
        <v>28</v>
      </c>
      <c r="AX11" s="302" t="str">
        <f t="shared" si="36"/>
        <v>-</v>
      </c>
      <c r="AZ11" s="302" t="str">
        <f t="shared" si="19"/>
        <v>-</v>
      </c>
      <c r="BB11" s="302">
        <f t="shared" si="37"/>
        <v>28</v>
      </c>
      <c r="BD11" s="302" t="str">
        <f t="shared" si="38"/>
        <v>-</v>
      </c>
      <c r="BF11" s="302" t="str">
        <f t="shared" si="20"/>
        <v>-</v>
      </c>
      <c r="BH11" s="302">
        <f t="shared" si="39"/>
        <v>28</v>
      </c>
      <c r="BJ11" s="302" t="str">
        <f t="shared" si="40"/>
        <v>-</v>
      </c>
      <c r="BL11" s="302" t="str">
        <f t="shared" si="41"/>
        <v>-</v>
      </c>
      <c r="BN11" s="302">
        <f t="shared" si="42"/>
        <v>28</v>
      </c>
      <c r="BP11" s="302" t="str">
        <f t="shared" si="43"/>
        <v>-</v>
      </c>
      <c r="BR11" s="302" t="str">
        <f t="shared" si="44"/>
        <v>-</v>
      </c>
      <c r="BT11" s="302">
        <f t="shared" si="45"/>
        <v>28</v>
      </c>
      <c r="BV11" s="302" t="str">
        <f t="shared" si="46"/>
        <v>-</v>
      </c>
      <c r="BX11" s="302" t="str">
        <f t="shared" si="47"/>
        <v>-</v>
      </c>
      <c r="BZ11" s="302">
        <f t="shared" si="48"/>
        <v>28</v>
      </c>
      <c r="CB11" s="302" t="str">
        <f t="shared" si="49"/>
        <v>-</v>
      </c>
      <c r="CD11" s="302" t="str">
        <f t="shared" si="21"/>
        <v>-</v>
      </c>
      <c r="CF11" s="302">
        <f t="shared" si="50"/>
        <v>28</v>
      </c>
      <c r="CH11" s="301">
        <f>IF(OR(INDEX(League!$AT$2:$AT$37,MATCH($A11,League!$AS$2:$AS$37,0))="",CB11="-"),CF11,INDEX(League!$AT$2:$AT$37,MATCH($A11,League!$AS$2:$AS$37,0))+ROW()/1000)</f>
        <v>28</v>
      </c>
      <c r="CI11" s="301" t="str">
        <f t="shared" si="51"/>
        <v>-</v>
      </c>
      <c r="CJ11" s="301">
        <f t="shared" si="52"/>
        <v>28</v>
      </c>
    </row>
    <row r="12" spans="1:91">
      <c r="A12" s="301" t="str">
        <f>TablaEquipos[[#This Row],[Team]]</f>
        <v>Borussia Dortmund</v>
      </c>
      <c r="B12" s="302">
        <f t="shared" si="22"/>
        <v>7</v>
      </c>
      <c r="C12" s="302">
        <f t="shared" si="0"/>
        <v>3</v>
      </c>
      <c r="D12" s="302">
        <f t="shared" si="1"/>
        <v>2</v>
      </c>
      <c r="E12" s="302">
        <f t="shared" si="2"/>
        <v>2</v>
      </c>
      <c r="F12" s="302">
        <f t="shared" si="3"/>
        <v>19</v>
      </c>
      <c r="G12" s="302">
        <f t="shared" si="4"/>
        <v>15</v>
      </c>
      <c r="H12" s="302">
        <f t="shared" si="23"/>
        <v>4</v>
      </c>
      <c r="I12" s="302">
        <f>C12*3+D12*1+E12*0+INDEX(League!$BA$2:$BA$37,MATCH(Calcs!A12,League!$AZ$2:$AZ$37,0))</f>
        <v>11</v>
      </c>
      <c r="J12" s="303">
        <f t="shared" si="24"/>
        <v>3</v>
      </c>
      <c r="K12" s="302">
        <f t="shared" si="5"/>
        <v>2</v>
      </c>
      <c r="L12" s="302">
        <f t="shared" si="6"/>
        <v>1</v>
      </c>
      <c r="M12" s="302">
        <f t="shared" si="7"/>
        <v>0</v>
      </c>
      <c r="N12" s="302">
        <f t="shared" si="8"/>
        <v>10</v>
      </c>
      <c r="O12" s="302">
        <f t="shared" si="9"/>
        <v>3</v>
      </c>
      <c r="P12" s="302">
        <f t="shared" si="25"/>
        <v>7</v>
      </c>
      <c r="Q12" s="302">
        <f t="shared" si="26"/>
        <v>7</v>
      </c>
      <c r="R12" s="303">
        <f t="shared" si="27"/>
        <v>4</v>
      </c>
      <c r="S12" s="302">
        <f t="shared" si="10"/>
        <v>1</v>
      </c>
      <c r="T12" s="302">
        <f t="shared" si="11"/>
        <v>1</v>
      </c>
      <c r="U12" s="302">
        <f t="shared" si="12"/>
        <v>2</v>
      </c>
      <c r="V12" s="302">
        <f t="shared" si="13"/>
        <v>9</v>
      </c>
      <c r="W12" s="302">
        <f t="shared" si="14"/>
        <v>12</v>
      </c>
      <c r="X12" s="302">
        <f t="shared" si="28"/>
        <v>-3</v>
      </c>
      <c r="Y12" s="304">
        <f t="shared" si="29"/>
        <v>4</v>
      </c>
      <c r="Z12" s="302" cm="1">
        <f t="array" ref="Z12">+INDEX(League!$BI$18:$CR$18,,MATCH(Calcs!A12,League!$BI$1:$CR$1,0))</f>
        <v>74</v>
      </c>
      <c r="AA12" s="302" cm="1">
        <f t="array" ref="AA12">+INDEX(League!$BI$27:$CR$27,,MATCH(Calcs!A12,League!$BI$1:$CR$1,0))</f>
        <v>0</v>
      </c>
      <c r="AB12" s="302" cm="1">
        <f t="array" ref="AB12">+INDEX(League!$BI$36:$CR$36,,MATCH(Calcs!A12,League!$BI$1:$CR$1,0))</f>
        <v>90</v>
      </c>
      <c r="AD12" s="302">
        <f t="shared" si="30"/>
        <v>16</v>
      </c>
      <c r="AF12" s="302" t="str">
        <f t="shared" si="31"/>
        <v>-</v>
      </c>
      <c r="AH12" s="302" t="str">
        <f t="shared" si="15"/>
        <v>-</v>
      </c>
      <c r="AJ12" s="302">
        <f t="shared" si="16"/>
        <v>16</v>
      </c>
      <c r="AL12" s="302" t="str">
        <f t="shared" si="32"/>
        <v>-</v>
      </c>
      <c r="AN12" s="302" t="str">
        <f t="shared" si="17"/>
        <v>-</v>
      </c>
      <c r="AP12" s="302">
        <f t="shared" si="33"/>
        <v>16</v>
      </c>
      <c r="AR12" s="302" t="str">
        <f t="shared" si="34"/>
        <v>-</v>
      </c>
      <c r="AT12" s="302" t="str">
        <f t="shared" si="18"/>
        <v>-</v>
      </c>
      <c r="AV12" s="302">
        <f t="shared" si="35"/>
        <v>16</v>
      </c>
      <c r="AX12" s="302" t="str">
        <f t="shared" si="36"/>
        <v>-</v>
      </c>
      <c r="AZ12" s="302" t="str">
        <f t="shared" si="19"/>
        <v>-</v>
      </c>
      <c r="BB12" s="302">
        <f t="shared" si="37"/>
        <v>16</v>
      </c>
      <c r="BD12" s="302" t="str">
        <f t="shared" si="38"/>
        <v>-</v>
      </c>
      <c r="BF12" s="302" t="str">
        <f t="shared" si="20"/>
        <v>-</v>
      </c>
      <c r="BH12" s="302">
        <f t="shared" si="39"/>
        <v>16</v>
      </c>
      <c r="BJ12" s="302" t="str">
        <f t="shared" si="40"/>
        <v>-</v>
      </c>
      <c r="BL12" s="302" t="str">
        <f t="shared" si="41"/>
        <v>-</v>
      </c>
      <c r="BN12" s="302">
        <f t="shared" si="42"/>
        <v>16</v>
      </c>
      <c r="BP12" s="302" t="str">
        <f t="shared" si="43"/>
        <v>-</v>
      </c>
      <c r="BR12" s="302" t="str">
        <f t="shared" si="44"/>
        <v>-</v>
      </c>
      <c r="BT12" s="302">
        <f t="shared" si="45"/>
        <v>16</v>
      </c>
      <c r="BV12" s="302" t="str">
        <f t="shared" si="46"/>
        <v>-</v>
      </c>
      <c r="BX12" s="302" t="str">
        <f t="shared" si="47"/>
        <v>-</v>
      </c>
      <c r="BZ12" s="302">
        <f t="shared" si="48"/>
        <v>16</v>
      </c>
      <c r="CB12" s="302" t="str">
        <f t="shared" si="49"/>
        <v>-</v>
      </c>
      <c r="CD12" s="302" t="str">
        <f t="shared" si="21"/>
        <v>-</v>
      </c>
      <c r="CF12" s="302">
        <f t="shared" si="50"/>
        <v>16</v>
      </c>
      <c r="CH12" s="301">
        <f>IF(OR(INDEX(League!$AT$2:$AT$37,MATCH($A12,League!$AS$2:$AS$37,0))="",CB12="-"),CF12,INDEX(League!$AT$2:$AT$37,MATCH($A12,League!$AS$2:$AS$37,0))+ROW()/1000)</f>
        <v>16</v>
      </c>
      <c r="CI12" s="301" t="str">
        <f t="shared" si="51"/>
        <v>-</v>
      </c>
      <c r="CJ12" s="301">
        <f t="shared" si="52"/>
        <v>16</v>
      </c>
    </row>
    <row r="13" spans="1:91">
      <c r="A13" s="301" t="str">
        <f>TablaEquipos[[#This Row],[Team]]</f>
        <v>Brugge</v>
      </c>
      <c r="B13" s="302">
        <f t="shared" si="22"/>
        <v>7</v>
      </c>
      <c r="C13" s="302">
        <f t="shared" si="0"/>
        <v>2</v>
      </c>
      <c r="D13" s="302">
        <f t="shared" si="1"/>
        <v>1</v>
      </c>
      <c r="E13" s="302">
        <f t="shared" si="2"/>
        <v>4</v>
      </c>
      <c r="F13" s="302">
        <f t="shared" si="3"/>
        <v>12</v>
      </c>
      <c r="G13" s="302">
        <f t="shared" si="4"/>
        <v>17</v>
      </c>
      <c r="H13" s="302">
        <f t="shared" si="23"/>
        <v>-5</v>
      </c>
      <c r="I13" s="302">
        <f>C13*3+D13*1+E13*0+INDEX(League!$BA$2:$BA$37,MATCH(Calcs!A13,League!$AZ$2:$AZ$37,0))</f>
        <v>7</v>
      </c>
      <c r="J13" s="303">
        <f t="shared" si="24"/>
        <v>3</v>
      </c>
      <c r="K13" s="302">
        <f t="shared" si="5"/>
        <v>1</v>
      </c>
      <c r="L13" s="302">
        <f t="shared" si="6"/>
        <v>1</v>
      </c>
      <c r="M13" s="302">
        <f t="shared" si="7"/>
        <v>1</v>
      </c>
      <c r="N13" s="302">
        <f t="shared" si="8"/>
        <v>7</v>
      </c>
      <c r="O13" s="302">
        <f t="shared" si="9"/>
        <v>7</v>
      </c>
      <c r="P13" s="302">
        <f t="shared" si="25"/>
        <v>0</v>
      </c>
      <c r="Q13" s="302">
        <f t="shared" si="26"/>
        <v>4</v>
      </c>
      <c r="R13" s="303">
        <f t="shared" si="27"/>
        <v>4</v>
      </c>
      <c r="S13" s="302">
        <f t="shared" si="10"/>
        <v>1</v>
      </c>
      <c r="T13" s="302">
        <f t="shared" si="11"/>
        <v>0</v>
      </c>
      <c r="U13" s="302">
        <f t="shared" si="12"/>
        <v>3</v>
      </c>
      <c r="V13" s="302">
        <f t="shared" si="13"/>
        <v>5</v>
      </c>
      <c r="W13" s="302">
        <f t="shared" si="14"/>
        <v>10</v>
      </c>
      <c r="X13" s="302">
        <f t="shared" si="28"/>
        <v>-5</v>
      </c>
      <c r="Y13" s="304">
        <f t="shared" si="29"/>
        <v>3</v>
      </c>
      <c r="Z13" s="302" cm="1">
        <f t="array" ref="Z13">+INDEX(League!$BI$18:$CR$18,,MATCH(Calcs!A13,League!$BI$1:$CR$1,0))</f>
        <v>97</v>
      </c>
      <c r="AA13" s="302" cm="1">
        <f t="array" ref="AA13">+INDEX(League!$BI$27:$CR$27,,MATCH(Calcs!A13,League!$BI$1:$CR$1,0))</f>
        <v>22</v>
      </c>
      <c r="AB13" s="302" cm="1">
        <f t="array" ref="AB13">+INDEX(League!$BI$36:$CR$36,,MATCH(Calcs!A13,League!$BI$1:$CR$1,0))</f>
        <v>106</v>
      </c>
      <c r="AD13" s="302">
        <f t="shared" si="30"/>
        <v>27</v>
      </c>
      <c r="AF13" s="302" t="str">
        <f t="shared" si="31"/>
        <v>-</v>
      </c>
      <c r="AH13" s="302" t="str">
        <f t="shared" si="15"/>
        <v>-</v>
      </c>
      <c r="AJ13" s="302">
        <f t="shared" si="16"/>
        <v>27</v>
      </c>
      <c r="AL13" s="302" t="str">
        <f t="shared" si="32"/>
        <v>-</v>
      </c>
      <c r="AN13" s="302" t="str">
        <f t="shared" si="17"/>
        <v>-</v>
      </c>
      <c r="AP13" s="302">
        <f t="shared" si="33"/>
        <v>27</v>
      </c>
      <c r="AR13" s="302" t="str">
        <f t="shared" si="34"/>
        <v>-</v>
      </c>
      <c r="AT13" s="302" t="str">
        <f t="shared" si="18"/>
        <v>-</v>
      </c>
      <c r="AV13" s="302">
        <f t="shared" si="35"/>
        <v>27</v>
      </c>
      <c r="AX13" s="302" t="str">
        <f t="shared" si="36"/>
        <v>-</v>
      </c>
      <c r="AZ13" s="302" t="str">
        <f t="shared" si="19"/>
        <v>-</v>
      </c>
      <c r="BB13" s="302">
        <f t="shared" si="37"/>
        <v>27</v>
      </c>
      <c r="BD13" s="302" t="str">
        <f t="shared" si="38"/>
        <v>-</v>
      </c>
      <c r="BF13" s="302" t="str">
        <f t="shared" si="20"/>
        <v>-</v>
      </c>
      <c r="BH13" s="302">
        <f t="shared" si="39"/>
        <v>27</v>
      </c>
      <c r="BJ13" s="302" t="str">
        <f t="shared" si="40"/>
        <v>-</v>
      </c>
      <c r="BL13" s="302" t="str">
        <f t="shared" si="41"/>
        <v>-</v>
      </c>
      <c r="BN13" s="302">
        <f t="shared" si="42"/>
        <v>27</v>
      </c>
      <c r="BP13" s="302" t="str">
        <f t="shared" si="43"/>
        <v>-</v>
      </c>
      <c r="BR13" s="302" t="str">
        <f t="shared" si="44"/>
        <v>-</v>
      </c>
      <c r="BT13" s="302">
        <f t="shared" si="45"/>
        <v>27</v>
      </c>
      <c r="BV13" s="302" t="str">
        <f t="shared" si="46"/>
        <v>-</v>
      </c>
      <c r="BX13" s="302" t="str">
        <f t="shared" si="47"/>
        <v>-</v>
      </c>
      <c r="BZ13" s="302">
        <f t="shared" si="48"/>
        <v>27</v>
      </c>
      <c r="CB13" s="302" t="str">
        <f t="shared" si="49"/>
        <v>-</v>
      </c>
      <c r="CD13" s="302" t="str">
        <f t="shared" si="21"/>
        <v>-</v>
      </c>
      <c r="CF13" s="302">
        <f t="shared" si="50"/>
        <v>27</v>
      </c>
      <c r="CH13" s="301">
        <f>IF(OR(INDEX(League!$AT$2:$AT$37,MATCH($A13,League!$AS$2:$AS$37,0))="",CB13="-"),CF13,INDEX(League!$AT$2:$AT$37,MATCH($A13,League!$AS$2:$AS$37,0))+ROW()/1000)</f>
        <v>27</v>
      </c>
      <c r="CI13" s="301" t="str">
        <f t="shared" si="51"/>
        <v>-</v>
      </c>
      <c r="CJ13" s="301">
        <f t="shared" si="52"/>
        <v>27</v>
      </c>
    </row>
    <row r="14" spans="1:91">
      <c r="A14" s="301" t="str">
        <f>TablaEquipos[[#This Row],[Team]]</f>
        <v>Chelsea</v>
      </c>
      <c r="B14" s="302">
        <f t="shared" si="22"/>
        <v>7</v>
      </c>
      <c r="C14" s="302">
        <f t="shared" si="0"/>
        <v>4</v>
      </c>
      <c r="D14" s="302">
        <f t="shared" si="1"/>
        <v>1</v>
      </c>
      <c r="E14" s="302">
        <f t="shared" si="2"/>
        <v>2</v>
      </c>
      <c r="F14" s="302">
        <f t="shared" si="3"/>
        <v>14</v>
      </c>
      <c r="G14" s="302">
        <f t="shared" si="4"/>
        <v>8</v>
      </c>
      <c r="H14" s="302">
        <f t="shared" si="23"/>
        <v>6</v>
      </c>
      <c r="I14" s="302">
        <f>C14*3+D14*1+E14*0+INDEX(League!$BA$2:$BA$37,MATCH(Calcs!A14,League!$AZ$2:$AZ$37,0))</f>
        <v>13</v>
      </c>
      <c r="J14" s="303">
        <f t="shared" si="24"/>
        <v>4</v>
      </c>
      <c r="K14" s="302">
        <f t="shared" si="5"/>
        <v>4</v>
      </c>
      <c r="L14" s="302">
        <f t="shared" si="6"/>
        <v>0</v>
      </c>
      <c r="M14" s="302">
        <f t="shared" si="7"/>
        <v>0</v>
      </c>
      <c r="N14" s="302">
        <f t="shared" si="8"/>
        <v>10</v>
      </c>
      <c r="O14" s="302">
        <f t="shared" si="9"/>
        <v>1</v>
      </c>
      <c r="P14" s="302">
        <f t="shared" si="25"/>
        <v>9</v>
      </c>
      <c r="Q14" s="302">
        <f t="shared" si="26"/>
        <v>12</v>
      </c>
      <c r="R14" s="303">
        <f t="shared" si="27"/>
        <v>3</v>
      </c>
      <c r="S14" s="302">
        <f t="shared" si="10"/>
        <v>0</v>
      </c>
      <c r="T14" s="302">
        <f t="shared" si="11"/>
        <v>1</v>
      </c>
      <c r="U14" s="302">
        <f t="shared" si="12"/>
        <v>2</v>
      </c>
      <c r="V14" s="302">
        <f t="shared" si="13"/>
        <v>4</v>
      </c>
      <c r="W14" s="302">
        <f t="shared" si="14"/>
        <v>7</v>
      </c>
      <c r="X14" s="302">
        <f t="shared" si="28"/>
        <v>-3</v>
      </c>
      <c r="Y14" s="304">
        <f t="shared" si="29"/>
        <v>1</v>
      </c>
      <c r="Z14" s="302" cm="1">
        <f t="array" ref="Z14">+INDEX(League!$BI$18:$CR$18,,MATCH(Calcs!A14,League!$BI$1:$CR$1,0))</f>
        <v>80</v>
      </c>
      <c r="AA14" s="302" cm="1">
        <f t="array" ref="AA14">+INDEX(League!$BI$27:$CR$27,,MATCH(Calcs!A14,League!$BI$1:$CR$1,0))</f>
        <v>-10</v>
      </c>
      <c r="AB14" s="302" cm="1">
        <f t="array" ref="AB14">+INDEX(League!$BI$36:$CR$36,,MATCH(Calcs!A14,League!$BI$1:$CR$1,0))</f>
        <v>85</v>
      </c>
      <c r="AD14" s="302">
        <f t="shared" si="30"/>
        <v>6</v>
      </c>
      <c r="AF14" s="302" t="str">
        <f t="shared" si="31"/>
        <v>Pos. 6 (8)</v>
      </c>
      <c r="AH14" s="302">
        <f t="shared" si="15"/>
        <v>6</v>
      </c>
      <c r="AJ14" s="302">
        <f t="shared" si="16"/>
        <v>8</v>
      </c>
      <c r="AL14" s="302" t="str">
        <f t="shared" si="32"/>
        <v>-</v>
      </c>
      <c r="AN14" s="302" t="str">
        <f t="shared" si="17"/>
        <v>-</v>
      </c>
      <c r="AP14" s="302">
        <f t="shared" si="33"/>
        <v>8</v>
      </c>
      <c r="AR14" s="302" t="str">
        <f t="shared" si="34"/>
        <v>-</v>
      </c>
      <c r="AT14" s="302" t="str">
        <f t="shared" si="18"/>
        <v>-</v>
      </c>
      <c r="AV14" s="302">
        <f t="shared" si="35"/>
        <v>8</v>
      </c>
      <c r="AX14" s="302" t="str">
        <f t="shared" si="36"/>
        <v>-</v>
      </c>
      <c r="AZ14" s="302" t="str">
        <f t="shared" si="19"/>
        <v>-</v>
      </c>
      <c r="BB14" s="302">
        <f t="shared" si="37"/>
        <v>8</v>
      </c>
      <c r="BD14" s="302" t="str">
        <f t="shared" si="38"/>
        <v>-</v>
      </c>
      <c r="BF14" s="302" t="str">
        <f t="shared" si="20"/>
        <v>-</v>
      </c>
      <c r="BH14" s="302">
        <f t="shared" si="39"/>
        <v>8</v>
      </c>
      <c r="BJ14" s="302" t="str">
        <f t="shared" si="40"/>
        <v>-</v>
      </c>
      <c r="BL14" s="302" t="str">
        <f t="shared" si="41"/>
        <v>-</v>
      </c>
      <c r="BN14" s="302">
        <f t="shared" si="42"/>
        <v>8</v>
      </c>
      <c r="BP14" s="302" t="str">
        <f t="shared" si="43"/>
        <v>-</v>
      </c>
      <c r="BR14" s="302" t="str">
        <f t="shared" si="44"/>
        <v>-</v>
      </c>
      <c r="BT14" s="302">
        <f t="shared" si="45"/>
        <v>8</v>
      </c>
      <c r="BV14" s="302" t="str">
        <f t="shared" si="46"/>
        <v>-</v>
      </c>
      <c r="BX14" s="302" t="str">
        <f t="shared" si="47"/>
        <v>-</v>
      </c>
      <c r="BZ14" s="302">
        <f t="shared" si="48"/>
        <v>8</v>
      </c>
      <c r="CB14" s="302" t="str">
        <f t="shared" si="49"/>
        <v>-</v>
      </c>
      <c r="CD14" s="302" t="str">
        <f t="shared" si="21"/>
        <v>-</v>
      </c>
      <c r="CF14" s="302">
        <f t="shared" si="50"/>
        <v>8</v>
      </c>
      <c r="CH14" s="301">
        <f>IF(OR(INDEX(League!$AT$2:$AT$37,MATCH($A14,League!$AS$2:$AS$37,0))="",CB14="-"),CF14,INDEX(League!$AT$2:$AT$37,MATCH($A14,League!$AS$2:$AS$37,0))+ROW()/1000)</f>
        <v>8</v>
      </c>
      <c r="CI14" s="301" t="str">
        <f t="shared" si="51"/>
        <v>-</v>
      </c>
      <c r="CJ14" s="301">
        <f t="shared" si="52"/>
        <v>8</v>
      </c>
    </row>
    <row r="15" spans="1:91">
      <c r="A15" s="301" t="str">
        <f>TablaEquipos[[#This Row],[Team]]</f>
        <v>Copenhagen</v>
      </c>
      <c r="B15" s="302">
        <f t="shared" si="22"/>
        <v>7</v>
      </c>
      <c r="C15" s="302">
        <f t="shared" si="0"/>
        <v>2</v>
      </c>
      <c r="D15" s="302">
        <f t="shared" si="1"/>
        <v>2</v>
      </c>
      <c r="E15" s="302">
        <f t="shared" si="2"/>
        <v>3</v>
      </c>
      <c r="F15" s="302">
        <f t="shared" si="3"/>
        <v>11</v>
      </c>
      <c r="G15" s="302">
        <f t="shared" si="4"/>
        <v>17</v>
      </c>
      <c r="H15" s="302">
        <f t="shared" si="23"/>
        <v>-6</v>
      </c>
      <c r="I15" s="302">
        <f>C15*3+D15*1+E15*0+INDEX(League!$BA$2:$BA$37,MATCH(Calcs!A15,League!$AZ$2:$AZ$37,0))</f>
        <v>8</v>
      </c>
      <c r="J15" s="303">
        <f t="shared" si="24"/>
        <v>4</v>
      </c>
      <c r="K15" s="302">
        <f t="shared" si="5"/>
        <v>1</v>
      </c>
      <c r="L15" s="302">
        <f t="shared" si="6"/>
        <v>2</v>
      </c>
      <c r="M15" s="302">
        <f t="shared" si="7"/>
        <v>1</v>
      </c>
      <c r="N15" s="302">
        <f t="shared" si="8"/>
        <v>8</v>
      </c>
      <c r="O15" s="302">
        <f t="shared" si="9"/>
        <v>9</v>
      </c>
      <c r="P15" s="302">
        <f t="shared" si="25"/>
        <v>-1</v>
      </c>
      <c r="Q15" s="302">
        <f t="shared" si="26"/>
        <v>5</v>
      </c>
      <c r="R15" s="303">
        <f t="shared" si="27"/>
        <v>3</v>
      </c>
      <c r="S15" s="302">
        <f t="shared" si="10"/>
        <v>1</v>
      </c>
      <c r="T15" s="302">
        <f t="shared" si="11"/>
        <v>0</v>
      </c>
      <c r="U15" s="302">
        <f t="shared" si="12"/>
        <v>2</v>
      </c>
      <c r="V15" s="302">
        <f t="shared" si="13"/>
        <v>3</v>
      </c>
      <c r="W15" s="302">
        <f t="shared" si="14"/>
        <v>8</v>
      </c>
      <c r="X15" s="302">
        <f t="shared" si="28"/>
        <v>-5</v>
      </c>
      <c r="Y15" s="304">
        <f t="shared" si="29"/>
        <v>3</v>
      </c>
      <c r="Z15" s="302" cm="1">
        <f t="array" ref="Z15">+INDEX(League!$BI$18:$CR$18,,MATCH(Calcs!A15,League!$BI$1:$CR$1,0))</f>
        <v>67</v>
      </c>
      <c r="AA15" s="302" cm="1">
        <f t="array" ref="AA15">+INDEX(League!$BI$27:$CR$27,,MATCH(Calcs!A15,League!$BI$1:$CR$1,0))</f>
        <v>-18</v>
      </c>
      <c r="AB15" s="302" cm="1">
        <f t="array" ref="AB15">+INDEX(League!$BI$36:$CR$36,,MATCH(Calcs!A15,League!$BI$1:$CR$1,0))</f>
        <v>92</v>
      </c>
      <c r="AD15" s="302">
        <f t="shared" si="30"/>
        <v>22</v>
      </c>
      <c r="AF15" s="302" t="str">
        <f t="shared" si="31"/>
        <v>Pos. 22 (5)</v>
      </c>
      <c r="AH15" s="302">
        <f t="shared" si="15"/>
        <v>-6</v>
      </c>
      <c r="AJ15" s="302">
        <f t="shared" si="16"/>
        <v>26</v>
      </c>
      <c r="AL15" s="302" t="str">
        <f t="shared" si="32"/>
        <v>-</v>
      </c>
      <c r="AN15" s="302" t="str">
        <f t="shared" si="17"/>
        <v>-</v>
      </c>
      <c r="AP15" s="302">
        <f t="shared" si="33"/>
        <v>26</v>
      </c>
      <c r="AR15" s="302" t="str">
        <f t="shared" si="34"/>
        <v>-</v>
      </c>
      <c r="AT15" s="302" t="str">
        <f t="shared" si="18"/>
        <v>-</v>
      </c>
      <c r="AV15" s="302">
        <f t="shared" si="35"/>
        <v>26</v>
      </c>
      <c r="AX15" s="302" t="str">
        <f t="shared" si="36"/>
        <v>-</v>
      </c>
      <c r="AZ15" s="302" t="str">
        <f t="shared" si="19"/>
        <v>-</v>
      </c>
      <c r="BB15" s="302">
        <f t="shared" si="37"/>
        <v>26</v>
      </c>
      <c r="BD15" s="302" t="str">
        <f t="shared" si="38"/>
        <v>-</v>
      </c>
      <c r="BF15" s="302" t="str">
        <f t="shared" si="20"/>
        <v>-</v>
      </c>
      <c r="BH15" s="302">
        <f t="shared" si="39"/>
        <v>26</v>
      </c>
      <c r="BJ15" s="302" t="str">
        <f t="shared" si="40"/>
        <v>-</v>
      </c>
      <c r="BL15" s="302" t="str">
        <f t="shared" si="41"/>
        <v>-</v>
      </c>
      <c r="BN15" s="302">
        <f t="shared" si="42"/>
        <v>26</v>
      </c>
      <c r="BP15" s="302" t="str">
        <f t="shared" si="43"/>
        <v>-</v>
      </c>
      <c r="BR15" s="302" t="str">
        <f t="shared" si="44"/>
        <v>-</v>
      </c>
      <c r="BT15" s="302">
        <f t="shared" si="45"/>
        <v>26</v>
      </c>
      <c r="BV15" s="302" t="str">
        <f t="shared" si="46"/>
        <v>-</v>
      </c>
      <c r="BX15" s="302" t="str">
        <f t="shared" si="47"/>
        <v>-</v>
      </c>
      <c r="BZ15" s="302">
        <f t="shared" si="48"/>
        <v>26</v>
      </c>
      <c r="CB15" s="302" t="str">
        <f t="shared" si="49"/>
        <v>-</v>
      </c>
      <c r="CD15" s="302" t="str">
        <f t="shared" si="21"/>
        <v>-</v>
      </c>
      <c r="CF15" s="302">
        <f t="shared" si="50"/>
        <v>26</v>
      </c>
      <c r="CH15" s="301">
        <f>IF(OR(INDEX(League!$AT$2:$AT$37,MATCH($A15,League!$AS$2:$AS$37,0))="",CB15="-"),CF15,INDEX(League!$AT$2:$AT$37,MATCH($A15,League!$AS$2:$AS$37,0))+ROW()/1000)</f>
        <v>26</v>
      </c>
      <c r="CI15" s="301" t="str">
        <f t="shared" si="51"/>
        <v>-</v>
      </c>
      <c r="CJ15" s="301">
        <f t="shared" si="52"/>
        <v>26</v>
      </c>
    </row>
    <row r="16" spans="1:91">
      <c r="A16" s="301" t="str">
        <f>TablaEquipos[[#This Row],[Team]]</f>
        <v>Eintracht Frankfurt</v>
      </c>
      <c r="B16" s="302">
        <f t="shared" si="22"/>
        <v>7</v>
      </c>
      <c r="C16" s="302">
        <f t="shared" si="0"/>
        <v>1</v>
      </c>
      <c r="D16" s="302">
        <f t="shared" si="1"/>
        <v>1</v>
      </c>
      <c r="E16" s="302">
        <f t="shared" si="2"/>
        <v>5</v>
      </c>
      <c r="F16" s="302">
        <f t="shared" si="3"/>
        <v>10</v>
      </c>
      <c r="G16" s="302">
        <f t="shared" si="4"/>
        <v>19</v>
      </c>
      <c r="H16" s="302">
        <f t="shared" si="23"/>
        <v>-9</v>
      </c>
      <c r="I16" s="302">
        <f>C16*3+D16*1+E16*0+INDEX(League!$BA$2:$BA$37,MATCH(Calcs!A16,League!$AZ$2:$AZ$37,0))</f>
        <v>4</v>
      </c>
      <c r="J16" s="303">
        <f t="shared" si="24"/>
        <v>3</v>
      </c>
      <c r="K16" s="302">
        <f t="shared" si="5"/>
        <v>1</v>
      </c>
      <c r="L16" s="302">
        <f t="shared" si="6"/>
        <v>0</v>
      </c>
      <c r="M16" s="302">
        <f t="shared" si="7"/>
        <v>2</v>
      </c>
      <c r="N16" s="302">
        <f t="shared" si="8"/>
        <v>6</v>
      </c>
      <c r="O16" s="302">
        <f t="shared" si="9"/>
        <v>9</v>
      </c>
      <c r="P16" s="302">
        <f t="shared" si="25"/>
        <v>-3</v>
      </c>
      <c r="Q16" s="302">
        <f t="shared" si="26"/>
        <v>3</v>
      </c>
      <c r="R16" s="303">
        <f t="shared" si="27"/>
        <v>4</v>
      </c>
      <c r="S16" s="302">
        <f t="shared" si="10"/>
        <v>0</v>
      </c>
      <c r="T16" s="302">
        <f t="shared" si="11"/>
        <v>1</v>
      </c>
      <c r="U16" s="302">
        <f t="shared" si="12"/>
        <v>3</v>
      </c>
      <c r="V16" s="302">
        <f t="shared" si="13"/>
        <v>4</v>
      </c>
      <c r="W16" s="302">
        <f t="shared" si="14"/>
        <v>10</v>
      </c>
      <c r="X16" s="302">
        <f t="shared" si="28"/>
        <v>-6</v>
      </c>
      <c r="Y16" s="304">
        <f t="shared" si="29"/>
        <v>1</v>
      </c>
      <c r="Z16" s="302" cm="1">
        <f t="array" ref="Z16">+INDEX(League!$BI$18:$CR$18,,MATCH(Calcs!A16,League!$BI$1:$CR$1,0))</f>
        <v>96</v>
      </c>
      <c r="AA16" s="302" cm="1">
        <f t="array" ref="AA16">+INDEX(League!$BI$27:$CR$27,,MATCH(Calcs!A16,League!$BI$1:$CR$1,0))</f>
        <v>16</v>
      </c>
      <c r="AB16" s="302" cm="1">
        <f t="array" ref="AB16">+INDEX(League!$BI$36:$CR$36,,MATCH(Calcs!A16,League!$BI$1:$CR$1,0))</f>
        <v>102</v>
      </c>
      <c r="AD16" s="302">
        <f t="shared" si="30"/>
        <v>33</v>
      </c>
      <c r="AF16" s="302" t="str">
        <f t="shared" si="31"/>
        <v>-</v>
      </c>
      <c r="AH16" s="302" t="str">
        <f t="shared" si="15"/>
        <v>-</v>
      </c>
      <c r="AJ16" s="302">
        <f t="shared" si="16"/>
        <v>33</v>
      </c>
      <c r="AL16" s="302" t="str">
        <f t="shared" si="32"/>
        <v>-</v>
      </c>
      <c r="AN16" s="302" t="str">
        <f t="shared" si="17"/>
        <v>-</v>
      </c>
      <c r="AP16" s="302">
        <f t="shared" si="33"/>
        <v>33</v>
      </c>
      <c r="AR16" s="302" t="str">
        <f t="shared" si="34"/>
        <v>-</v>
      </c>
      <c r="AT16" s="302" t="str">
        <f t="shared" si="18"/>
        <v>-</v>
      </c>
      <c r="AV16" s="302">
        <f t="shared" si="35"/>
        <v>33</v>
      </c>
      <c r="AX16" s="302" t="str">
        <f t="shared" si="36"/>
        <v>-</v>
      </c>
      <c r="AZ16" s="302" t="str">
        <f t="shared" si="19"/>
        <v>-</v>
      </c>
      <c r="BB16" s="302">
        <f t="shared" si="37"/>
        <v>33</v>
      </c>
      <c r="BD16" s="302" t="str">
        <f t="shared" si="38"/>
        <v>-</v>
      </c>
      <c r="BF16" s="302" t="str">
        <f t="shared" si="20"/>
        <v>-</v>
      </c>
      <c r="BH16" s="302">
        <f t="shared" si="39"/>
        <v>33</v>
      </c>
      <c r="BJ16" s="302" t="str">
        <f t="shared" si="40"/>
        <v>-</v>
      </c>
      <c r="BL16" s="302" t="str">
        <f t="shared" si="41"/>
        <v>-</v>
      </c>
      <c r="BN16" s="302">
        <f t="shared" si="42"/>
        <v>33</v>
      </c>
      <c r="BP16" s="302" t="str">
        <f t="shared" si="43"/>
        <v>-</v>
      </c>
      <c r="BR16" s="302" t="str">
        <f t="shared" si="44"/>
        <v>-</v>
      </c>
      <c r="BT16" s="302">
        <f t="shared" si="45"/>
        <v>33</v>
      </c>
      <c r="BV16" s="302" t="str">
        <f t="shared" si="46"/>
        <v>-</v>
      </c>
      <c r="BX16" s="302" t="str">
        <f t="shared" si="47"/>
        <v>-</v>
      </c>
      <c r="BZ16" s="302">
        <f t="shared" si="48"/>
        <v>33</v>
      </c>
      <c r="CB16" s="302" t="str">
        <f t="shared" si="49"/>
        <v>-</v>
      </c>
      <c r="CD16" s="302" t="str">
        <f t="shared" si="21"/>
        <v>-</v>
      </c>
      <c r="CF16" s="302">
        <f t="shared" si="50"/>
        <v>33</v>
      </c>
      <c r="CH16" s="301">
        <f>IF(OR(INDEX(League!$AT$2:$AT$37,MATCH($A16,League!$AS$2:$AS$37,0))="",CB16="-"),CF16,INDEX(League!$AT$2:$AT$37,MATCH($A16,League!$AS$2:$AS$37,0))+ROW()/1000)</f>
        <v>33</v>
      </c>
      <c r="CI16" s="301" t="str">
        <f t="shared" si="51"/>
        <v>-</v>
      </c>
      <c r="CJ16" s="301">
        <f t="shared" si="52"/>
        <v>33</v>
      </c>
    </row>
    <row r="17" spans="1:88">
      <c r="A17" s="301" t="str">
        <f>TablaEquipos[[#This Row],[Team]]</f>
        <v>Galatasaray</v>
      </c>
      <c r="B17" s="302">
        <f t="shared" si="22"/>
        <v>7</v>
      </c>
      <c r="C17" s="302">
        <f t="shared" si="0"/>
        <v>3</v>
      </c>
      <c r="D17" s="302">
        <f t="shared" si="1"/>
        <v>1</v>
      </c>
      <c r="E17" s="302">
        <f t="shared" si="2"/>
        <v>3</v>
      </c>
      <c r="F17" s="302">
        <f t="shared" si="3"/>
        <v>9</v>
      </c>
      <c r="G17" s="302">
        <f t="shared" si="4"/>
        <v>9</v>
      </c>
      <c r="H17" s="302">
        <f t="shared" si="23"/>
        <v>0</v>
      </c>
      <c r="I17" s="302">
        <f>C17*3+D17*1+E17*0+INDEX(League!$BA$2:$BA$37,MATCH(Calcs!A17,League!$AZ$2:$AZ$37,0))</f>
        <v>10</v>
      </c>
      <c r="J17" s="303">
        <f t="shared" si="24"/>
        <v>4</v>
      </c>
      <c r="K17" s="302">
        <f t="shared" si="5"/>
        <v>2</v>
      </c>
      <c r="L17" s="302">
        <f t="shared" si="6"/>
        <v>1</v>
      </c>
      <c r="M17" s="302">
        <f t="shared" si="7"/>
        <v>1</v>
      </c>
      <c r="N17" s="302">
        <f t="shared" si="8"/>
        <v>5</v>
      </c>
      <c r="O17" s="302">
        <f t="shared" si="9"/>
        <v>3</v>
      </c>
      <c r="P17" s="302">
        <f t="shared" si="25"/>
        <v>2</v>
      </c>
      <c r="Q17" s="302">
        <f t="shared" si="26"/>
        <v>7</v>
      </c>
      <c r="R17" s="303">
        <f t="shared" si="27"/>
        <v>3</v>
      </c>
      <c r="S17" s="302">
        <f t="shared" si="10"/>
        <v>1</v>
      </c>
      <c r="T17" s="302">
        <f t="shared" si="11"/>
        <v>0</v>
      </c>
      <c r="U17" s="302">
        <f t="shared" si="12"/>
        <v>2</v>
      </c>
      <c r="V17" s="302">
        <f t="shared" si="13"/>
        <v>4</v>
      </c>
      <c r="W17" s="302">
        <f t="shared" si="14"/>
        <v>6</v>
      </c>
      <c r="X17" s="302">
        <f t="shared" si="28"/>
        <v>-2</v>
      </c>
      <c r="Y17" s="304">
        <f t="shared" si="29"/>
        <v>3</v>
      </c>
      <c r="Z17" s="302" cm="1">
        <f t="array" ref="Z17">+INDEX(League!$BI$18:$CR$18,,MATCH(Calcs!A17,League!$BI$1:$CR$1,0))</f>
        <v>72</v>
      </c>
      <c r="AA17" s="302" cm="1">
        <f t="array" ref="AA17">+INDEX(League!$BI$27:$CR$27,,MATCH(Calcs!A17,League!$BI$1:$CR$1,0))</f>
        <v>-26</v>
      </c>
      <c r="AB17" s="302" cm="1">
        <f t="array" ref="AB17">+INDEX(League!$BI$36:$CR$36,,MATCH(Calcs!A17,League!$BI$1:$CR$1,0))</f>
        <v>87</v>
      </c>
      <c r="AD17" s="302">
        <f t="shared" si="30"/>
        <v>17</v>
      </c>
      <c r="AF17" s="302" t="str">
        <f t="shared" si="31"/>
        <v>Pos. 17 (2)</v>
      </c>
      <c r="AH17" s="302">
        <f t="shared" si="15"/>
        <v>0</v>
      </c>
      <c r="AJ17" s="302">
        <f t="shared" si="16"/>
        <v>17</v>
      </c>
      <c r="AL17" s="302" t="str">
        <f t="shared" si="32"/>
        <v>-</v>
      </c>
      <c r="AN17" s="302" t="str">
        <f t="shared" si="17"/>
        <v>-</v>
      </c>
      <c r="AP17" s="302">
        <f t="shared" si="33"/>
        <v>17</v>
      </c>
      <c r="AR17" s="302" t="str">
        <f t="shared" si="34"/>
        <v>-</v>
      </c>
      <c r="AT17" s="302" t="str">
        <f t="shared" si="18"/>
        <v>-</v>
      </c>
      <c r="AV17" s="302">
        <f t="shared" si="35"/>
        <v>17</v>
      </c>
      <c r="AX17" s="302" t="str">
        <f t="shared" si="36"/>
        <v>-</v>
      </c>
      <c r="AZ17" s="302" t="str">
        <f t="shared" si="19"/>
        <v>-</v>
      </c>
      <c r="BB17" s="302">
        <f t="shared" si="37"/>
        <v>17</v>
      </c>
      <c r="BD17" s="302" t="str">
        <f t="shared" si="38"/>
        <v>-</v>
      </c>
      <c r="BF17" s="302" t="str">
        <f t="shared" si="20"/>
        <v>-</v>
      </c>
      <c r="BH17" s="302">
        <f t="shared" si="39"/>
        <v>17</v>
      </c>
      <c r="BJ17" s="302" t="str">
        <f t="shared" si="40"/>
        <v>-</v>
      </c>
      <c r="BL17" s="302" t="str">
        <f t="shared" si="41"/>
        <v>-</v>
      </c>
      <c r="BN17" s="302">
        <f t="shared" si="42"/>
        <v>17</v>
      </c>
      <c r="BP17" s="302" t="str">
        <f t="shared" si="43"/>
        <v>-</v>
      </c>
      <c r="BR17" s="302" t="str">
        <f t="shared" si="44"/>
        <v>-</v>
      </c>
      <c r="BT17" s="302">
        <f t="shared" si="45"/>
        <v>17</v>
      </c>
      <c r="BV17" s="302" t="str">
        <f t="shared" si="46"/>
        <v>-</v>
      </c>
      <c r="BX17" s="302" t="str">
        <f t="shared" si="47"/>
        <v>-</v>
      </c>
      <c r="BZ17" s="302">
        <f t="shared" si="48"/>
        <v>17</v>
      </c>
      <c r="CB17" s="302" t="str">
        <f t="shared" si="49"/>
        <v>-</v>
      </c>
      <c r="CD17" s="302" t="str">
        <f t="shared" si="21"/>
        <v>-</v>
      </c>
      <c r="CF17" s="302">
        <f t="shared" si="50"/>
        <v>17</v>
      </c>
      <c r="CH17" s="301">
        <f>IF(OR(INDEX(League!$AT$2:$AT$37,MATCH($A17,League!$AS$2:$AS$37,0))="",CB17="-"),CF17,INDEX(League!$AT$2:$AT$37,MATCH($A17,League!$AS$2:$AS$37,0))+ROW()/1000)</f>
        <v>17</v>
      </c>
      <c r="CI17" s="301" t="str">
        <f t="shared" si="51"/>
        <v>-</v>
      </c>
      <c r="CJ17" s="301">
        <f t="shared" si="52"/>
        <v>17</v>
      </c>
    </row>
    <row r="18" spans="1:88">
      <c r="A18" s="301" t="str">
        <f>TablaEquipos[[#This Row],[Team]]</f>
        <v>Inter Milan</v>
      </c>
      <c r="B18" s="302">
        <f t="shared" si="22"/>
        <v>7</v>
      </c>
      <c r="C18" s="302">
        <f t="shared" si="0"/>
        <v>4</v>
      </c>
      <c r="D18" s="302">
        <f t="shared" si="1"/>
        <v>0</v>
      </c>
      <c r="E18" s="302">
        <f t="shared" si="2"/>
        <v>3</v>
      </c>
      <c r="F18" s="302">
        <f t="shared" si="3"/>
        <v>13</v>
      </c>
      <c r="G18" s="302">
        <f t="shared" si="4"/>
        <v>7</v>
      </c>
      <c r="H18" s="302">
        <f t="shared" si="23"/>
        <v>6</v>
      </c>
      <c r="I18" s="302">
        <f>C18*3+D18*1+E18*0+INDEX(League!$BA$2:$BA$37,MATCH(Calcs!A18,League!$AZ$2:$AZ$37,0))</f>
        <v>12</v>
      </c>
      <c r="J18" s="303">
        <f t="shared" si="24"/>
        <v>4</v>
      </c>
      <c r="K18" s="302">
        <f t="shared" si="5"/>
        <v>2</v>
      </c>
      <c r="L18" s="302">
        <f t="shared" si="6"/>
        <v>0</v>
      </c>
      <c r="M18" s="302">
        <f t="shared" si="7"/>
        <v>2</v>
      </c>
      <c r="N18" s="302">
        <f t="shared" si="8"/>
        <v>6</v>
      </c>
      <c r="O18" s="302">
        <f t="shared" si="9"/>
        <v>5</v>
      </c>
      <c r="P18" s="302">
        <f t="shared" si="25"/>
        <v>1</v>
      </c>
      <c r="Q18" s="302">
        <f t="shared" si="26"/>
        <v>6</v>
      </c>
      <c r="R18" s="303">
        <f t="shared" si="27"/>
        <v>3</v>
      </c>
      <c r="S18" s="302">
        <f t="shared" si="10"/>
        <v>2</v>
      </c>
      <c r="T18" s="302">
        <f t="shared" si="11"/>
        <v>0</v>
      </c>
      <c r="U18" s="302">
        <f t="shared" si="12"/>
        <v>1</v>
      </c>
      <c r="V18" s="302">
        <f t="shared" si="13"/>
        <v>7</v>
      </c>
      <c r="W18" s="302">
        <f t="shared" si="14"/>
        <v>2</v>
      </c>
      <c r="X18" s="302">
        <f t="shared" si="28"/>
        <v>5</v>
      </c>
      <c r="Y18" s="304">
        <f t="shared" si="29"/>
        <v>6</v>
      </c>
      <c r="Z18" s="302" cm="1">
        <f t="array" ref="Z18">+INDEX(League!$BI$18:$CR$18,,MATCH(Calcs!A18,League!$BI$1:$CR$1,0))</f>
        <v>76</v>
      </c>
      <c r="AA18" s="302" cm="1">
        <f t="array" ref="AA18">+INDEX(League!$BI$27:$CR$27,,MATCH(Calcs!A18,League!$BI$1:$CR$1,0))</f>
        <v>-16</v>
      </c>
      <c r="AB18" s="302" cm="1">
        <f t="array" ref="AB18">+INDEX(League!$BI$36:$CR$36,,MATCH(Calcs!A18,League!$BI$1:$CR$1,0))</f>
        <v>92</v>
      </c>
      <c r="AD18" s="302">
        <f t="shared" si="30"/>
        <v>14</v>
      </c>
      <c r="AF18" s="302" t="str">
        <f t="shared" si="31"/>
        <v>Pos. 14 (2)</v>
      </c>
      <c r="AH18" s="302">
        <f t="shared" si="15"/>
        <v>6</v>
      </c>
      <c r="AJ18" s="302">
        <f t="shared" si="16"/>
        <v>14</v>
      </c>
      <c r="AL18" s="302" t="str">
        <f t="shared" si="32"/>
        <v>-</v>
      </c>
      <c r="AN18" s="302" t="str">
        <f t="shared" si="17"/>
        <v>-</v>
      </c>
      <c r="AP18" s="302">
        <f t="shared" si="33"/>
        <v>14</v>
      </c>
      <c r="AR18" s="302" t="str">
        <f t="shared" si="34"/>
        <v>-</v>
      </c>
      <c r="AT18" s="302" t="str">
        <f t="shared" si="18"/>
        <v>-</v>
      </c>
      <c r="AV18" s="302">
        <f t="shared" si="35"/>
        <v>14</v>
      </c>
      <c r="AX18" s="302" t="str">
        <f t="shared" si="36"/>
        <v>-</v>
      </c>
      <c r="AZ18" s="302" t="str">
        <f t="shared" si="19"/>
        <v>-</v>
      </c>
      <c r="BB18" s="302">
        <f t="shared" si="37"/>
        <v>14</v>
      </c>
      <c r="BD18" s="302" t="str">
        <f t="shared" si="38"/>
        <v>-</v>
      </c>
      <c r="BF18" s="302" t="str">
        <f t="shared" si="20"/>
        <v>-</v>
      </c>
      <c r="BH18" s="302">
        <f t="shared" si="39"/>
        <v>14</v>
      </c>
      <c r="BJ18" s="302" t="str">
        <f t="shared" si="40"/>
        <v>-</v>
      </c>
      <c r="BL18" s="302" t="str">
        <f t="shared" si="41"/>
        <v>-</v>
      </c>
      <c r="BN18" s="302">
        <f t="shared" si="42"/>
        <v>14</v>
      </c>
      <c r="BP18" s="302" t="str">
        <f t="shared" si="43"/>
        <v>-</v>
      </c>
      <c r="BR18" s="302" t="str">
        <f t="shared" si="44"/>
        <v>-</v>
      </c>
      <c r="BT18" s="302">
        <f t="shared" si="45"/>
        <v>14</v>
      </c>
      <c r="BV18" s="302" t="str">
        <f t="shared" si="46"/>
        <v>-</v>
      </c>
      <c r="BX18" s="302" t="str">
        <f t="shared" si="47"/>
        <v>-</v>
      </c>
      <c r="BZ18" s="302">
        <f t="shared" si="48"/>
        <v>14</v>
      </c>
      <c r="CB18" s="302" t="str">
        <f t="shared" si="49"/>
        <v>-</v>
      </c>
      <c r="CD18" s="302" t="str">
        <f t="shared" si="21"/>
        <v>-</v>
      </c>
      <c r="CF18" s="302">
        <f t="shared" si="50"/>
        <v>14</v>
      </c>
      <c r="CH18" s="301">
        <f>IF(OR(INDEX(League!$AT$2:$AT$37,MATCH($A18,League!$AS$2:$AS$37,0))="",CB18="-"),CF18,INDEX(League!$AT$2:$AT$37,MATCH($A18,League!$AS$2:$AS$37,0))+ROW()/1000)</f>
        <v>14</v>
      </c>
      <c r="CI18" s="301" t="str">
        <f t="shared" si="51"/>
        <v>-</v>
      </c>
      <c r="CJ18" s="301">
        <f t="shared" si="52"/>
        <v>14</v>
      </c>
    </row>
    <row r="19" spans="1:88">
      <c r="A19" s="301" t="str">
        <f>TablaEquipos[[#This Row],[Team]]</f>
        <v>Juventus</v>
      </c>
      <c r="B19" s="302">
        <f t="shared" si="22"/>
        <v>7</v>
      </c>
      <c r="C19" s="302">
        <f t="shared" si="0"/>
        <v>3</v>
      </c>
      <c r="D19" s="302">
        <f t="shared" si="1"/>
        <v>3</v>
      </c>
      <c r="E19" s="302">
        <f t="shared" si="2"/>
        <v>1</v>
      </c>
      <c r="F19" s="302">
        <f t="shared" si="3"/>
        <v>14</v>
      </c>
      <c r="G19" s="302">
        <f t="shared" si="4"/>
        <v>10</v>
      </c>
      <c r="H19" s="302">
        <f t="shared" si="23"/>
        <v>4</v>
      </c>
      <c r="I19" s="302">
        <f>C19*3+D19*1+E19*0+INDEX(League!$BA$2:$BA$37,MATCH(Calcs!A19,League!$AZ$2:$AZ$37,0))</f>
        <v>12</v>
      </c>
      <c r="J19" s="303">
        <f t="shared" si="24"/>
        <v>4</v>
      </c>
      <c r="K19" s="302">
        <f t="shared" si="5"/>
        <v>2</v>
      </c>
      <c r="L19" s="302">
        <f t="shared" si="6"/>
        <v>2</v>
      </c>
      <c r="M19" s="302">
        <f t="shared" si="7"/>
        <v>0</v>
      </c>
      <c r="N19" s="302">
        <f t="shared" si="8"/>
        <v>9</v>
      </c>
      <c r="O19" s="302">
        <f t="shared" si="9"/>
        <v>5</v>
      </c>
      <c r="P19" s="302">
        <f t="shared" si="25"/>
        <v>4</v>
      </c>
      <c r="Q19" s="302">
        <f t="shared" si="26"/>
        <v>8</v>
      </c>
      <c r="R19" s="303">
        <f t="shared" si="27"/>
        <v>3</v>
      </c>
      <c r="S19" s="302">
        <f t="shared" si="10"/>
        <v>1</v>
      </c>
      <c r="T19" s="302">
        <f t="shared" si="11"/>
        <v>1</v>
      </c>
      <c r="U19" s="302">
        <f t="shared" si="12"/>
        <v>1</v>
      </c>
      <c r="V19" s="302">
        <f t="shared" si="13"/>
        <v>5</v>
      </c>
      <c r="W19" s="302">
        <f t="shared" si="14"/>
        <v>5</v>
      </c>
      <c r="X19" s="302">
        <f t="shared" si="28"/>
        <v>0</v>
      </c>
      <c r="Y19" s="304">
        <f t="shared" si="29"/>
        <v>4</v>
      </c>
      <c r="Z19" s="302" cm="1">
        <f t="array" ref="Z19">+INDEX(League!$BI$18:$CR$18,,MATCH(Calcs!A19,League!$BI$1:$CR$1,0))</f>
        <v>67</v>
      </c>
      <c r="AA19" s="302" cm="1">
        <f t="array" ref="AA19">+INDEX(League!$BI$27:$CR$27,,MATCH(Calcs!A19,League!$BI$1:$CR$1,0))</f>
        <v>-8</v>
      </c>
      <c r="AB19" s="302" cm="1">
        <f t="array" ref="AB19">+INDEX(League!$BI$36:$CR$36,,MATCH(Calcs!A19,League!$BI$1:$CR$1,0))</f>
        <v>87</v>
      </c>
      <c r="AD19" s="302">
        <f t="shared" si="30"/>
        <v>14</v>
      </c>
      <c r="AF19" s="302" t="str">
        <f t="shared" si="31"/>
        <v>Pos. 14 (2)</v>
      </c>
      <c r="AH19" s="302">
        <f t="shared" si="15"/>
        <v>4</v>
      </c>
      <c r="AJ19" s="302">
        <f t="shared" si="16"/>
        <v>15</v>
      </c>
      <c r="AL19" s="302" t="str">
        <f t="shared" si="32"/>
        <v>-</v>
      </c>
      <c r="AN19" s="302" t="str">
        <f t="shared" si="17"/>
        <v>-</v>
      </c>
      <c r="AP19" s="302">
        <f t="shared" si="33"/>
        <v>15</v>
      </c>
      <c r="AR19" s="302" t="str">
        <f t="shared" si="34"/>
        <v>-</v>
      </c>
      <c r="AT19" s="302" t="str">
        <f t="shared" si="18"/>
        <v>-</v>
      </c>
      <c r="AV19" s="302">
        <f t="shared" si="35"/>
        <v>15</v>
      </c>
      <c r="AX19" s="302" t="str">
        <f t="shared" si="36"/>
        <v>-</v>
      </c>
      <c r="AZ19" s="302" t="str">
        <f t="shared" si="19"/>
        <v>-</v>
      </c>
      <c r="BB19" s="302">
        <f t="shared" si="37"/>
        <v>15</v>
      </c>
      <c r="BD19" s="302" t="str">
        <f t="shared" si="38"/>
        <v>-</v>
      </c>
      <c r="BF19" s="302" t="str">
        <f t="shared" si="20"/>
        <v>-</v>
      </c>
      <c r="BH19" s="302">
        <f t="shared" si="39"/>
        <v>15</v>
      </c>
      <c r="BJ19" s="302" t="str">
        <f t="shared" si="40"/>
        <v>-</v>
      </c>
      <c r="BL19" s="302" t="str">
        <f t="shared" si="41"/>
        <v>-</v>
      </c>
      <c r="BN19" s="302">
        <f t="shared" si="42"/>
        <v>15</v>
      </c>
      <c r="BP19" s="302" t="str">
        <f t="shared" si="43"/>
        <v>-</v>
      </c>
      <c r="BR19" s="302" t="str">
        <f t="shared" si="44"/>
        <v>-</v>
      </c>
      <c r="BT19" s="302">
        <f t="shared" si="45"/>
        <v>15</v>
      </c>
      <c r="BV19" s="302" t="str">
        <f t="shared" si="46"/>
        <v>-</v>
      </c>
      <c r="BX19" s="302" t="str">
        <f t="shared" si="47"/>
        <v>-</v>
      </c>
      <c r="BZ19" s="302">
        <f t="shared" si="48"/>
        <v>15</v>
      </c>
      <c r="CB19" s="302" t="str">
        <f t="shared" si="49"/>
        <v>-</v>
      </c>
      <c r="CD19" s="302" t="str">
        <f t="shared" si="21"/>
        <v>-</v>
      </c>
      <c r="CF19" s="302">
        <f t="shared" si="50"/>
        <v>15</v>
      </c>
      <c r="CH19" s="301">
        <f>IF(OR(INDEX(League!$AT$2:$AT$37,MATCH($A19,League!$AS$2:$AS$37,0))="",CB19="-"),CF19,INDEX(League!$AT$2:$AT$37,MATCH($A19,League!$AS$2:$AS$37,0))+ROW()/1000)</f>
        <v>15</v>
      </c>
      <c r="CI19" s="301" t="str">
        <f t="shared" si="51"/>
        <v>-</v>
      </c>
      <c r="CJ19" s="301">
        <f t="shared" si="52"/>
        <v>15</v>
      </c>
    </row>
    <row r="20" spans="1:88">
      <c r="A20" s="301" t="str">
        <f>TablaEquipos[[#This Row],[Team]]</f>
        <v>Kairat Almaty </v>
      </c>
      <c r="B20" s="302">
        <f t="shared" si="22"/>
        <v>7</v>
      </c>
      <c r="C20" s="302">
        <f t="shared" si="0"/>
        <v>0</v>
      </c>
      <c r="D20" s="302">
        <f t="shared" si="1"/>
        <v>1</v>
      </c>
      <c r="E20" s="302">
        <f t="shared" si="2"/>
        <v>6</v>
      </c>
      <c r="F20" s="302">
        <f t="shared" si="3"/>
        <v>5</v>
      </c>
      <c r="G20" s="302">
        <f t="shared" si="4"/>
        <v>19</v>
      </c>
      <c r="H20" s="302">
        <f t="shared" si="23"/>
        <v>-14</v>
      </c>
      <c r="I20" s="302">
        <f>C20*3+D20*1+E20*0+INDEX(League!$BA$2:$BA$37,MATCH(Calcs!A20,League!$AZ$2:$AZ$37,0))</f>
        <v>1</v>
      </c>
      <c r="J20" s="303">
        <f t="shared" si="24"/>
        <v>4</v>
      </c>
      <c r="K20" s="302">
        <f t="shared" si="5"/>
        <v>0</v>
      </c>
      <c r="L20" s="302">
        <f t="shared" si="6"/>
        <v>1</v>
      </c>
      <c r="M20" s="302">
        <f t="shared" si="7"/>
        <v>3</v>
      </c>
      <c r="N20" s="302">
        <f t="shared" si="8"/>
        <v>1</v>
      </c>
      <c r="O20" s="302">
        <f t="shared" si="9"/>
        <v>10</v>
      </c>
      <c r="P20" s="302">
        <f t="shared" si="25"/>
        <v>-9</v>
      </c>
      <c r="Q20" s="302">
        <f t="shared" si="26"/>
        <v>1</v>
      </c>
      <c r="R20" s="303">
        <f t="shared" si="27"/>
        <v>3</v>
      </c>
      <c r="S20" s="302">
        <f t="shared" si="10"/>
        <v>0</v>
      </c>
      <c r="T20" s="302">
        <f t="shared" si="11"/>
        <v>0</v>
      </c>
      <c r="U20" s="302">
        <f t="shared" si="12"/>
        <v>3</v>
      </c>
      <c r="V20" s="302">
        <f t="shared" si="13"/>
        <v>4</v>
      </c>
      <c r="W20" s="302">
        <f t="shared" si="14"/>
        <v>9</v>
      </c>
      <c r="X20" s="302">
        <f t="shared" si="28"/>
        <v>-5</v>
      </c>
      <c r="Y20" s="304">
        <f t="shared" si="29"/>
        <v>0</v>
      </c>
      <c r="Z20" s="302" cm="1">
        <f t="array" ref="Z20">+INDEX(League!$BI$18:$CR$18,,MATCH(Calcs!A20,League!$BI$1:$CR$1,0))</f>
        <v>90</v>
      </c>
      <c r="AA20" s="302" cm="1">
        <f t="array" ref="AA20">+INDEX(League!$BI$27:$CR$27,,MATCH(Calcs!A20,League!$BI$1:$CR$1,0))</f>
        <v>18</v>
      </c>
      <c r="AB20" s="302" cm="1">
        <f t="array" ref="AB20">+INDEX(League!$BI$36:$CR$36,,MATCH(Calcs!A20,League!$BI$1:$CR$1,0))</f>
        <v>101</v>
      </c>
      <c r="AD20" s="302">
        <f t="shared" si="30"/>
        <v>35</v>
      </c>
      <c r="AF20" s="302" t="str">
        <f t="shared" si="31"/>
        <v>Pos. 35 (2)</v>
      </c>
      <c r="AH20" s="302">
        <f t="shared" si="15"/>
        <v>-14</v>
      </c>
      <c r="AJ20" s="302">
        <f t="shared" si="16"/>
        <v>36</v>
      </c>
      <c r="AL20" s="302" t="str">
        <f t="shared" si="32"/>
        <v>-</v>
      </c>
      <c r="AN20" s="302" t="str">
        <f t="shared" si="17"/>
        <v>-</v>
      </c>
      <c r="AP20" s="302">
        <f t="shared" si="33"/>
        <v>36</v>
      </c>
      <c r="AR20" s="302" t="str">
        <f t="shared" si="34"/>
        <v>-</v>
      </c>
      <c r="AT20" s="302" t="str">
        <f t="shared" si="18"/>
        <v>-</v>
      </c>
      <c r="AV20" s="302">
        <f t="shared" si="35"/>
        <v>36</v>
      </c>
      <c r="AX20" s="302" t="str">
        <f t="shared" si="36"/>
        <v>-</v>
      </c>
      <c r="AZ20" s="302" t="str">
        <f t="shared" si="19"/>
        <v>-</v>
      </c>
      <c r="BB20" s="302">
        <f t="shared" si="37"/>
        <v>36</v>
      </c>
      <c r="BD20" s="302" t="str">
        <f t="shared" si="38"/>
        <v>-</v>
      </c>
      <c r="BF20" s="302" t="str">
        <f t="shared" si="20"/>
        <v>-</v>
      </c>
      <c r="BH20" s="302">
        <f t="shared" si="39"/>
        <v>36</v>
      </c>
      <c r="BJ20" s="302" t="str">
        <f t="shared" si="40"/>
        <v>-</v>
      </c>
      <c r="BL20" s="302" t="str">
        <f t="shared" si="41"/>
        <v>-</v>
      </c>
      <c r="BN20" s="302">
        <f t="shared" si="42"/>
        <v>36</v>
      </c>
      <c r="BP20" s="302" t="str">
        <f t="shared" si="43"/>
        <v>-</v>
      </c>
      <c r="BR20" s="302" t="str">
        <f t="shared" si="44"/>
        <v>-</v>
      </c>
      <c r="BT20" s="302">
        <f t="shared" si="45"/>
        <v>36</v>
      </c>
      <c r="BV20" s="302" t="str">
        <f t="shared" si="46"/>
        <v>-</v>
      </c>
      <c r="BX20" s="302" t="str">
        <f t="shared" si="47"/>
        <v>-</v>
      </c>
      <c r="BZ20" s="302">
        <f t="shared" si="48"/>
        <v>36</v>
      </c>
      <c r="CB20" s="302" t="str">
        <f t="shared" si="49"/>
        <v>-</v>
      </c>
      <c r="CD20" s="302" t="str">
        <f t="shared" si="21"/>
        <v>-</v>
      </c>
      <c r="CF20" s="302">
        <f t="shared" si="50"/>
        <v>36</v>
      </c>
      <c r="CH20" s="301">
        <f>IF(OR(INDEX(League!$AT$2:$AT$37,MATCH($A20,League!$AS$2:$AS$37,0))="",CB20="-"),CF20,INDEX(League!$AT$2:$AT$37,MATCH($A20,League!$AS$2:$AS$37,0))+ROW()/1000)</f>
        <v>36</v>
      </c>
      <c r="CI20" s="301" t="str">
        <f t="shared" si="51"/>
        <v>-</v>
      </c>
      <c r="CJ20" s="301">
        <f t="shared" si="52"/>
        <v>36</v>
      </c>
    </row>
    <row r="21" spans="1:88">
      <c r="A21" s="301" t="str">
        <f>TablaEquipos[[#This Row],[Team]]</f>
        <v>Liverpool</v>
      </c>
      <c r="B21" s="302">
        <f t="shared" si="22"/>
        <v>7</v>
      </c>
      <c r="C21" s="302">
        <f t="shared" si="0"/>
        <v>5</v>
      </c>
      <c r="D21" s="302">
        <f t="shared" si="1"/>
        <v>0</v>
      </c>
      <c r="E21" s="302">
        <f t="shared" si="2"/>
        <v>2</v>
      </c>
      <c r="F21" s="302">
        <f t="shared" si="3"/>
        <v>14</v>
      </c>
      <c r="G21" s="302">
        <f t="shared" si="4"/>
        <v>8</v>
      </c>
      <c r="H21" s="302">
        <f t="shared" si="23"/>
        <v>6</v>
      </c>
      <c r="I21" s="302">
        <f>C21*3+D21*1+E21*0+INDEX(League!$BA$2:$BA$37,MATCH(Calcs!A21,League!$AZ$2:$AZ$37,0))</f>
        <v>15</v>
      </c>
      <c r="J21" s="303">
        <f t="shared" si="24"/>
        <v>3</v>
      </c>
      <c r="K21" s="302">
        <f t="shared" si="5"/>
        <v>2</v>
      </c>
      <c r="L21" s="302">
        <f t="shared" si="6"/>
        <v>0</v>
      </c>
      <c r="M21" s="302">
        <f t="shared" si="7"/>
        <v>1</v>
      </c>
      <c r="N21" s="302">
        <f t="shared" si="8"/>
        <v>5</v>
      </c>
      <c r="O21" s="302">
        <f t="shared" si="9"/>
        <v>6</v>
      </c>
      <c r="P21" s="302">
        <f t="shared" si="25"/>
        <v>-1</v>
      </c>
      <c r="Q21" s="302">
        <f t="shared" si="26"/>
        <v>6</v>
      </c>
      <c r="R21" s="303">
        <f t="shared" si="27"/>
        <v>4</v>
      </c>
      <c r="S21" s="302">
        <f t="shared" si="10"/>
        <v>3</v>
      </c>
      <c r="T21" s="302">
        <f t="shared" si="11"/>
        <v>0</v>
      </c>
      <c r="U21" s="302">
        <f t="shared" si="12"/>
        <v>1</v>
      </c>
      <c r="V21" s="302">
        <f t="shared" si="13"/>
        <v>9</v>
      </c>
      <c r="W21" s="302">
        <f t="shared" si="14"/>
        <v>2</v>
      </c>
      <c r="X21" s="302">
        <f t="shared" si="28"/>
        <v>7</v>
      </c>
      <c r="Y21" s="304">
        <f t="shared" si="29"/>
        <v>9</v>
      </c>
      <c r="Z21" s="302" cm="1">
        <f t="array" ref="Z21">+INDEX(League!$BI$18:$CR$18,,MATCH(Calcs!A21,League!$BI$1:$CR$1,0))</f>
        <v>81</v>
      </c>
      <c r="AA21" s="302" cm="1">
        <f t="array" ref="AA21">+INDEX(League!$BI$27:$CR$27,,MATCH(Calcs!A21,League!$BI$1:$CR$1,0))</f>
        <v>10</v>
      </c>
      <c r="AB21" s="302" cm="1">
        <f t="array" ref="AB21">+INDEX(League!$BI$36:$CR$36,,MATCH(Calcs!A21,League!$BI$1:$CR$1,0))</f>
        <v>106</v>
      </c>
      <c r="AD21" s="302">
        <f t="shared" si="30"/>
        <v>3</v>
      </c>
      <c r="AF21" s="302" t="str">
        <f t="shared" si="31"/>
        <v>Pos. 3 (2)</v>
      </c>
      <c r="AH21" s="302">
        <f t="shared" si="15"/>
        <v>6</v>
      </c>
      <c r="AJ21" s="302">
        <f t="shared" si="16"/>
        <v>4</v>
      </c>
      <c r="AL21" s="302" t="str">
        <f t="shared" si="32"/>
        <v>-</v>
      </c>
      <c r="AN21" s="302" t="str">
        <f t="shared" si="17"/>
        <v>-</v>
      </c>
      <c r="AP21" s="302">
        <f t="shared" si="33"/>
        <v>4</v>
      </c>
      <c r="AR21" s="302" t="str">
        <f t="shared" si="34"/>
        <v>-</v>
      </c>
      <c r="AT21" s="302" t="str">
        <f t="shared" si="18"/>
        <v>-</v>
      </c>
      <c r="AV21" s="302">
        <f t="shared" si="35"/>
        <v>4</v>
      </c>
      <c r="AX21" s="302" t="str">
        <f t="shared" si="36"/>
        <v>-</v>
      </c>
      <c r="AZ21" s="302" t="str">
        <f t="shared" si="19"/>
        <v>-</v>
      </c>
      <c r="BB21" s="302">
        <f t="shared" si="37"/>
        <v>4</v>
      </c>
      <c r="BD21" s="302" t="str">
        <f t="shared" si="38"/>
        <v>-</v>
      </c>
      <c r="BF21" s="302" t="str">
        <f t="shared" si="20"/>
        <v>-</v>
      </c>
      <c r="BH21" s="302">
        <f t="shared" si="39"/>
        <v>4</v>
      </c>
      <c r="BJ21" s="302" t="str">
        <f t="shared" si="40"/>
        <v>-</v>
      </c>
      <c r="BL21" s="302" t="str">
        <f t="shared" si="41"/>
        <v>-</v>
      </c>
      <c r="BN21" s="302">
        <f t="shared" si="42"/>
        <v>4</v>
      </c>
      <c r="BP21" s="302" t="str">
        <f t="shared" si="43"/>
        <v>-</v>
      </c>
      <c r="BR21" s="302" t="str">
        <f t="shared" si="44"/>
        <v>-</v>
      </c>
      <c r="BT21" s="302">
        <f t="shared" si="45"/>
        <v>4</v>
      </c>
      <c r="BV21" s="302" t="str">
        <f t="shared" si="46"/>
        <v>-</v>
      </c>
      <c r="BX21" s="302" t="str">
        <f t="shared" si="47"/>
        <v>-</v>
      </c>
      <c r="BZ21" s="302">
        <f t="shared" si="48"/>
        <v>4</v>
      </c>
      <c r="CB21" s="302" t="str">
        <f t="shared" si="49"/>
        <v>-</v>
      </c>
      <c r="CD21" s="302" t="str">
        <f t="shared" si="21"/>
        <v>-</v>
      </c>
      <c r="CF21" s="302">
        <f t="shared" si="50"/>
        <v>4</v>
      </c>
      <c r="CH21" s="301">
        <f>IF(OR(INDEX(League!$AT$2:$AT$37,MATCH($A21,League!$AS$2:$AS$37,0))="",CB21="-"),CF21,INDEX(League!$AT$2:$AT$37,MATCH($A21,League!$AS$2:$AS$37,0))+ROW()/1000)</f>
        <v>4</v>
      </c>
      <c r="CI21" s="301" t="str">
        <f t="shared" si="51"/>
        <v>-</v>
      </c>
      <c r="CJ21" s="301">
        <f t="shared" si="52"/>
        <v>4</v>
      </c>
    </row>
    <row r="22" spans="1:88">
      <c r="A22" s="301" t="str">
        <f>TablaEquipos[[#This Row],[Team]]</f>
        <v>Manchester City</v>
      </c>
      <c r="B22" s="302">
        <f t="shared" si="22"/>
        <v>7</v>
      </c>
      <c r="C22" s="302">
        <f t="shared" si="0"/>
        <v>4</v>
      </c>
      <c r="D22" s="302">
        <f t="shared" si="1"/>
        <v>1</v>
      </c>
      <c r="E22" s="302">
        <f t="shared" si="2"/>
        <v>2</v>
      </c>
      <c r="F22" s="302">
        <f t="shared" si="3"/>
        <v>13</v>
      </c>
      <c r="G22" s="302">
        <f t="shared" si="4"/>
        <v>9</v>
      </c>
      <c r="H22" s="302">
        <f t="shared" si="23"/>
        <v>4</v>
      </c>
      <c r="I22" s="302">
        <f>C22*3+D22*1+E22*0+INDEX(League!$BA$2:$BA$37,MATCH(Calcs!A22,League!$AZ$2:$AZ$37,0))</f>
        <v>13</v>
      </c>
      <c r="J22" s="303">
        <f t="shared" si="24"/>
        <v>3</v>
      </c>
      <c r="K22" s="302">
        <f t="shared" si="5"/>
        <v>2</v>
      </c>
      <c r="L22" s="302">
        <f t="shared" si="6"/>
        <v>0</v>
      </c>
      <c r="M22" s="302">
        <f t="shared" si="7"/>
        <v>1</v>
      </c>
      <c r="N22" s="302">
        <f t="shared" si="8"/>
        <v>6</v>
      </c>
      <c r="O22" s="302">
        <f t="shared" si="9"/>
        <v>3</v>
      </c>
      <c r="P22" s="302">
        <f t="shared" si="25"/>
        <v>3</v>
      </c>
      <c r="Q22" s="302">
        <f t="shared" si="26"/>
        <v>6</v>
      </c>
      <c r="R22" s="303">
        <f t="shared" si="27"/>
        <v>4</v>
      </c>
      <c r="S22" s="302">
        <f t="shared" si="10"/>
        <v>2</v>
      </c>
      <c r="T22" s="302">
        <f t="shared" si="11"/>
        <v>1</v>
      </c>
      <c r="U22" s="302">
        <f t="shared" si="12"/>
        <v>1</v>
      </c>
      <c r="V22" s="302">
        <f t="shared" si="13"/>
        <v>7</v>
      </c>
      <c r="W22" s="302">
        <f t="shared" si="14"/>
        <v>6</v>
      </c>
      <c r="X22" s="302">
        <f t="shared" si="28"/>
        <v>1</v>
      </c>
      <c r="Y22" s="304">
        <f t="shared" si="29"/>
        <v>7</v>
      </c>
      <c r="Z22" s="302" cm="1">
        <f t="array" ref="Z22">+INDEX(League!$BI$18:$CR$18,,MATCH(Calcs!A22,League!$BI$1:$CR$1,0))</f>
        <v>69</v>
      </c>
      <c r="AA22" s="302" cm="1">
        <f t="array" ref="AA22">+INDEX(League!$BI$27:$CR$27,,MATCH(Calcs!A22,League!$BI$1:$CR$1,0))</f>
        <v>-12</v>
      </c>
      <c r="AB22" s="302" cm="1">
        <f t="array" ref="AB22">+INDEX(League!$BI$36:$CR$36,,MATCH(Calcs!A22,League!$BI$1:$CR$1,0))</f>
        <v>89</v>
      </c>
      <c r="AD22" s="302">
        <f t="shared" si="30"/>
        <v>6</v>
      </c>
      <c r="AF22" s="302" t="str">
        <f t="shared" si="31"/>
        <v>Pos. 6 (8)</v>
      </c>
      <c r="AH22" s="302">
        <f t="shared" si="15"/>
        <v>4</v>
      </c>
      <c r="AJ22" s="302">
        <f t="shared" si="16"/>
        <v>11</v>
      </c>
      <c r="AL22" s="302" t="str">
        <f t="shared" si="32"/>
        <v>-</v>
      </c>
      <c r="AN22" s="302" t="str">
        <f t="shared" si="17"/>
        <v>-</v>
      </c>
      <c r="AP22" s="302">
        <f t="shared" si="33"/>
        <v>11</v>
      </c>
      <c r="AR22" s="302" t="str">
        <f t="shared" si="34"/>
        <v>-</v>
      </c>
      <c r="AT22" s="302" t="str">
        <f t="shared" si="18"/>
        <v>-</v>
      </c>
      <c r="AV22" s="302">
        <f t="shared" si="35"/>
        <v>11</v>
      </c>
      <c r="AX22" s="302" t="str">
        <f t="shared" si="36"/>
        <v>-</v>
      </c>
      <c r="AZ22" s="302" t="str">
        <f t="shared" si="19"/>
        <v>-</v>
      </c>
      <c r="BB22" s="302">
        <f t="shared" si="37"/>
        <v>11</v>
      </c>
      <c r="BD22" s="302" t="str">
        <f t="shared" si="38"/>
        <v>-</v>
      </c>
      <c r="BF22" s="302" t="str">
        <f t="shared" si="20"/>
        <v>-</v>
      </c>
      <c r="BH22" s="302">
        <f t="shared" si="39"/>
        <v>11</v>
      </c>
      <c r="BJ22" s="302" t="str">
        <f t="shared" si="40"/>
        <v>-</v>
      </c>
      <c r="BL22" s="302" t="str">
        <f t="shared" si="41"/>
        <v>-</v>
      </c>
      <c r="BN22" s="302">
        <f t="shared" si="42"/>
        <v>11</v>
      </c>
      <c r="BP22" s="302" t="str">
        <f t="shared" si="43"/>
        <v>-</v>
      </c>
      <c r="BR22" s="302" t="str">
        <f t="shared" si="44"/>
        <v>-</v>
      </c>
      <c r="BT22" s="302">
        <f t="shared" si="45"/>
        <v>11</v>
      </c>
      <c r="BV22" s="302" t="str">
        <f t="shared" si="46"/>
        <v>-</v>
      </c>
      <c r="BX22" s="302" t="str">
        <f t="shared" si="47"/>
        <v>-</v>
      </c>
      <c r="BZ22" s="302">
        <f t="shared" si="48"/>
        <v>11</v>
      </c>
      <c r="CB22" s="302" t="str">
        <f t="shared" si="49"/>
        <v>-</v>
      </c>
      <c r="CD22" s="302" t="str">
        <f t="shared" si="21"/>
        <v>-</v>
      </c>
      <c r="CF22" s="302">
        <f t="shared" si="50"/>
        <v>11</v>
      </c>
      <c r="CH22" s="301">
        <f>IF(OR(INDEX(League!$AT$2:$AT$37,MATCH($A22,League!$AS$2:$AS$37,0))="",CB22="-"),CF22,INDEX(League!$AT$2:$AT$37,MATCH($A22,League!$AS$2:$AS$37,0))+ROW()/1000)</f>
        <v>11</v>
      </c>
      <c r="CI22" s="301" t="str">
        <f t="shared" si="51"/>
        <v>-</v>
      </c>
      <c r="CJ22" s="301">
        <f t="shared" si="52"/>
        <v>11</v>
      </c>
    </row>
    <row r="23" spans="1:88">
      <c r="A23" s="301" t="str">
        <f>TablaEquipos[[#This Row],[Team]]</f>
        <v>Marseille</v>
      </c>
      <c r="B23" s="302">
        <f t="shared" si="22"/>
        <v>7</v>
      </c>
      <c r="C23" s="302">
        <f t="shared" si="0"/>
        <v>3</v>
      </c>
      <c r="D23" s="302">
        <f t="shared" si="1"/>
        <v>0</v>
      </c>
      <c r="E23" s="302">
        <f t="shared" si="2"/>
        <v>4</v>
      </c>
      <c r="F23" s="302">
        <f t="shared" si="3"/>
        <v>11</v>
      </c>
      <c r="G23" s="302">
        <f t="shared" si="4"/>
        <v>11</v>
      </c>
      <c r="H23" s="302">
        <f t="shared" si="23"/>
        <v>0</v>
      </c>
      <c r="I23" s="302">
        <f>C23*3+D23*1+E23*0+INDEX(League!$BA$2:$BA$37,MATCH(Calcs!A23,League!$AZ$2:$AZ$37,0))</f>
        <v>9</v>
      </c>
      <c r="J23" s="303">
        <f t="shared" si="24"/>
        <v>4</v>
      </c>
      <c r="K23" s="302">
        <f t="shared" si="5"/>
        <v>2</v>
      </c>
      <c r="L23" s="302">
        <f t="shared" si="6"/>
        <v>0</v>
      </c>
      <c r="M23" s="302">
        <f t="shared" si="7"/>
        <v>2</v>
      </c>
      <c r="N23" s="302">
        <f t="shared" si="8"/>
        <v>6</v>
      </c>
      <c r="O23" s="302">
        <f t="shared" si="9"/>
        <v>5</v>
      </c>
      <c r="P23" s="302">
        <f t="shared" si="25"/>
        <v>1</v>
      </c>
      <c r="Q23" s="302">
        <f t="shared" si="26"/>
        <v>6</v>
      </c>
      <c r="R23" s="303">
        <f t="shared" si="27"/>
        <v>3</v>
      </c>
      <c r="S23" s="302">
        <f t="shared" si="10"/>
        <v>1</v>
      </c>
      <c r="T23" s="302">
        <f t="shared" si="11"/>
        <v>0</v>
      </c>
      <c r="U23" s="302">
        <f t="shared" si="12"/>
        <v>2</v>
      </c>
      <c r="V23" s="302">
        <f t="shared" si="13"/>
        <v>5</v>
      </c>
      <c r="W23" s="302">
        <f t="shared" si="14"/>
        <v>6</v>
      </c>
      <c r="X23" s="302">
        <f t="shared" si="28"/>
        <v>-1</v>
      </c>
      <c r="Y23" s="304">
        <f t="shared" si="29"/>
        <v>3</v>
      </c>
      <c r="Z23" s="302" cm="1">
        <f t="array" ref="Z23">+INDEX(League!$BI$18:$CR$18,,MATCH(Calcs!A23,League!$BI$1:$CR$1,0))</f>
        <v>88</v>
      </c>
      <c r="AA23" s="302" cm="1">
        <f t="array" ref="AA23">+INDEX(League!$BI$27:$CR$27,,MATCH(Calcs!A23,League!$BI$1:$CR$1,0))</f>
        <v>6</v>
      </c>
      <c r="AB23" s="302" cm="1">
        <f t="array" ref="AB23">+INDEX(League!$BI$36:$CR$36,,MATCH(Calcs!A23,League!$BI$1:$CR$1,0))</f>
        <v>99</v>
      </c>
      <c r="AD23" s="302">
        <f t="shared" si="30"/>
        <v>19</v>
      </c>
      <c r="AF23" s="302" t="str">
        <f t="shared" si="31"/>
        <v>Pos. 19 (3)</v>
      </c>
      <c r="AH23" s="302">
        <f t="shared" si="15"/>
        <v>0</v>
      </c>
      <c r="AJ23" s="302">
        <f t="shared" si="16"/>
        <v>19</v>
      </c>
      <c r="AL23" s="302" t="str">
        <f t="shared" si="32"/>
        <v>-</v>
      </c>
      <c r="AN23" s="302" t="str">
        <f t="shared" si="17"/>
        <v>-</v>
      </c>
      <c r="AP23" s="302">
        <f t="shared" si="33"/>
        <v>19</v>
      </c>
      <c r="AR23" s="302" t="str">
        <f t="shared" si="34"/>
        <v>-</v>
      </c>
      <c r="AT23" s="302" t="str">
        <f t="shared" si="18"/>
        <v>-</v>
      </c>
      <c r="AV23" s="302">
        <f t="shared" si="35"/>
        <v>19</v>
      </c>
      <c r="AX23" s="302" t="str">
        <f t="shared" si="36"/>
        <v>-</v>
      </c>
      <c r="AZ23" s="302" t="str">
        <f t="shared" si="19"/>
        <v>-</v>
      </c>
      <c r="BB23" s="302">
        <f t="shared" si="37"/>
        <v>19</v>
      </c>
      <c r="BD23" s="302" t="str">
        <f t="shared" si="38"/>
        <v>-</v>
      </c>
      <c r="BF23" s="302" t="str">
        <f t="shared" si="20"/>
        <v>-</v>
      </c>
      <c r="BH23" s="302">
        <f t="shared" si="39"/>
        <v>19</v>
      </c>
      <c r="BJ23" s="302" t="str">
        <f t="shared" si="40"/>
        <v>-</v>
      </c>
      <c r="BL23" s="302" t="str">
        <f t="shared" si="41"/>
        <v>-</v>
      </c>
      <c r="BN23" s="302">
        <f t="shared" si="42"/>
        <v>19</v>
      </c>
      <c r="BP23" s="302" t="str">
        <f t="shared" si="43"/>
        <v>-</v>
      </c>
      <c r="BR23" s="302" t="str">
        <f t="shared" si="44"/>
        <v>-</v>
      </c>
      <c r="BT23" s="302">
        <f t="shared" si="45"/>
        <v>19</v>
      </c>
      <c r="BV23" s="302" t="str">
        <f t="shared" si="46"/>
        <v>-</v>
      </c>
      <c r="BX23" s="302" t="str">
        <f t="shared" si="47"/>
        <v>-</v>
      </c>
      <c r="BZ23" s="302">
        <f t="shared" si="48"/>
        <v>19</v>
      </c>
      <c r="CB23" s="302" t="str">
        <f t="shared" si="49"/>
        <v>-</v>
      </c>
      <c r="CD23" s="302" t="str">
        <f t="shared" si="21"/>
        <v>-</v>
      </c>
      <c r="CF23" s="302">
        <f t="shared" si="50"/>
        <v>19</v>
      </c>
      <c r="CH23" s="301">
        <f>IF(OR(INDEX(League!$AT$2:$AT$37,MATCH($A23,League!$AS$2:$AS$37,0))="",CB23="-"),CF23,INDEX(League!$AT$2:$AT$37,MATCH($A23,League!$AS$2:$AS$37,0))+ROW()/1000)</f>
        <v>19</v>
      </c>
      <c r="CI23" s="301" t="str">
        <f t="shared" si="51"/>
        <v>-</v>
      </c>
      <c r="CJ23" s="301">
        <f t="shared" si="52"/>
        <v>19</v>
      </c>
    </row>
    <row r="24" spans="1:88">
      <c r="A24" s="301" t="str">
        <f>TablaEquipos[[#This Row],[Team]]</f>
        <v>Monaco</v>
      </c>
      <c r="B24" s="302">
        <f t="shared" si="22"/>
        <v>7</v>
      </c>
      <c r="C24" s="302">
        <f t="shared" si="0"/>
        <v>2</v>
      </c>
      <c r="D24" s="302">
        <f t="shared" si="1"/>
        <v>3</v>
      </c>
      <c r="E24" s="302">
        <f t="shared" si="2"/>
        <v>2</v>
      </c>
      <c r="F24" s="302">
        <f t="shared" si="3"/>
        <v>8</v>
      </c>
      <c r="G24" s="302">
        <f t="shared" si="4"/>
        <v>14</v>
      </c>
      <c r="H24" s="302">
        <f t="shared" si="23"/>
        <v>-6</v>
      </c>
      <c r="I24" s="302">
        <f>C24*3+D24*1+E24*0+INDEX(League!$BA$2:$BA$37,MATCH(Calcs!A24,League!$AZ$2:$AZ$37,0))</f>
        <v>9</v>
      </c>
      <c r="J24" s="303">
        <f t="shared" si="24"/>
        <v>3</v>
      </c>
      <c r="K24" s="302">
        <f t="shared" si="5"/>
        <v>1</v>
      </c>
      <c r="L24" s="302">
        <f t="shared" si="6"/>
        <v>2</v>
      </c>
      <c r="M24" s="302">
        <f t="shared" si="7"/>
        <v>0</v>
      </c>
      <c r="N24" s="302">
        <f t="shared" si="8"/>
        <v>3</v>
      </c>
      <c r="O24" s="302">
        <f t="shared" si="9"/>
        <v>2</v>
      </c>
      <c r="P24" s="302">
        <f t="shared" si="25"/>
        <v>1</v>
      </c>
      <c r="Q24" s="302">
        <f t="shared" si="26"/>
        <v>5</v>
      </c>
      <c r="R24" s="303">
        <f t="shared" si="27"/>
        <v>4</v>
      </c>
      <c r="S24" s="302">
        <f t="shared" si="10"/>
        <v>1</v>
      </c>
      <c r="T24" s="302">
        <f t="shared" si="11"/>
        <v>1</v>
      </c>
      <c r="U24" s="302">
        <f t="shared" si="12"/>
        <v>2</v>
      </c>
      <c r="V24" s="302">
        <f t="shared" si="13"/>
        <v>5</v>
      </c>
      <c r="W24" s="302">
        <f t="shared" si="14"/>
        <v>12</v>
      </c>
      <c r="X24" s="302">
        <f t="shared" si="28"/>
        <v>-7</v>
      </c>
      <c r="Y24" s="304">
        <f t="shared" si="29"/>
        <v>4</v>
      </c>
      <c r="Z24" s="302" cm="1">
        <f t="array" ref="Z24">+INDEX(League!$BI$18:$CR$18,,MATCH(Calcs!A24,League!$BI$1:$CR$1,0))</f>
        <v>83</v>
      </c>
      <c r="AA24" s="302" cm="1">
        <f t="array" ref="AA24">+INDEX(League!$BI$27:$CR$27,,MATCH(Calcs!A24,League!$BI$1:$CR$1,0))</f>
        <v>14</v>
      </c>
      <c r="AB24" s="302" cm="1">
        <f t="array" ref="AB24">+INDEX(League!$BI$36:$CR$36,,MATCH(Calcs!A24,League!$BI$1:$CR$1,0))</f>
        <v>98</v>
      </c>
      <c r="AD24" s="302">
        <f t="shared" si="30"/>
        <v>19</v>
      </c>
      <c r="AF24" s="302" t="str">
        <f t="shared" si="31"/>
        <v>Pos. 19 (3)</v>
      </c>
      <c r="AH24" s="302">
        <f t="shared" si="15"/>
        <v>-6</v>
      </c>
      <c r="AJ24" s="302">
        <f t="shared" si="16"/>
        <v>21</v>
      </c>
      <c r="AL24" s="302" t="str">
        <f t="shared" si="32"/>
        <v>-</v>
      </c>
      <c r="AN24" s="302" t="str">
        <f t="shared" si="17"/>
        <v>-</v>
      </c>
      <c r="AP24" s="302">
        <f t="shared" si="33"/>
        <v>21</v>
      </c>
      <c r="AR24" s="302" t="str">
        <f t="shared" si="34"/>
        <v>-</v>
      </c>
      <c r="AT24" s="302" t="str">
        <f t="shared" si="18"/>
        <v>-</v>
      </c>
      <c r="AV24" s="302">
        <f t="shared" si="35"/>
        <v>21</v>
      </c>
      <c r="AX24" s="302" t="str">
        <f t="shared" si="36"/>
        <v>-</v>
      </c>
      <c r="AZ24" s="302" t="str">
        <f t="shared" si="19"/>
        <v>-</v>
      </c>
      <c r="BB24" s="302">
        <f t="shared" si="37"/>
        <v>21</v>
      </c>
      <c r="BD24" s="302" t="str">
        <f t="shared" si="38"/>
        <v>-</v>
      </c>
      <c r="BF24" s="302" t="str">
        <f t="shared" si="20"/>
        <v>-</v>
      </c>
      <c r="BH24" s="302">
        <f t="shared" si="39"/>
        <v>21</v>
      </c>
      <c r="BJ24" s="302" t="str">
        <f t="shared" si="40"/>
        <v>-</v>
      </c>
      <c r="BL24" s="302" t="str">
        <f t="shared" si="41"/>
        <v>-</v>
      </c>
      <c r="BN24" s="302">
        <f t="shared" si="42"/>
        <v>21</v>
      </c>
      <c r="BP24" s="302" t="str">
        <f t="shared" si="43"/>
        <v>-</v>
      </c>
      <c r="BR24" s="302" t="str">
        <f t="shared" si="44"/>
        <v>-</v>
      </c>
      <c r="BT24" s="302">
        <f t="shared" si="45"/>
        <v>21</v>
      </c>
      <c r="BV24" s="302" t="str">
        <f t="shared" si="46"/>
        <v>-</v>
      </c>
      <c r="BX24" s="302" t="str">
        <f t="shared" si="47"/>
        <v>-</v>
      </c>
      <c r="BZ24" s="302">
        <f t="shared" si="48"/>
        <v>21</v>
      </c>
      <c r="CB24" s="302" t="str">
        <f t="shared" si="49"/>
        <v>-</v>
      </c>
      <c r="CD24" s="302" t="str">
        <f t="shared" si="21"/>
        <v>-</v>
      </c>
      <c r="CF24" s="302">
        <f t="shared" si="50"/>
        <v>21</v>
      </c>
      <c r="CH24" s="301">
        <f>IF(OR(INDEX(League!$AT$2:$AT$37,MATCH($A24,League!$AS$2:$AS$37,0))="",CB24="-"),CF24,INDEX(League!$AT$2:$AT$37,MATCH($A24,League!$AS$2:$AS$37,0))+ROW()/1000)</f>
        <v>21</v>
      </c>
      <c r="CI24" s="301" t="str">
        <f t="shared" si="51"/>
        <v>-</v>
      </c>
      <c r="CJ24" s="301">
        <f t="shared" si="52"/>
        <v>21</v>
      </c>
    </row>
    <row r="25" spans="1:88">
      <c r="A25" s="301" t="str">
        <f>TablaEquipos[[#This Row],[Team]]</f>
        <v>Napoli</v>
      </c>
      <c r="B25" s="302">
        <f t="shared" si="22"/>
        <v>7</v>
      </c>
      <c r="C25" s="302">
        <f t="shared" si="0"/>
        <v>2</v>
      </c>
      <c r="D25" s="302">
        <f t="shared" si="1"/>
        <v>2</v>
      </c>
      <c r="E25" s="302">
        <f t="shared" si="2"/>
        <v>3</v>
      </c>
      <c r="F25" s="302">
        <f t="shared" si="3"/>
        <v>7</v>
      </c>
      <c r="G25" s="302">
        <f t="shared" si="4"/>
        <v>12</v>
      </c>
      <c r="H25" s="302">
        <f t="shared" si="23"/>
        <v>-5</v>
      </c>
      <c r="I25" s="302">
        <f>C25*3+D25*1+E25*0+INDEX(League!$BA$2:$BA$37,MATCH(Calcs!A25,League!$AZ$2:$AZ$37,0))</f>
        <v>8</v>
      </c>
      <c r="J25" s="303">
        <f t="shared" si="24"/>
        <v>3</v>
      </c>
      <c r="K25" s="302">
        <f t="shared" si="5"/>
        <v>2</v>
      </c>
      <c r="L25" s="302">
        <f t="shared" si="6"/>
        <v>1</v>
      </c>
      <c r="M25" s="302">
        <f t="shared" si="7"/>
        <v>0</v>
      </c>
      <c r="N25" s="302">
        <f t="shared" si="8"/>
        <v>4</v>
      </c>
      <c r="O25" s="302">
        <f t="shared" si="9"/>
        <v>1</v>
      </c>
      <c r="P25" s="302">
        <f t="shared" si="25"/>
        <v>3</v>
      </c>
      <c r="Q25" s="302">
        <f t="shared" si="26"/>
        <v>7</v>
      </c>
      <c r="R25" s="303">
        <f t="shared" si="27"/>
        <v>4</v>
      </c>
      <c r="S25" s="302">
        <f t="shared" si="10"/>
        <v>0</v>
      </c>
      <c r="T25" s="302">
        <f t="shared" si="11"/>
        <v>1</v>
      </c>
      <c r="U25" s="302">
        <f t="shared" si="12"/>
        <v>3</v>
      </c>
      <c r="V25" s="302">
        <f t="shared" si="13"/>
        <v>3</v>
      </c>
      <c r="W25" s="302">
        <f t="shared" si="14"/>
        <v>11</v>
      </c>
      <c r="X25" s="302">
        <f t="shared" si="28"/>
        <v>-8</v>
      </c>
      <c r="Y25" s="304">
        <f t="shared" si="29"/>
        <v>1</v>
      </c>
      <c r="Z25" s="302" cm="1">
        <f t="array" ref="Z25">+INDEX(League!$BI$18:$CR$18,,MATCH(Calcs!A25,League!$BI$1:$CR$1,0))</f>
        <v>75</v>
      </c>
      <c r="AA25" s="302" cm="1">
        <f t="array" ref="AA25">+INDEX(League!$BI$27:$CR$27,,MATCH(Calcs!A25,League!$BI$1:$CR$1,0))</f>
        <v>-5</v>
      </c>
      <c r="AB25" s="302" cm="1">
        <f t="array" ref="AB25">+INDEX(League!$BI$36:$CR$36,,MATCH(Calcs!A25,League!$BI$1:$CR$1,0))</f>
        <v>96</v>
      </c>
      <c r="AD25" s="302">
        <f t="shared" si="30"/>
        <v>22</v>
      </c>
      <c r="AF25" s="302" t="str">
        <f t="shared" si="31"/>
        <v>Pos. 22 (5)</v>
      </c>
      <c r="AH25" s="302">
        <f t="shared" si="15"/>
        <v>-5</v>
      </c>
      <c r="AJ25" s="302">
        <f t="shared" si="16"/>
        <v>24</v>
      </c>
      <c r="AL25" s="302" t="str">
        <f t="shared" si="32"/>
        <v>Pos. 24 (2)</v>
      </c>
      <c r="AN25" s="302">
        <f t="shared" si="17"/>
        <v>7</v>
      </c>
      <c r="AP25" s="302">
        <f t="shared" si="33"/>
        <v>25</v>
      </c>
      <c r="AR25" s="302" t="str">
        <f t="shared" si="34"/>
        <v>-</v>
      </c>
      <c r="AT25" s="302" t="str">
        <f t="shared" si="18"/>
        <v>-</v>
      </c>
      <c r="AV25" s="302">
        <f t="shared" si="35"/>
        <v>25</v>
      </c>
      <c r="AX25" s="302" t="str">
        <f t="shared" si="36"/>
        <v>-</v>
      </c>
      <c r="AZ25" s="302" t="str">
        <f t="shared" si="19"/>
        <v>-</v>
      </c>
      <c r="BB25" s="302">
        <f t="shared" si="37"/>
        <v>25</v>
      </c>
      <c r="BD25" s="302" t="str">
        <f t="shared" si="38"/>
        <v>-</v>
      </c>
      <c r="BF25" s="302" t="str">
        <f t="shared" si="20"/>
        <v>-</v>
      </c>
      <c r="BH25" s="302">
        <f t="shared" si="39"/>
        <v>25</v>
      </c>
      <c r="BJ25" s="302" t="str">
        <f t="shared" si="40"/>
        <v>-</v>
      </c>
      <c r="BL25" s="302" t="str">
        <f t="shared" si="41"/>
        <v>-</v>
      </c>
      <c r="BN25" s="302">
        <f t="shared" si="42"/>
        <v>25</v>
      </c>
      <c r="BP25" s="302" t="str">
        <f t="shared" si="43"/>
        <v>-</v>
      </c>
      <c r="BR25" s="302" t="str">
        <f t="shared" si="44"/>
        <v>-</v>
      </c>
      <c r="BT25" s="302">
        <f t="shared" si="45"/>
        <v>25</v>
      </c>
      <c r="BV25" s="302" t="str">
        <f t="shared" si="46"/>
        <v>-</v>
      </c>
      <c r="BX25" s="302" t="str">
        <f t="shared" si="47"/>
        <v>-</v>
      </c>
      <c r="BZ25" s="302">
        <f t="shared" si="48"/>
        <v>25</v>
      </c>
      <c r="CB25" s="302" t="str">
        <f t="shared" si="49"/>
        <v>-</v>
      </c>
      <c r="CD25" s="302" t="str">
        <f t="shared" si="21"/>
        <v>-</v>
      </c>
      <c r="CF25" s="302">
        <f t="shared" si="50"/>
        <v>25</v>
      </c>
      <c r="CH25" s="301">
        <f>IF(OR(INDEX(League!$AT$2:$AT$37,MATCH($A25,League!$AS$2:$AS$37,0))="",CB25="-"),CF25,INDEX(League!$AT$2:$AT$37,MATCH($A25,League!$AS$2:$AS$37,0))+ROW()/1000)</f>
        <v>25</v>
      </c>
      <c r="CI25" s="301" t="str">
        <f t="shared" si="51"/>
        <v>-</v>
      </c>
      <c r="CJ25" s="301">
        <f t="shared" si="52"/>
        <v>25</v>
      </c>
    </row>
    <row r="26" spans="1:88">
      <c r="A26" s="301" t="str">
        <f>TablaEquipos[[#This Row],[Team]]</f>
        <v>Newcastle</v>
      </c>
      <c r="B26" s="302">
        <f t="shared" si="22"/>
        <v>7</v>
      </c>
      <c r="C26" s="302">
        <f t="shared" si="0"/>
        <v>4</v>
      </c>
      <c r="D26" s="302">
        <f t="shared" si="1"/>
        <v>1</v>
      </c>
      <c r="E26" s="302">
        <f t="shared" si="2"/>
        <v>2</v>
      </c>
      <c r="F26" s="302">
        <f t="shared" si="3"/>
        <v>16</v>
      </c>
      <c r="G26" s="302">
        <f t="shared" si="4"/>
        <v>6</v>
      </c>
      <c r="H26" s="302">
        <f t="shared" si="23"/>
        <v>10</v>
      </c>
      <c r="I26" s="302">
        <f>C26*3+D26*1+E26*0+INDEX(League!$BA$2:$BA$37,MATCH(Calcs!A26,League!$AZ$2:$AZ$37,0))</f>
        <v>13</v>
      </c>
      <c r="J26" s="303">
        <f t="shared" si="24"/>
        <v>4</v>
      </c>
      <c r="K26" s="302">
        <f t="shared" si="5"/>
        <v>3</v>
      </c>
      <c r="L26" s="302">
        <f t="shared" si="6"/>
        <v>0</v>
      </c>
      <c r="M26" s="302">
        <f t="shared" si="7"/>
        <v>1</v>
      </c>
      <c r="N26" s="302">
        <f t="shared" si="8"/>
        <v>9</v>
      </c>
      <c r="O26" s="302">
        <f t="shared" si="9"/>
        <v>2</v>
      </c>
      <c r="P26" s="302">
        <f t="shared" si="25"/>
        <v>7</v>
      </c>
      <c r="Q26" s="302">
        <f t="shared" si="26"/>
        <v>9</v>
      </c>
      <c r="R26" s="303">
        <f t="shared" si="27"/>
        <v>3</v>
      </c>
      <c r="S26" s="302">
        <f t="shared" si="10"/>
        <v>1</v>
      </c>
      <c r="T26" s="302">
        <f t="shared" si="11"/>
        <v>1</v>
      </c>
      <c r="U26" s="302">
        <f t="shared" si="12"/>
        <v>1</v>
      </c>
      <c r="V26" s="302">
        <f t="shared" si="13"/>
        <v>7</v>
      </c>
      <c r="W26" s="302">
        <f t="shared" si="14"/>
        <v>4</v>
      </c>
      <c r="X26" s="302">
        <f t="shared" si="28"/>
        <v>3</v>
      </c>
      <c r="Y26" s="304">
        <f t="shared" si="29"/>
        <v>4</v>
      </c>
      <c r="Z26" s="302" cm="1">
        <f t="array" ref="Z26">+INDEX(League!$BI$18:$CR$18,,MATCH(Calcs!A26,League!$BI$1:$CR$1,0))</f>
        <v>72</v>
      </c>
      <c r="AA26" s="302" cm="1">
        <f t="array" ref="AA26">+INDEX(League!$BI$27:$CR$27,,MATCH(Calcs!A26,League!$BI$1:$CR$1,0))</f>
        <v>-6</v>
      </c>
      <c r="AB26" s="302" cm="1">
        <f t="array" ref="AB26">+INDEX(League!$BI$36:$CR$36,,MATCH(Calcs!A26,League!$BI$1:$CR$1,0))</f>
        <v>94</v>
      </c>
      <c r="AD26" s="302">
        <f t="shared" si="30"/>
        <v>6</v>
      </c>
      <c r="AF26" s="302" t="str">
        <f t="shared" si="31"/>
        <v>Pos. 6 (8)</v>
      </c>
      <c r="AH26" s="302">
        <f t="shared" si="15"/>
        <v>10</v>
      </c>
      <c r="AJ26" s="302">
        <f t="shared" si="16"/>
        <v>6</v>
      </c>
      <c r="AL26" s="302" t="str">
        <f t="shared" si="32"/>
        <v>Pos. 6 (2)</v>
      </c>
      <c r="AN26" s="302">
        <f t="shared" si="17"/>
        <v>16</v>
      </c>
      <c r="AP26" s="302">
        <f t="shared" si="33"/>
        <v>7</v>
      </c>
      <c r="AR26" s="302" t="str">
        <f t="shared" si="34"/>
        <v>-</v>
      </c>
      <c r="AT26" s="302" t="str">
        <f t="shared" si="18"/>
        <v>-</v>
      </c>
      <c r="AV26" s="302">
        <f t="shared" si="35"/>
        <v>7</v>
      </c>
      <c r="AX26" s="302" t="str">
        <f t="shared" si="36"/>
        <v>-</v>
      </c>
      <c r="AZ26" s="302" t="str">
        <f t="shared" si="19"/>
        <v>-</v>
      </c>
      <c r="BB26" s="302">
        <f t="shared" si="37"/>
        <v>7</v>
      </c>
      <c r="BD26" s="302" t="str">
        <f t="shared" si="38"/>
        <v>-</v>
      </c>
      <c r="BF26" s="302" t="str">
        <f t="shared" si="20"/>
        <v>-</v>
      </c>
      <c r="BH26" s="302">
        <f t="shared" si="39"/>
        <v>7</v>
      </c>
      <c r="BJ26" s="302" t="str">
        <f t="shared" si="40"/>
        <v>-</v>
      </c>
      <c r="BL26" s="302" t="str">
        <f t="shared" si="41"/>
        <v>-</v>
      </c>
      <c r="BN26" s="302">
        <f t="shared" si="42"/>
        <v>7</v>
      </c>
      <c r="BP26" s="302" t="str">
        <f t="shared" si="43"/>
        <v>-</v>
      </c>
      <c r="BR26" s="302" t="str">
        <f t="shared" si="44"/>
        <v>-</v>
      </c>
      <c r="BT26" s="302">
        <f t="shared" si="45"/>
        <v>7</v>
      </c>
      <c r="BV26" s="302" t="str">
        <f t="shared" si="46"/>
        <v>-</v>
      </c>
      <c r="BX26" s="302" t="str">
        <f t="shared" si="47"/>
        <v>-</v>
      </c>
      <c r="BZ26" s="302">
        <f t="shared" si="48"/>
        <v>7</v>
      </c>
      <c r="CB26" s="302" t="str">
        <f t="shared" si="49"/>
        <v>-</v>
      </c>
      <c r="CD26" s="302" t="str">
        <f t="shared" si="21"/>
        <v>-</v>
      </c>
      <c r="CF26" s="302">
        <f t="shared" si="50"/>
        <v>7</v>
      </c>
      <c r="CH26" s="301">
        <f>IF(OR(INDEX(League!$AT$2:$AT$37,MATCH($A26,League!$AS$2:$AS$37,0))="",CB26="-"),CF26,INDEX(League!$AT$2:$AT$37,MATCH($A26,League!$AS$2:$AS$37,0))+ROW()/1000)</f>
        <v>7</v>
      </c>
      <c r="CI26" s="301" t="str">
        <f t="shared" si="51"/>
        <v>-</v>
      </c>
      <c r="CJ26" s="301">
        <f t="shared" si="52"/>
        <v>7</v>
      </c>
    </row>
    <row r="27" spans="1:88">
      <c r="A27" s="301" t="str">
        <f>TablaEquipos[[#This Row],[Team]]</f>
        <v>Olympiakos</v>
      </c>
      <c r="B27" s="302">
        <f t="shared" si="22"/>
        <v>7</v>
      </c>
      <c r="C27" s="302">
        <f t="shared" si="0"/>
        <v>2</v>
      </c>
      <c r="D27" s="302">
        <f t="shared" si="1"/>
        <v>2</v>
      </c>
      <c r="E27" s="302">
        <f t="shared" si="2"/>
        <v>3</v>
      </c>
      <c r="F27" s="302">
        <f t="shared" si="3"/>
        <v>8</v>
      </c>
      <c r="G27" s="302">
        <f t="shared" si="4"/>
        <v>13</v>
      </c>
      <c r="H27" s="302">
        <f t="shared" si="23"/>
        <v>-5</v>
      </c>
      <c r="I27" s="302">
        <f>C27*3+D27*1+E27*0+INDEX(League!$BA$2:$BA$37,MATCH(Calcs!A27,League!$AZ$2:$AZ$37,0))</f>
        <v>8</v>
      </c>
      <c r="J27" s="303">
        <f t="shared" si="24"/>
        <v>4</v>
      </c>
      <c r="K27" s="302">
        <f t="shared" si="5"/>
        <v>1</v>
      </c>
      <c r="L27" s="302">
        <f t="shared" si="6"/>
        <v>2</v>
      </c>
      <c r="M27" s="302">
        <f t="shared" si="7"/>
        <v>1</v>
      </c>
      <c r="N27" s="302">
        <f t="shared" si="8"/>
        <v>6</v>
      </c>
      <c r="O27" s="302">
        <f t="shared" si="9"/>
        <v>5</v>
      </c>
      <c r="P27" s="302">
        <f t="shared" si="25"/>
        <v>1</v>
      </c>
      <c r="Q27" s="302">
        <f t="shared" si="26"/>
        <v>5</v>
      </c>
      <c r="R27" s="303">
        <f t="shared" si="27"/>
        <v>3</v>
      </c>
      <c r="S27" s="302">
        <f t="shared" si="10"/>
        <v>1</v>
      </c>
      <c r="T27" s="302">
        <f t="shared" si="11"/>
        <v>0</v>
      </c>
      <c r="U27" s="302">
        <f t="shared" si="12"/>
        <v>2</v>
      </c>
      <c r="V27" s="302">
        <f t="shared" si="13"/>
        <v>2</v>
      </c>
      <c r="W27" s="302">
        <f t="shared" si="14"/>
        <v>8</v>
      </c>
      <c r="X27" s="302">
        <f t="shared" si="28"/>
        <v>-6</v>
      </c>
      <c r="Y27" s="304">
        <f t="shared" si="29"/>
        <v>3</v>
      </c>
      <c r="Z27" s="302" cm="1">
        <f t="array" ref="Z27">+INDEX(League!$BI$18:$CR$18,,MATCH(Calcs!A27,League!$BI$1:$CR$1,0))</f>
        <v>79</v>
      </c>
      <c r="AA27" s="302" cm="1">
        <f t="array" ref="AA27">+INDEX(League!$BI$27:$CR$27,,MATCH(Calcs!A27,League!$BI$1:$CR$1,0))</f>
        <v>-1</v>
      </c>
      <c r="AB27" s="302" cm="1">
        <f t="array" ref="AB27">+INDEX(League!$BI$36:$CR$36,,MATCH(Calcs!A27,League!$BI$1:$CR$1,0))</f>
        <v>98</v>
      </c>
      <c r="AD27" s="302">
        <f t="shared" si="30"/>
        <v>22</v>
      </c>
      <c r="AF27" s="302" t="str">
        <f t="shared" si="31"/>
        <v>Pos. 22 (5)</v>
      </c>
      <c r="AH27" s="302">
        <f t="shared" si="15"/>
        <v>-5</v>
      </c>
      <c r="AJ27" s="302">
        <f t="shared" si="16"/>
        <v>24</v>
      </c>
      <c r="AL27" s="302" t="str">
        <f t="shared" si="32"/>
        <v>Pos. 24 (2)</v>
      </c>
      <c r="AN27" s="302">
        <f t="shared" si="17"/>
        <v>8</v>
      </c>
      <c r="AP27" s="302">
        <f t="shared" si="33"/>
        <v>24</v>
      </c>
      <c r="AR27" s="302" t="str">
        <f t="shared" si="34"/>
        <v>-</v>
      </c>
      <c r="AT27" s="302" t="str">
        <f t="shared" si="18"/>
        <v>-</v>
      </c>
      <c r="AV27" s="302">
        <f t="shared" si="35"/>
        <v>24</v>
      </c>
      <c r="AX27" s="302" t="str">
        <f t="shared" si="36"/>
        <v>-</v>
      </c>
      <c r="AZ27" s="302" t="str">
        <f t="shared" si="19"/>
        <v>-</v>
      </c>
      <c r="BB27" s="302">
        <f t="shared" si="37"/>
        <v>24</v>
      </c>
      <c r="BD27" s="302" t="str">
        <f t="shared" si="38"/>
        <v>-</v>
      </c>
      <c r="BF27" s="302" t="str">
        <f t="shared" si="20"/>
        <v>-</v>
      </c>
      <c r="BH27" s="302">
        <f t="shared" si="39"/>
        <v>24</v>
      </c>
      <c r="BJ27" s="302" t="str">
        <f t="shared" si="40"/>
        <v>-</v>
      </c>
      <c r="BL27" s="302" t="str">
        <f t="shared" si="41"/>
        <v>-</v>
      </c>
      <c r="BN27" s="302">
        <f t="shared" si="42"/>
        <v>24</v>
      </c>
      <c r="BP27" s="302" t="str">
        <f t="shared" si="43"/>
        <v>-</v>
      </c>
      <c r="BR27" s="302" t="str">
        <f t="shared" si="44"/>
        <v>-</v>
      </c>
      <c r="BT27" s="302">
        <f t="shared" si="45"/>
        <v>24</v>
      </c>
      <c r="BV27" s="302" t="str">
        <f t="shared" si="46"/>
        <v>-</v>
      </c>
      <c r="BX27" s="302" t="str">
        <f t="shared" si="47"/>
        <v>-</v>
      </c>
      <c r="BZ27" s="302">
        <f t="shared" si="48"/>
        <v>24</v>
      </c>
      <c r="CB27" s="302" t="str">
        <f t="shared" si="49"/>
        <v>-</v>
      </c>
      <c r="CD27" s="302" t="str">
        <f t="shared" si="21"/>
        <v>-</v>
      </c>
      <c r="CF27" s="302">
        <f t="shared" si="50"/>
        <v>24</v>
      </c>
      <c r="CH27" s="301">
        <f>IF(OR(INDEX(League!$AT$2:$AT$37,MATCH($A27,League!$AS$2:$AS$37,0))="",CB27="-"),CF27,INDEX(League!$AT$2:$AT$37,MATCH($A27,League!$AS$2:$AS$37,0))+ROW()/1000)</f>
        <v>24</v>
      </c>
      <c r="CI27" s="301" t="str">
        <f t="shared" si="51"/>
        <v>-</v>
      </c>
      <c r="CJ27" s="301">
        <f t="shared" si="52"/>
        <v>24</v>
      </c>
    </row>
    <row r="28" spans="1:88">
      <c r="A28" s="301" t="str">
        <f>TablaEquipos[[#This Row],[Team]]</f>
        <v>Pafos</v>
      </c>
      <c r="B28" s="302">
        <f t="shared" si="22"/>
        <v>7</v>
      </c>
      <c r="C28" s="302">
        <f t="shared" si="0"/>
        <v>1</v>
      </c>
      <c r="D28" s="302">
        <f t="shared" si="1"/>
        <v>3</v>
      </c>
      <c r="E28" s="302">
        <f t="shared" si="2"/>
        <v>3</v>
      </c>
      <c r="F28" s="302">
        <f t="shared" si="3"/>
        <v>4</v>
      </c>
      <c r="G28" s="302">
        <f t="shared" si="4"/>
        <v>10</v>
      </c>
      <c r="H28" s="302">
        <f t="shared" si="23"/>
        <v>-6</v>
      </c>
      <c r="I28" s="302">
        <f>C28*3+D28*1+E28*0+INDEX(League!$BA$2:$BA$37,MATCH(Calcs!A28,League!$AZ$2:$AZ$37,0))</f>
        <v>6</v>
      </c>
      <c r="J28" s="303">
        <f t="shared" si="24"/>
        <v>3</v>
      </c>
      <c r="K28" s="302">
        <f t="shared" si="5"/>
        <v>1</v>
      </c>
      <c r="L28" s="302">
        <f t="shared" si="6"/>
        <v>1</v>
      </c>
      <c r="M28" s="302">
        <f t="shared" si="7"/>
        <v>1</v>
      </c>
      <c r="N28" s="302">
        <f t="shared" si="8"/>
        <v>4</v>
      </c>
      <c r="O28" s="302">
        <f t="shared" si="9"/>
        <v>7</v>
      </c>
      <c r="P28" s="302">
        <f t="shared" si="25"/>
        <v>-3</v>
      </c>
      <c r="Q28" s="302">
        <f t="shared" si="26"/>
        <v>4</v>
      </c>
      <c r="R28" s="303">
        <f t="shared" si="27"/>
        <v>4</v>
      </c>
      <c r="S28" s="302">
        <f t="shared" si="10"/>
        <v>0</v>
      </c>
      <c r="T28" s="302">
        <f t="shared" si="11"/>
        <v>2</v>
      </c>
      <c r="U28" s="302">
        <f t="shared" si="12"/>
        <v>2</v>
      </c>
      <c r="V28" s="302">
        <f t="shared" si="13"/>
        <v>0</v>
      </c>
      <c r="W28" s="302">
        <f t="shared" si="14"/>
        <v>3</v>
      </c>
      <c r="X28" s="302">
        <f t="shared" si="28"/>
        <v>-3</v>
      </c>
      <c r="Y28" s="304">
        <f t="shared" si="29"/>
        <v>2</v>
      </c>
      <c r="Z28" s="302" cm="1">
        <f t="array" ref="Z28">+INDEX(League!$BI$18:$CR$18,,MATCH(Calcs!A28,League!$BI$1:$CR$1,0))</f>
        <v>65</v>
      </c>
      <c r="AA28" s="302" cm="1">
        <f t="array" ref="AA28">+INDEX(League!$BI$27:$CR$27,,MATCH(Calcs!A28,League!$BI$1:$CR$1,0))</f>
        <v>-23</v>
      </c>
      <c r="AB28" s="302" cm="1">
        <f t="array" ref="AB28">+INDEX(League!$BI$36:$CR$36,,MATCH(Calcs!A28,League!$BI$1:$CR$1,0))</f>
        <v>78</v>
      </c>
      <c r="AD28" s="302">
        <f t="shared" si="30"/>
        <v>28</v>
      </c>
      <c r="AF28" s="302" t="str">
        <f t="shared" si="31"/>
        <v>Pos. 28 (5)</v>
      </c>
      <c r="AH28" s="302">
        <f t="shared" si="15"/>
        <v>-6</v>
      </c>
      <c r="AJ28" s="302">
        <f t="shared" si="16"/>
        <v>30</v>
      </c>
      <c r="AL28" s="302" t="str">
        <f t="shared" si="32"/>
        <v>-</v>
      </c>
      <c r="AN28" s="302" t="str">
        <f t="shared" si="17"/>
        <v>-</v>
      </c>
      <c r="AP28" s="302">
        <f t="shared" si="33"/>
        <v>30</v>
      </c>
      <c r="AR28" s="302" t="str">
        <f t="shared" si="34"/>
        <v>-</v>
      </c>
      <c r="AT28" s="302" t="str">
        <f t="shared" si="18"/>
        <v>-</v>
      </c>
      <c r="AV28" s="302">
        <f t="shared" si="35"/>
        <v>30</v>
      </c>
      <c r="AX28" s="302" t="str">
        <f t="shared" si="36"/>
        <v>-</v>
      </c>
      <c r="AZ28" s="302" t="str">
        <f t="shared" si="19"/>
        <v>-</v>
      </c>
      <c r="BB28" s="302">
        <f t="shared" si="37"/>
        <v>30</v>
      </c>
      <c r="BD28" s="302" t="str">
        <f t="shared" si="38"/>
        <v>-</v>
      </c>
      <c r="BF28" s="302" t="str">
        <f t="shared" si="20"/>
        <v>-</v>
      </c>
      <c r="BH28" s="302">
        <f t="shared" si="39"/>
        <v>30</v>
      </c>
      <c r="BJ28" s="302" t="str">
        <f t="shared" si="40"/>
        <v>-</v>
      </c>
      <c r="BL28" s="302" t="str">
        <f t="shared" si="41"/>
        <v>-</v>
      </c>
      <c r="BN28" s="302">
        <f t="shared" si="42"/>
        <v>30</v>
      </c>
      <c r="BP28" s="302" t="str">
        <f t="shared" si="43"/>
        <v>-</v>
      </c>
      <c r="BR28" s="302" t="str">
        <f t="shared" si="44"/>
        <v>-</v>
      </c>
      <c r="BT28" s="302">
        <f t="shared" si="45"/>
        <v>30</v>
      </c>
      <c r="BV28" s="302" t="str">
        <f t="shared" si="46"/>
        <v>-</v>
      </c>
      <c r="BX28" s="302" t="str">
        <f t="shared" si="47"/>
        <v>-</v>
      </c>
      <c r="BZ28" s="302">
        <f t="shared" si="48"/>
        <v>30</v>
      </c>
      <c r="CB28" s="302" t="str">
        <f t="shared" si="49"/>
        <v>-</v>
      </c>
      <c r="CD28" s="302" t="str">
        <f t="shared" si="21"/>
        <v>-</v>
      </c>
      <c r="CF28" s="302">
        <f t="shared" si="50"/>
        <v>30</v>
      </c>
      <c r="CH28" s="301">
        <f>IF(OR(INDEX(League!$AT$2:$AT$37,MATCH($A28,League!$AS$2:$AS$37,0))="",CB28="-"),CF28,INDEX(League!$AT$2:$AT$37,MATCH($A28,League!$AS$2:$AS$37,0))+ROW()/1000)</f>
        <v>30</v>
      </c>
      <c r="CI28" s="301" t="str">
        <f t="shared" si="51"/>
        <v>-</v>
      </c>
      <c r="CJ28" s="301">
        <f t="shared" si="52"/>
        <v>30</v>
      </c>
    </row>
    <row r="29" spans="1:88">
      <c r="A29" s="301" t="str">
        <f>TablaEquipos[[#This Row],[Team]]</f>
        <v>PSG</v>
      </c>
      <c r="B29" s="302">
        <f t="shared" si="22"/>
        <v>7</v>
      </c>
      <c r="C29" s="302">
        <f t="shared" si="0"/>
        <v>4</v>
      </c>
      <c r="D29" s="302">
        <f t="shared" si="1"/>
        <v>1</v>
      </c>
      <c r="E29" s="302">
        <f t="shared" si="2"/>
        <v>2</v>
      </c>
      <c r="F29" s="302">
        <f t="shared" si="3"/>
        <v>20</v>
      </c>
      <c r="G29" s="302">
        <f t="shared" si="4"/>
        <v>10</v>
      </c>
      <c r="H29" s="302">
        <f t="shared" si="23"/>
        <v>10</v>
      </c>
      <c r="I29" s="302">
        <f>C29*3+D29*1+E29*0+INDEX(League!$BA$2:$BA$37,MATCH(Calcs!A29,League!$AZ$2:$AZ$37,0))</f>
        <v>13</v>
      </c>
      <c r="J29" s="303">
        <f t="shared" si="24"/>
        <v>3</v>
      </c>
      <c r="K29" s="302">
        <f t="shared" si="5"/>
        <v>2</v>
      </c>
      <c r="L29" s="302">
        <f t="shared" si="6"/>
        <v>0</v>
      </c>
      <c r="M29" s="302">
        <f t="shared" si="7"/>
        <v>1</v>
      </c>
      <c r="N29" s="302">
        <f t="shared" si="8"/>
        <v>10</v>
      </c>
      <c r="O29" s="302">
        <f t="shared" si="9"/>
        <v>5</v>
      </c>
      <c r="P29" s="302">
        <f t="shared" si="25"/>
        <v>5</v>
      </c>
      <c r="Q29" s="302">
        <f t="shared" si="26"/>
        <v>6</v>
      </c>
      <c r="R29" s="303">
        <f t="shared" si="27"/>
        <v>4</v>
      </c>
      <c r="S29" s="302">
        <f t="shared" si="10"/>
        <v>2</v>
      </c>
      <c r="T29" s="302">
        <f t="shared" si="11"/>
        <v>1</v>
      </c>
      <c r="U29" s="302">
        <f t="shared" si="12"/>
        <v>1</v>
      </c>
      <c r="V29" s="302">
        <f t="shared" si="13"/>
        <v>10</v>
      </c>
      <c r="W29" s="302">
        <f t="shared" si="14"/>
        <v>5</v>
      </c>
      <c r="X29" s="302">
        <f t="shared" si="28"/>
        <v>5</v>
      </c>
      <c r="Y29" s="304">
        <f t="shared" si="29"/>
        <v>7</v>
      </c>
      <c r="Z29" s="302" cm="1">
        <f t="array" ref="Z29">+INDEX(League!$BI$18:$CR$18,,MATCH(Calcs!A29,League!$BI$1:$CR$1,0))</f>
        <v>101</v>
      </c>
      <c r="AA29" s="302" cm="1">
        <f t="array" ref="AA29">+INDEX(League!$BI$27:$CR$27,,MATCH(Calcs!A29,League!$BI$1:$CR$1,0))</f>
        <v>34</v>
      </c>
      <c r="AB29" s="302" cm="1">
        <f t="array" ref="AB29">+INDEX(League!$BI$36:$CR$36,,MATCH(Calcs!A29,League!$BI$1:$CR$1,0))</f>
        <v>110</v>
      </c>
      <c r="AD29" s="302">
        <f t="shared" si="30"/>
        <v>6</v>
      </c>
      <c r="AF29" s="302" t="str">
        <f t="shared" si="31"/>
        <v>Pos. 6 (8)</v>
      </c>
      <c r="AH29" s="302">
        <f t="shared" si="15"/>
        <v>10</v>
      </c>
      <c r="AJ29" s="302">
        <f t="shared" si="16"/>
        <v>6</v>
      </c>
      <c r="AL29" s="302" t="str">
        <f t="shared" si="32"/>
        <v>Pos. 6 (2)</v>
      </c>
      <c r="AN29" s="302">
        <f t="shared" si="17"/>
        <v>20</v>
      </c>
      <c r="AP29" s="302">
        <f t="shared" si="33"/>
        <v>6</v>
      </c>
      <c r="AR29" s="302" t="str">
        <f t="shared" si="34"/>
        <v>-</v>
      </c>
      <c r="AT29" s="302" t="str">
        <f t="shared" si="18"/>
        <v>-</v>
      </c>
      <c r="AV29" s="302">
        <f t="shared" si="35"/>
        <v>6</v>
      </c>
      <c r="AX29" s="302" t="str">
        <f t="shared" si="36"/>
        <v>-</v>
      </c>
      <c r="AZ29" s="302" t="str">
        <f t="shared" si="19"/>
        <v>-</v>
      </c>
      <c r="BB29" s="302">
        <f t="shared" si="37"/>
        <v>6</v>
      </c>
      <c r="BD29" s="302" t="str">
        <f t="shared" si="38"/>
        <v>-</v>
      </c>
      <c r="BF29" s="302" t="str">
        <f t="shared" si="20"/>
        <v>-</v>
      </c>
      <c r="BH29" s="302">
        <f t="shared" si="39"/>
        <v>6</v>
      </c>
      <c r="BJ29" s="302" t="str">
        <f t="shared" si="40"/>
        <v>-</v>
      </c>
      <c r="BL29" s="302" t="str">
        <f t="shared" si="41"/>
        <v>-</v>
      </c>
      <c r="BN29" s="302">
        <f t="shared" si="42"/>
        <v>6</v>
      </c>
      <c r="BP29" s="302" t="str">
        <f t="shared" si="43"/>
        <v>-</v>
      </c>
      <c r="BR29" s="302" t="str">
        <f t="shared" si="44"/>
        <v>-</v>
      </c>
      <c r="BT29" s="302">
        <f t="shared" si="45"/>
        <v>6</v>
      </c>
      <c r="BV29" s="302" t="str">
        <f t="shared" si="46"/>
        <v>-</v>
      </c>
      <c r="BX29" s="302" t="str">
        <f t="shared" si="47"/>
        <v>-</v>
      </c>
      <c r="BZ29" s="302">
        <f t="shared" si="48"/>
        <v>6</v>
      </c>
      <c r="CB29" s="302" t="str">
        <f t="shared" si="49"/>
        <v>-</v>
      </c>
      <c r="CD29" s="302" t="str">
        <f t="shared" si="21"/>
        <v>-</v>
      </c>
      <c r="CF29" s="302">
        <f t="shared" si="50"/>
        <v>6</v>
      </c>
      <c r="CH29" s="301">
        <f>IF(OR(INDEX(League!$AT$2:$AT$37,MATCH($A29,League!$AS$2:$AS$37,0))="",CB29="-"),CF29,INDEX(League!$AT$2:$AT$37,MATCH($A29,League!$AS$2:$AS$37,0))+ROW()/1000)</f>
        <v>6</v>
      </c>
      <c r="CI29" s="301" t="str">
        <f t="shared" si="51"/>
        <v>-</v>
      </c>
      <c r="CJ29" s="301">
        <f t="shared" si="52"/>
        <v>6</v>
      </c>
    </row>
    <row r="30" spans="1:88">
      <c r="A30" s="301" t="str">
        <f>TablaEquipos[[#This Row],[Team]]</f>
        <v>PSV Eindhoven</v>
      </c>
      <c r="B30" s="302">
        <f t="shared" si="22"/>
        <v>7</v>
      </c>
      <c r="C30" s="302">
        <f t="shared" si="0"/>
        <v>2</v>
      </c>
      <c r="D30" s="302">
        <f t="shared" si="1"/>
        <v>2</v>
      </c>
      <c r="E30" s="302">
        <f t="shared" si="2"/>
        <v>3</v>
      </c>
      <c r="F30" s="302">
        <f t="shared" si="3"/>
        <v>15</v>
      </c>
      <c r="G30" s="302">
        <f t="shared" si="4"/>
        <v>14</v>
      </c>
      <c r="H30" s="302">
        <f t="shared" si="23"/>
        <v>1</v>
      </c>
      <c r="I30" s="302">
        <f>C30*3+D30*1+E30*0+INDEX(League!$BA$2:$BA$37,MATCH(Calcs!A30,League!$AZ$2:$AZ$37,0))</f>
        <v>8</v>
      </c>
      <c r="J30" s="303">
        <f t="shared" si="24"/>
        <v>3</v>
      </c>
      <c r="K30" s="302">
        <f t="shared" si="5"/>
        <v>1</v>
      </c>
      <c r="L30" s="302">
        <f t="shared" si="6"/>
        <v>0</v>
      </c>
      <c r="M30" s="302">
        <f t="shared" si="7"/>
        <v>2</v>
      </c>
      <c r="N30" s="302">
        <f t="shared" si="8"/>
        <v>9</v>
      </c>
      <c r="O30" s="302">
        <f t="shared" si="9"/>
        <v>8</v>
      </c>
      <c r="P30" s="302">
        <f t="shared" si="25"/>
        <v>1</v>
      </c>
      <c r="Q30" s="302">
        <f t="shared" si="26"/>
        <v>3</v>
      </c>
      <c r="R30" s="303">
        <f t="shared" si="27"/>
        <v>4</v>
      </c>
      <c r="S30" s="302">
        <f t="shared" si="10"/>
        <v>1</v>
      </c>
      <c r="T30" s="302">
        <f t="shared" si="11"/>
        <v>2</v>
      </c>
      <c r="U30" s="302">
        <f t="shared" si="12"/>
        <v>1</v>
      </c>
      <c r="V30" s="302">
        <f t="shared" si="13"/>
        <v>6</v>
      </c>
      <c r="W30" s="302">
        <f t="shared" si="14"/>
        <v>6</v>
      </c>
      <c r="X30" s="302">
        <f t="shared" si="28"/>
        <v>0</v>
      </c>
      <c r="Y30" s="304">
        <f t="shared" si="29"/>
        <v>5</v>
      </c>
      <c r="Z30" s="302" cm="1">
        <f t="array" ref="Z30">+INDEX(League!$BI$18:$CR$18,,MATCH(Calcs!A30,League!$BI$1:$CR$1,0))</f>
        <v>90</v>
      </c>
      <c r="AA30" s="302" cm="1">
        <f t="array" ref="AA30">+INDEX(League!$BI$27:$CR$27,,MATCH(Calcs!A30,League!$BI$1:$CR$1,0))</f>
        <v>8</v>
      </c>
      <c r="AB30" s="302" cm="1">
        <f t="array" ref="AB30">+INDEX(League!$BI$36:$CR$36,,MATCH(Calcs!A30,League!$BI$1:$CR$1,0))</f>
        <v>98</v>
      </c>
      <c r="AD30" s="302">
        <f t="shared" si="30"/>
        <v>22</v>
      </c>
      <c r="AF30" s="302" t="str">
        <f t="shared" si="31"/>
        <v>Pos. 22 (5)</v>
      </c>
      <c r="AH30" s="302">
        <f t="shared" si="15"/>
        <v>1</v>
      </c>
      <c r="AJ30" s="302">
        <f t="shared" si="16"/>
        <v>22</v>
      </c>
      <c r="AL30" s="302" t="str">
        <f t="shared" si="32"/>
        <v>-</v>
      </c>
      <c r="AN30" s="302" t="str">
        <f t="shared" si="17"/>
        <v>-</v>
      </c>
      <c r="AP30" s="302">
        <f t="shared" si="33"/>
        <v>22</v>
      </c>
      <c r="AR30" s="302" t="str">
        <f t="shared" si="34"/>
        <v>-</v>
      </c>
      <c r="AT30" s="302" t="str">
        <f t="shared" si="18"/>
        <v>-</v>
      </c>
      <c r="AV30" s="302">
        <f t="shared" si="35"/>
        <v>22</v>
      </c>
      <c r="AX30" s="302" t="str">
        <f t="shared" si="36"/>
        <v>-</v>
      </c>
      <c r="AZ30" s="302" t="str">
        <f t="shared" si="19"/>
        <v>-</v>
      </c>
      <c r="BB30" s="302">
        <f t="shared" si="37"/>
        <v>22</v>
      </c>
      <c r="BD30" s="302" t="str">
        <f t="shared" si="38"/>
        <v>-</v>
      </c>
      <c r="BF30" s="302" t="str">
        <f t="shared" si="20"/>
        <v>-</v>
      </c>
      <c r="BH30" s="302">
        <f t="shared" si="39"/>
        <v>22</v>
      </c>
      <c r="BJ30" s="302" t="str">
        <f t="shared" si="40"/>
        <v>-</v>
      </c>
      <c r="BL30" s="302" t="str">
        <f t="shared" si="41"/>
        <v>-</v>
      </c>
      <c r="BN30" s="302">
        <f t="shared" si="42"/>
        <v>22</v>
      </c>
      <c r="BP30" s="302" t="str">
        <f t="shared" si="43"/>
        <v>-</v>
      </c>
      <c r="BR30" s="302" t="str">
        <f t="shared" si="44"/>
        <v>-</v>
      </c>
      <c r="BT30" s="302">
        <f t="shared" si="45"/>
        <v>22</v>
      </c>
      <c r="BV30" s="302" t="str">
        <f t="shared" si="46"/>
        <v>-</v>
      </c>
      <c r="BX30" s="302" t="str">
        <f t="shared" si="47"/>
        <v>-</v>
      </c>
      <c r="BZ30" s="302">
        <f t="shared" si="48"/>
        <v>22</v>
      </c>
      <c r="CB30" s="302" t="str">
        <f t="shared" si="49"/>
        <v>-</v>
      </c>
      <c r="CD30" s="302" t="str">
        <f t="shared" si="21"/>
        <v>-</v>
      </c>
      <c r="CF30" s="302">
        <f t="shared" si="50"/>
        <v>22</v>
      </c>
      <c r="CH30" s="301">
        <f>IF(OR(INDEX(League!$AT$2:$AT$37,MATCH($A30,League!$AS$2:$AS$37,0))="",CB30="-"),CF30,INDEX(League!$AT$2:$AT$37,MATCH($A30,League!$AS$2:$AS$37,0))+ROW()/1000)</f>
        <v>22</v>
      </c>
      <c r="CI30" s="301" t="str">
        <f t="shared" si="51"/>
        <v>-</v>
      </c>
      <c r="CJ30" s="301">
        <f t="shared" si="52"/>
        <v>22</v>
      </c>
    </row>
    <row r="31" spans="1:88">
      <c r="A31" s="301" t="str">
        <f>TablaEquipos[[#This Row],[Team]]</f>
        <v>Qarabağ</v>
      </c>
      <c r="B31" s="302">
        <f t="shared" si="22"/>
        <v>7</v>
      </c>
      <c r="C31" s="302">
        <f t="shared" si="0"/>
        <v>3</v>
      </c>
      <c r="D31" s="302">
        <f t="shared" si="1"/>
        <v>1</v>
      </c>
      <c r="E31" s="302">
        <f t="shared" si="2"/>
        <v>3</v>
      </c>
      <c r="F31" s="302">
        <f t="shared" si="3"/>
        <v>13</v>
      </c>
      <c r="G31" s="302">
        <f t="shared" si="4"/>
        <v>15</v>
      </c>
      <c r="H31" s="302">
        <f t="shared" si="23"/>
        <v>-2</v>
      </c>
      <c r="I31" s="302">
        <f>C31*3+D31*1+E31*0+INDEX(League!$BA$2:$BA$37,MATCH(Calcs!A31,League!$AZ$2:$AZ$37,0))</f>
        <v>10</v>
      </c>
      <c r="J31" s="303">
        <f t="shared" si="24"/>
        <v>4</v>
      </c>
      <c r="K31" s="302">
        <f t="shared" si="5"/>
        <v>2</v>
      </c>
      <c r="L31" s="302">
        <f t="shared" si="6"/>
        <v>1</v>
      </c>
      <c r="M31" s="302">
        <f t="shared" si="7"/>
        <v>1</v>
      </c>
      <c r="N31" s="302">
        <f t="shared" si="8"/>
        <v>9</v>
      </c>
      <c r="O31" s="302">
        <f t="shared" si="9"/>
        <v>8</v>
      </c>
      <c r="P31" s="302">
        <f t="shared" si="25"/>
        <v>1</v>
      </c>
      <c r="Q31" s="302">
        <f t="shared" si="26"/>
        <v>7</v>
      </c>
      <c r="R31" s="303">
        <f t="shared" si="27"/>
        <v>3</v>
      </c>
      <c r="S31" s="302">
        <f t="shared" si="10"/>
        <v>1</v>
      </c>
      <c r="T31" s="302">
        <f t="shared" si="11"/>
        <v>0</v>
      </c>
      <c r="U31" s="302">
        <f t="shared" si="12"/>
        <v>2</v>
      </c>
      <c r="V31" s="302">
        <f t="shared" si="13"/>
        <v>4</v>
      </c>
      <c r="W31" s="302">
        <f t="shared" si="14"/>
        <v>7</v>
      </c>
      <c r="X31" s="302">
        <f t="shared" si="28"/>
        <v>-3</v>
      </c>
      <c r="Y31" s="304">
        <f t="shared" si="29"/>
        <v>3</v>
      </c>
      <c r="Z31" s="302" cm="1">
        <f t="array" ref="Z31">+INDEX(League!$BI$18:$CR$18,,MATCH(Calcs!A31,League!$BI$1:$CR$1,0))</f>
        <v>68</v>
      </c>
      <c r="AA31" s="302" cm="1">
        <f t="array" ref="AA31">+INDEX(League!$BI$27:$CR$27,,MATCH(Calcs!A31,League!$BI$1:$CR$1,0))</f>
        <v>-28</v>
      </c>
      <c r="AB31" s="302" cm="1">
        <f t="array" ref="AB31">+INDEX(League!$BI$36:$CR$36,,MATCH(Calcs!A31,League!$BI$1:$CR$1,0))</f>
        <v>76</v>
      </c>
      <c r="AD31" s="302">
        <f t="shared" si="30"/>
        <v>17</v>
      </c>
      <c r="AF31" s="302" t="str">
        <f t="shared" si="31"/>
        <v>Pos. 17 (2)</v>
      </c>
      <c r="AH31" s="302">
        <f t="shared" si="15"/>
        <v>-2</v>
      </c>
      <c r="AJ31" s="302">
        <f t="shared" si="16"/>
        <v>18</v>
      </c>
      <c r="AL31" s="302" t="str">
        <f t="shared" si="32"/>
        <v>-</v>
      </c>
      <c r="AN31" s="302" t="str">
        <f t="shared" si="17"/>
        <v>-</v>
      </c>
      <c r="AP31" s="302">
        <f t="shared" si="33"/>
        <v>18</v>
      </c>
      <c r="AR31" s="302" t="str">
        <f t="shared" si="34"/>
        <v>-</v>
      </c>
      <c r="AT31" s="302" t="str">
        <f t="shared" si="18"/>
        <v>-</v>
      </c>
      <c r="AV31" s="302">
        <f t="shared" si="35"/>
        <v>18</v>
      </c>
      <c r="AX31" s="302" t="str">
        <f t="shared" si="36"/>
        <v>-</v>
      </c>
      <c r="AZ31" s="302" t="str">
        <f t="shared" si="19"/>
        <v>-</v>
      </c>
      <c r="BB31" s="302">
        <f t="shared" si="37"/>
        <v>18</v>
      </c>
      <c r="BD31" s="302" t="str">
        <f t="shared" si="38"/>
        <v>-</v>
      </c>
      <c r="BF31" s="302" t="str">
        <f t="shared" si="20"/>
        <v>-</v>
      </c>
      <c r="BH31" s="302">
        <f t="shared" si="39"/>
        <v>18</v>
      </c>
      <c r="BJ31" s="302" t="str">
        <f t="shared" si="40"/>
        <v>-</v>
      </c>
      <c r="BL31" s="302" t="str">
        <f t="shared" si="41"/>
        <v>-</v>
      </c>
      <c r="BN31" s="302">
        <f t="shared" si="42"/>
        <v>18</v>
      </c>
      <c r="BP31" s="302" t="str">
        <f t="shared" si="43"/>
        <v>-</v>
      </c>
      <c r="BR31" s="302" t="str">
        <f t="shared" si="44"/>
        <v>-</v>
      </c>
      <c r="BT31" s="302">
        <f t="shared" si="45"/>
        <v>18</v>
      </c>
      <c r="BV31" s="302" t="str">
        <f t="shared" si="46"/>
        <v>-</v>
      </c>
      <c r="BX31" s="302" t="str">
        <f t="shared" si="47"/>
        <v>-</v>
      </c>
      <c r="BZ31" s="302">
        <f t="shared" si="48"/>
        <v>18</v>
      </c>
      <c r="CB31" s="302" t="str">
        <f t="shared" si="49"/>
        <v>-</v>
      </c>
      <c r="CD31" s="302" t="str">
        <f t="shared" si="21"/>
        <v>-</v>
      </c>
      <c r="CF31" s="302">
        <f t="shared" si="50"/>
        <v>18</v>
      </c>
      <c r="CH31" s="301">
        <f>IF(OR(INDEX(League!$AT$2:$AT$37,MATCH($A31,League!$AS$2:$AS$37,0))="",CB31="-"),CF31,INDEX(League!$AT$2:$AT$37,MATCH($A31,League!$AS$2:$AS$37,0))+ROW()/1000)</f>
        <v>18</v>
      </c>
      <c r="CI31" s="301" t="str">
        <f t="shared" si="51"/>
        <v>-</v>
      </c>
      <c r="CJ31" s="301">
        <f t="shared" si="52"/>
        <v>18</v>
      </c>
    </row>
    <row r="32" spans="1:88">
      <c r="A32" s="301" t="str">
        <f>TablaEquipos[[#This Row],[Team]]</f>
        <v>Real Madrid</v>
      </c>
      <c r="B32" s="302">
        <f t="shared" si="22"/>
        <v>7</v>
      </c>
      <c r="C32" s="302">
        <f t="shared" si="0"/>
        <v>5</v>
      </c>
      <c r="D32" s="302">
        <f t="shared" si="1"/>
        <v>0</v>
      </c>
      <c r="E32" s="302">
        <f t="shared" si="2"/>
        <v>2</v>
      </c>
      <c r="F32" s="302">
        <f t="shared" si="3"/>
        <v>19</v>
      </c>
      <c r="G32" s="302">
        <f t="shared" si="4"/>
        <v>8</v>
      </c>
      <c r="H32" s="302">
        <f t="shared" si="23"/>
        <v>11</v>
      </c>
      <c r="I32" s="302">
        <f>C32*3+D32*1+E32*0+INDEX(League!$BA$2:$BA$37,MATCH(Calcs!A32,League!$AZ$2:$AZ$37,0))</f>
        <v>15</v>
      </c>
      <c r="J32" s="303">
        <f t="shared" si="24"/>
        <v>4</v>
      </c>
      <c r="K32" s="302">
        <f t="shared" si="5"/>
        <v>3</v>
      </c>
      <c r="L32" s="302">
        <f t="shared" si="6"/>
        <v>0</v>
      </c>
      <c r="M32" s="302">
        <f t="shared" si="7"/>
        <v>1</v>
      </c>
      <c r="N32" s="302">
        <f t="shared" si="8"/>
        <v>10</v>
      </c>
      <c r="O32" s="302">
        <f t="shared" si="9"/>
        <v>4</v>
      </c>
      <c r="P32" s="302">
        <f t="shared" si="25"/>
        <v>6</v>
      </c>
      <c r="Q32" s="302">
        <f t="shared" si="26"/>
        <v>9</v>
      </c>
      <c r="R32" s="303">
        <f t="shared" si="27"/>
        <v>3</v>
      </c>
      <c r="S32" s="302">
        <f t="shared" si="10"/>
        <v>2</v>
      </c>
      <c r="T32" s="302">
        <f t="shared" si="11"/>
        <v>0</v>
      </c>
      <c r="U32" s="302">
        <f t="shared" si="12"/>
        <v>1</v>
      </c>
      <c r="V32" s="302">
        <f t="shared" si="13"/>
        <v>9</v>
      </c>
      <c r="W32" s="302">
        <f t="shared" si="14"/>
        <v>4</v>
      </c>
      <c r="X32" s="302">
        <f t="shared" si="28"/>
        <v>5</v>
      </c>
      <c r="Y32" s="304">
        <f t="shared" si="29"/>
        <v>6</v>
      </c>
      <c r="Z32" s="302" cm="1">
        <f t="array" ref="Z32">+INDEX(League!$BI$18:$CR$18,,MATCH(Calcs!A32,League!$BI$1:$CR$1,0))</f>
        <v>73</v>
      </c>
      <c r="AA32" s="302" cm="1">
        <f t="array" ref="AA32">+INDEX(League!$BI$27:$CR$27,,MATCH(Calcs!A32,League!$BI$1:$CR$1,0))</f>
        <v>-15</v>
      </c>
      <c r="AB32" s="302" cm="1">
        <f t="array" ref="AB32">+INDEX(League!$BI$36:$CR$36,,MATCH(Calcs!A32,League!$BI$1:$CR$1,0))</f>
        <v>79</v>
      </c>
      <c r="AD32" s="302">
        <f t="shared" si="30"/>
        <v>3</v>
      </c>
      <c r="AF32" s="302" t="str">
        <f t="shared" si="31"/>
        <v>Pos. 3 (2)</v>
      </c>
      <c r="AH32" s="302">
        <f t="shared" si="15"/>
        <v>11</v>
      </c>
      <c r="AJ32" s="302">
        <f t="shared" si="16"/>
        <v>3</v>
      </c>
      <c r="AL32" s="302" t="str">
        <f t="shared" si="32"/>
        <v>-</v>
      </c>
      <c r="AN32" s="302" t="str">
        <f t="shared" si="17"/>
        <v>-</v>
      </c>
      <c r="AP32" s="302">
        <f t="shared" si="33"/>
        <v>3</v>
      </c>
      <c r="AR32" s="302" t="str">
        <f t="shared" si="34"/>
        <v>-</v>
      </c>
      <c r="AT32" s="302" t="str">
        <f t="shared" si="18"/>
        <v>-</v>
      </c>
      <c r="AV32" s="302">
        <f t="shared" si="35"/>
        <v>3</v>
      </c>
      <c r="AX32" s="302" t="str">
        <f t="shared" si="36"/>
        <v>-</v>
      </c>
      <c r="AZ32" s="302" t="str">
        <f t="shared" si="19"/>
        <v>-</v>
      </c>
      <c r="BB32" s="302">
        <f t="shared" si="37"/>
        <v>3</v>
      </c>
      <c r="BD32" s="302" t="str">
        <f t="shared" si="38"/>
        <v>-</v>
      </c>
      <c r="BF32" s="302" t="str">
        <f t="shared" si="20"/>
        <v>-</v>
      </c>
      <c r="BH32" s="302">
        <f t="shared" si="39"/>
        <v>3</v>
      </c>
      <c r="BJ32" s="302" t="str">
        <f t="shared" si="40"/>
        <v>-</v>
      </c>
      <c r="BL32" s="302" t="str">
        <f t="shared" si="41"/>
        <v>-</v>
      </c>
      <c r="BN32" s="302">
        <f t="shared" si="42"/>
        <v>3</v>
      </c>
      <c r="BP32" s="302" t="str">
        <f t="shared" si="43"/>
        <v>-</v>
      </c>
      <c r="BR32" s="302" t="str">
        <f t="shared" si="44"/>
        <v>-</v>
      </c>
      <c r="BT32" s="302">
        <f t="shared" si="45"/>
        <v>3</v>
      </c>
      <c r="BV32" s="302" t="str">
        <f t="shared" si="46"/>
        <v>-</v>
      </c>
      <c r="BX32" s="302" t="str">
        <f t="shared" si="47"/>
        <v>-</v>
      </c>
      <c r="BZ32" s="302">
        <f t="shared" si="48"/>
        <v>3</v>
      </c>
      <c r="CB32" s="302" t="str">
        <f t="shared" si="49"/>
        <v>-</v>
      </c>
      <c r="CD32" s="302" t="str">
        <f t="shared" si="21"/>
        <v>-</v>
      </c>
      <c r="CF32" s="302">
        <f t="shared" si="50"/>
        <v>3</v>
      </c>
      <c r="CH32" s="301">
        <f>IF(OR(INDEX(League!$AT$2:$AT$37,MATCH($A32,League!$AS$2:$AS$37,0))="",CB32="-"),CF32,INDEX(League!$AT$2:$AT$37,MATCH($A32,League!$AS$2:$AS$37,0))+ROW()/1000)</f>
        <v>3</v>
      </c>
      <c r="CI32" s="301" t="str">
        <f t="shared" si="51"/>
        <v>-</v>
      </c>
      <c r="CJ32" s="301">
        <f t="shared" si="52"/>
        <v>3</v>
      </c>
    </row>
    <row r="33" spans="1:88">
      <c r="A33" s="301" t="str">
        <f>TablaEquipos[[#This Row],[Team]]</f>
        <v>Slavia Praha</v>
      </c>
      <c r="B33" s="302">
        <f t="shared" si="22"/>
        <v>7</v>
      </c>
      <c r="C33" s="302">
        <f t="shared" si="0"/>
        <v>0</v>
      </c>
      <c r="D33" s="302">
        <f t="shared" si="1"/>
        <v>3</v>
      </c>
      <c r="E33" s="302">
        <f t="shared" si="2"/>
        <v>4</v>
      </c>
      <c r="F33" s="302">
        <f t="shared" si="3"/>
        <v>4</v>
      </c>
      <c r="G33" s="302">
        <f t="shared" si="4"/>
        <v>15</v>
      </c>
      <c r="H33" s="302">
        <f t="shared" si="23"/>
        <v>-11</v>
      </c>
      <c r="I33" s="302">
        <f>C33*3+D33*1+E33*0+INDEX(League!$BA$2:$BA$37,MATCH(Calcs!A33,League!$AZ$2:$AZ$37,0))</f>
        <v>3</v>
      </c>
      <c r="J33" s="303">
        <f t="shared" si="24"/>
        <v>4</v>
      </c>
      <c r="K33" s="302">
        <f t="shared" si="5"/>
        <v>0</v>
      </c>
      <c r="L33" s="302">
        <f t="shared" si="6"/>
        <v>2</v>
      </c>
      <c r="M33" s="302">
        <f t="shared" si="7"/>
        <v>2</v>
      </c>
      <c r="N33" s="302">
        <f t="shared" si="8"/>
        <v>4</v>
      </c>
      <c r="O33" s="302">
        <f t="shared" si="9"/>
        <v>9</v>
      </c>
      <c r="P33" s="302">
        <f t="shared" si="25"/>
        <v>-5</v>
      </c>
      <c r="Q33" s="302">
        <f t="shared" si="26"/>
        <v>2</v>
      </c>
      <c r="R33" s="303">
        <f t="shared" si="27"/>
        <v>3</v>
      </c>
      <c r="S33" s="302">
        <f t="shared" si="10"/>
        <v>0</v>
      </c>
      <c r="T33" s="302">
        <f t="shared" si="11"/>
        <v>1</v>
      </c>
      <c r="U33" s="302">
        <f t="shared" si="12"/>
        <v>2</v>
      </c>
      <c r="V33" s="302">
        <f t="shared" si="13"/>
        <v>0</v>
      </c>
      <c r="W33" s="302">
        <f t="shared" si="14"/>
        <v>6</v>
      </c>
      <c r="X33" s="302">
        <f t="shared" si="28"/>
        <v>-6</v>
      </c>
      <c r="Y33" s="304">
        <f t="shared" si="29"/>
        <v>1</v>
      </c>
      <c r="Z33" s="302" cm="1">
        <f t="array" ref="Z33">+INDEX(League!$BI$18:$CR$18,,MATCH(Calcs!A33,League!$BI$1:$CR$1,0))</f>
        <v>93</v>
      </c>
      <c r="AA33" s="302" cm="1">
        <f t="array" ref="AA33">+INDEX(League!$BI$27:$CR$27,,MATCH(Calcs!A33,League!$BI$1:$CR$1,0))</f>
        <v>26</v>
      </c>
      <c r="AB33" s="302" cm="1">
        <f t="array" ref="AB33">+INDEX(League!$BI$36:$CR$36,,MATCH(Calcs!A33,League!$BI$1:$CR$1,0))</f>
        <v>99</v>
      </c>
      <c r="AD33" s="302">
        <f t="shared" si="30"/>
        <v>34</v>
      </c>
      <c r="AF33" s="302" t="str">
        <f t="shared" si="31"/>
        <v>-</v>
      </c>
      <c r="AH33" s="302" t="str">
        <f t="shared" si="15"/>
        <v>-</v>
      </c>
      <c r="AJ33" s="302">
        <f t="shared" si="16"/>
        <v>34</v>
      </c>
      <c r="AL33" s="302" t="str">
        <f t="shared" si="32"/>
        <v>-</v>
      </c>
      <c r="AN33" s="302" t="str">
        <f t="shared" si="17"/>
        <v>-</v>
      </c>
      <c r="AP33" s="302">
        <f t="shared" si="33"/>
        <v>34</v>
      </c>
      <c r="AR33" s="302" t="str">
        <f t="shared" si="34"/>
        <v>-</v>
      </c>
      <c r="AT33" s="302" t="str">
        <f t="shared" si="18"/>
        <v>-</v>
      </c>
      <c r="AV33" s="302">
        <f t="shared" si="35"/>
        <v>34</v>
      </c>
      <c r="AX33" s="302" t="str">
        <f t="shared" si="36"/>
        <v>-</v>
      </c>
      <c r="AZ33" s="302" t="str">
        <f t="shared" si="19"/>
        <v>-</v>
      </c>
      <c r="BB33" s="302">
        <f t="shared" si="37"/>
        <v>34</v>
      </c>
      <c r="BD33" s="302" t="str">
        <f t="shared" si="38"/>
        <v>-</v>
      </c>
      <c r="BF33" s="302" t="str">
        <f t="shared" si="20"/>
        <v>-</v>
      </c>
      <c r="BH33" s="302">
        <f t="shared" si="39"/>
        <v>34</v>
      </c>
      <c r="BJ33" s="302" t="str">
        <f t="shared" si="40"/>
        <v>-</v>
      </c>
      <c r="BL33" s="302" t="str">
        <f t="shared" si="41"/>
        <v>-</v>
      </c>
      <c r="BN33" s="302">
        <f t="shared" si="42"/>
        <v>34</v>
      </c>
      <c r="BP33" s="302" t="str">
        <f t="shared" si="43"/>
        <v>-</v>
      </c>
      <c r="BR33" s="302" t="str">
        <f t="shared" si="44"/>
        <v>-</v>
      </c>
      <c r="BT33" s="302">
        <f t="shared" si="45"/>
        <v>34</v>
      </c>
      <c r="BV33" s="302" t="str">
        <f t="shared" si="46"/>
        <v>-</v>
      </c>
      <c r="BX33" s="302" t="str">
        <f t="shared" si="47"/>
        <v>-</v>
      </c>
      <c r="BZ33" s="302">
        <f t="shared" si="48"/>
        <v>34</v>
      </c>
      <c r="CB33" s="302" t="str">
        <f t="shared" si="49"/>
        <v>-</v>
      </c>
      <c r="CD33" s="302" t="str">
        <f t="shared" si="21"/>
        <v>-</v>
      </c>
      <c r="CF33" s="302">
        <f t="shared" si="50"/>
        <v>34</v>
      </c>
      <c r="CH33" s="301">
        <f>IF(OR(INDEX(League!$AT$2:$AT$37,MATCH($A33,League!$AS$2:$AS$37,0))="",CB33="-"),CF33,INDEX(League!$AT$2:$AT$37,MATCH($A33,League!$AS$2:$AS$37,0))+ROW()/1000)</f>
        <v>34</v>
      </c>
      <c r="CI33" s="301" t="str">
        <f t="shared" si="51"/>
        <v>-</v>
      </c>
      <c r="CJ33" s="301">
        <f t="shared" si="52"/>
        <v>34</v>
      </c>
    </row>
    <row r="34" spans="1:88">
      <c r="A34" s="301" t="str">
        <f>TablaEquipos[[#This Row],[Team]]</f>
        <v>Sporting Portugal</v>
      </c>
      <c r="B34" s="302">
        <f t="shared" si="22"/>
        <v>7</v>
      </c>
      <c r="C34" s="302">
        <f t="shared" si="0"/>
        <v>4</v>
      </c>
      <c r="D34" s="302">
        <f t="shared" si="1"/>
        <v>1</v>
      </c>
      <c r="E34" s="302">
        <f t="shared" si="2"/>
        <v>2</v>
      </c>
      <c r="F34" s="302">
        <f t="shared" si="3"/>
        <v>14</v>
      </c>
      <c r="G34" s="302">
        <f t="shared" si="4"/>
        <v>9</v>
      </c>
      <c r="H34" s="302">
        <f t="shared" si="23"/>
        <v>5</v>
      </c>
      <c r="I34" s="302">
        <f>C34*3+D34*1+E34*0+INDEX(League!$BA$2:$BA$37,MATCH(Calcs!A34,League!$AZ$2:$AZ$37,0))</f>
        <v>13</v>
      </c>
      <c r="J34" s="303">
        <f t="shared" si="24"/>
        <v>4</v>
      </c>
      <c r="K34" s="302">
        <f t="shared" si="5"/>
        <v>4</v>
      </c>
      <c r="L34" s="302">
        <f t="shared" si="6"/>
        <v>0</v>
      </c>
      <c r="M34" s="302">
        <f t="shared" si="7"/>
        <v>0</v>
      </c>
      <c r="N34" s="302">
        <f t="shared" si="8"/>
        <v>11</v>
      </c>
      <c r="O34" s="302">
        <f t="shared" si="9"/>
        <v>3</v>
      </c>
      <c r="P34" s="302">
        <f t="shared" si="25"/>
        <v>8</v>
      </c>
      <c r="Q34" s="302">
        <f t="shared" si="26"/>
        <v>12</v>
      </c>
      <c r="R34" s="303">
        <f t="shared" si="27"/>
        <v>3</v>
      </c>
      <c r="S34" s="302">
        <f t="shared" si="10"/>
        <v>0</v>
      </c>
      <c r="T34" s="302">
        <f t="shared" si="11"/>
        <v>1</v>
      </c>
      <c r="U34" s="302">
        <f t="shared" si="12"/>
        <v>2</v>
      </c>
      <c r="V34" s="302">
        <f t="shared" si="13"/>
        <v>3</v>
      </c>
      <c r="W34" s="302">
        <f t="shared" si="14"/>
        <v>6</v>
      </c>
      <c r="X34" s="302">
        <f t="shared" si="28"/>
        <v>-3</v>
      </c>
      <c r="Y34" s="304">
        <f t="shared" si="29"/>
        <v>1</v>
      </c>
      <c r="Z34" s="302" cm="1">
        <f t="array" ref="Z34">+INDEX(League!$BI$18:$CR$18,,MATCH(Calcs!A34,League!$BI$1:$CR$1,0))</f>
        <v>76</v>
      </c>
      <c r="AA34" s="302" cm="1">
        <f t="array" ref="AA34">+INDEX(League!$BI$27:$CR$27,,MATCH(Calcs!A34,League!$BI$1:$CR$1,0))</f>
        <v>-1</v>
      </c>
      <c r="AB34" s="302" cm="1">
        <f t="array" ref="AB34">+INDEX(League!$BI$36:$CR$36,,MATCH(Calcs!A34,League!$BI$1:$CR$1,0))</f>
        <v>96</v>
      </c>
      <c r="AD34" s="302">
        <f t="shared" si="30"/>
        <v>6</v>
      </c>
      <c r="AF34" s="302" t="str">
        <f t="shared" si="31"/>
        <v>Pos. 6 (8)</v>
      </c>
      <c r="AH34" s="302">
        <f t="shared" si="15"/>
        <v>5</v>
      </c>
      <c r="AJ34" s="302">
        <f t="shared" si="16"/>
        <v>9</v>
      </c>
      <c r="AL34" s="302" t="str">
        <f t="shared" si="32"/>
        <v>Pos. 9 (2)</v>
      </c>
      <c r="AN34" s="302">
        <f t="shared" si="17"/>
        <v>14</v>
      </c>
      <c r="AP34" s="302">
        <f t="shared" si="33"/>
        <v>10</v>
      </c>
      <c r="AR34" s="302" t="str">
        <f t="shared" si="34"/>
        <v>-</v>
      </c>
      <c r="AT34" s="302" t="str">
        <f t="shared" si="18"/>
        <v>-</v>
      </c>
      <c r="AV34" s="302">
        <f t="shared" si="35"/>
        <v>10</v>
      </c>
      <c r="AX34" s="302" t="str">
        <f t="shared" si="36"/>
        <v>-</v>
      </c>
      <c r="AZ34" s="302" t="str">
        <f t="shared" si="19"/>
        <v>-</v>
      </c>
      <c r="BB34" s="302">
        <f t="shared" si="37"/>
        <v>10</v>
      </c>
      <c r="BD34" s="302" t="str">
        <f t="shared" si="38"/>
        <v>-</v>
      </c>
      <c r="BF34" s="302" t="str">
        <f t="shared" si="20"/>
        <v>-</v>
      </c>
      <c r="BH34" s="302">
        <f t="shared" si="39"/>
        <v>10</v>
      </c>
      <c r="BJ34" s="302" t="str">
        <f t="shared" si="40"/>
        <v>-</v>
      </c>
      <c r="BL34" s="302" t="str">
        <f t="shared" si="41"/>
        <v>-</v>
      </c>
      <c r="BN34" s="302">
        <f t="shared" si="42"/>
        <v>10</v>
      </c>
      <c r="BP34" s="302" t="str">
        <f t="shared" si="43"/>
        <v>-</v>
      </c>
      <c r="BR34" s="302" t="str">
        <f t="shared" si="44"/>
        <v>-</v>
      </c>
      <c r="BT34" s="302">
        <f t="shared" si="45"/>
        <v>10</v>
      </c>
      <c r="BV34" s="302" t="str">
        <f t="shared" si="46"/>
        <v>-</v>
      </c>
      <c r="BX34" s="302" t="str">
        <f t="shared" si="47"/>
        <v>-</v>
      </c>
      <c r="BZ34" s="302">
        <f t="shared" si="48"/>
        <v>10</v>
      </c>
      <c r="CB34" s="302" t="str">
        <f t="shared" si="49"/>
        <v>-</v>
      </c>
      <c r="CD34" s="302" t="str">
        <f t="shared" si="21"/>
        <v>-</v>
      </c>
      <c r="CF34" s="302">
        <f t="shared" si="50"/>
        <v>10</v>
      </c>
      <c r="CH34" s="301">
        <f>IF(OR(INDEX(League!$AT$2:$AT$37,MATCH($A34,League!$AS$2:$AS$37,0))="",CB34="-"),CF34,INDEX(League!$AT$2:$AT$37,MATCH($A34,League!$AS$2:$AS$37,0))+ROW()/1000)</f>
        <v>10</v>
      </c>
      <c r="CI34" s="301" t="str">
        <f t="shared" si="51"/>
        <v>-</v>
      </c>
      <c r="CJ34" s="301">
        <f t="shared" si="52"/>
        <v>10</v>
      </c>
    </row>
    <row r="35" spans="1:88">
      <c r="A35" s="301" t="str">
        <f>TablaEquipos[[#This Row],[Team]]</f>
        <v>Tottenham</v>
      </c>
      <c r="B35" s="302">
        <f t="shared" si="22"/>
        <v>7</v>
      </c>
      <c r="C35" s="302">
        <f t="shared" si="0"/>
        <v>4</v>
      </c>
      <c r="D35" s="302">
        <f t="shared" si="1"/>
        <v>2</v>
      </c>
      <c r="E35" s="302">
        <f t="shared" si="2"/>
        <v>1</v>
      </c>
      <c r="F35" s="302">
        <f t="shared" si="3"/>
        <v>15</v>
      </c>
      <c r="G35" s="302">
        <f t="shared" si="4"/>
        <v>7</v>
      </c>
      <c r="H35" s="302">
        <f t="shared" si="23"/>
        <v>8</v>
      </c>
      <c r="I35" s="302">
        <f>C35*3+D35*1+E35*0+INDEX(League!$BA$2:$BA$37,MATCH(Calcs!A35,League!$AZ$2:$AZ$37,0))</f>
        <v>14</v>
      </c>
      <c r="J35" s="303">
        <f t="shared" si="24"/>
        <v>4</v>
      </c>
      <c r="K35" s="302">
        <f t="shared" si="5"/>
        <v>4</v>
      </c>
      <c r="L35" s="302">
        <f t="shared" si="6"/>
        <v>0</v>
      </c>
      <c r="M35" s="302">
        <f t="shared" si="7"/>
        <v>0</v>
      </c>
      <c r="N35" s="302">
        <f t="shared" si="8"/>
        <v>10</v>
      </c>
      <c r="O35" s="302">
        <f t="shared" si="9"/>
        <v>0</v>
      </c>
      <c r="P35" s="302">
        <f t="shared" si="25"/>
        <v>10</v>
      </c>
      <c r="Q35" s="302">
        <f t="shared" si="26"/>
        <v>12</v>
      </c>
      <c r="R35" s="303">
        <f t="shared" si="27"/>
        <v>3</v>
      </c>
      <c r="S35" s="302">
        <f t="shared" si="10"/>
        <v>0</v>
      </c>
      <c r="T35" s="302">
        <f t="shared" si="11"/>
        <v>2</v>
      </c>
      <c r="U35" s="302">
        <f t="shared" si="12"/>
        <v>1</v>
      </c>
      <c r="V35" s="302">
        <f t="shared" si="13"/>
        <v>5</v>
      </c>
      <c r="W35" s="302">
        <f t="shared" si="14"/>
        <v>7</v>
      </c>
      <c r="X35" s="302">
        <f t="shared" si="28"/>
        <v>-2</v>
      </c>
      <c r="Y35" s="304">
        <f t="shared" si="29"/>
        <v>2</v>
      </c>
      <c r="Z35" s="302" cm="1">
        <f t="array" ref="Z35">+INDEX(League!$BI$18:$CR$18,,MATCH(Calcs!A35,League!$BI$1:$CR$1,0))</f>
        <v>55</v>
      </c>
      <c r="AA35" s="302" cm="1">
        <f t="array" ref="AA35">+INDEX(League!$BI$27:$CR$27,,MATCH(Calcs!A35,League!$BI$1:$CR$1,0))</f>
        <v>-30</v>
      </c>
      <c r="AB35" s="302" cm="1">
        <f t="array" ref="AB35">+INDEX(League!$BI$36:$CR$36,,MATCH(Calcs!A35,League!$BI$1:$CR$1,0))</f>
        <v>89</v>
      </c>
      <c r="AD35" s="302">
        <f t="shared" si="30"/>
        <v>5</v>
      </c>
      <c r="AF35" s="302" t="str">
        <f t="shared" si="31"/>
        <v>-</v>
      </c>
      <c r="AH35" s="302" t="str">
        <f t="shared" si="15"/>
        <v>-</v>
      </c>
      <c r="AJ35" s="302">
        <f t="shared" si="16"/>
        <v>5</v>
      </c>
      <c r="AL35" s="302" t="str">
        <f t="shared" si="32"/>
        <v>-</v>
      </c>
      <c r="AN35" s="302" t="str">
        <f t="shared" si="17"/>
        <v>-</v>
      </c>
      <c r="AP35" s="302">
        <f t="shared" si="33"/>
        <v>5</v>
      </c>
      <c r="AR35" s="302" t="str">
        <f t="shared" si="34"/>
        <v>-</v>
      </c>
      <c r="AT35" s="302" t="str">
        <f t="shared" si="18"/>
        <v>-</v>
      </c>
      <c r="AV35" s="302">
        <f t="shared" si="35"/>
        <v>5</v>
      </c>
      <c r="AX35" s="302" t="str">
        <f t="shared" si="36"/>
        <v>-</v>
      </c>
      <c r="AZ35" s="302" t="str">
        <f t="shared" si="19"/>
        <v>-</v>
      </c>
      <c r="BB35" s="302">
        <f t="shared" si="37"/>
        <v>5</v>
      </c>
      <c r="BD35" s="302" t="str">
        <f t="shared" si="38"/>
        <v>-</v>
      </c>
      <c r="BF35" s="302" t="str">
        <f t="shared" si="20"/>
        <v>-</v>
      </c>
      <c r="BH35" s="302">
        <f t="shared" si="39"/>
        <v>5</v>
      </c>
      <c r="BJ35" s="302" t="str">
        <f t="shared" si="40"/>
        <v>-</v>
      </c>
      <c r="BL35" s="302" t="str">
        <f t="shared" si="41"/>
        <v>-</v>
      </c>
      <c r="BN35" s="302">
        <f t="shared" si="42"/>
        <v>5</v>
      </c>
      <c r="BP35" s="302" t="str">
        <f t="shared" si="43"/>
        <v>-</v>
      </c>
      <c r="BR35" s="302" t="str">
        <f t="shared" si="44"/>
        <v>-</v>
      </c>
      <c r="BT35" s="302">
        <f t="shared" si="45"/>
        <v>5</v>
      </c>
      <c r="BV35" s="302" t="str">
        <f t="shared" si="46"/>
        <v>-</v>
      </c>
      <c r="BX35" s="302" t="str">
        <f t="shared" si="47"/>
        <v>-</v>
      </c>
      <c r="BZ35" s="302">
        <f t="shared" si="48"/>
        <v>5</v>
      </c>
      <c r="CB35" s="302" t="str">
        <f t="shared" si="49"/>
        <v>-</v>
      </c>
      <c r="CD35" s="302" t="str">
        <f t="shared" si="21"/>
        <v>-</v>
      </c>
      <c r="CF35" s="302">
        <f t="shared" si="50"/>
        <v>5</v>
      </c>
      <c r="CH35" s="301">
        <f>IF(OR(INDEX(League!$AT$2:$AT$37,MATCH($A35,League!$AS$2:$AS$37,0))="",CB35="-"),CF35,INDEX(League!$AT$2:$AT$37,MATCH($A35,League!$AS$2:$AS$37,0))+ROW()/1000)</f>
        <v>5</v>
      </c>
      <c r="CI35" s="301" t="str">
        <f t="shared" si="51"/>
        <v>-</v>
      </c>
      <c r="CJ35" s="301">
        <f t="shared" si="52"/>
        <v>5</v>
      </c>
    </row>
    <row r="36" spans="1:88">
      <c r="A36" s="301" t="str">
        <f>TablaEquipos[[#This Row],[Team]]</f>
        <v>Union Saint-Gilloise</v>
      </c>
      <c r="B36" s="302">
        <f t="shared" si="22"/>
        <v>7</v>
      </c>
      <c r="C36" s="302">
        <f t="shared" si="0"/>
        <v>2</v>
      </c>
      <c r="D36" s="302">
        <f t="shared" si="1"/>
        <v>0</v>
      </c>
      <c r="E36" s="302">
        <f t="shared" si="2"/>
        <v>5</v>
      </c>
      <c r="F36" s="302">
        <f t="shared" si="3"/>
        <v>7</v>
      </c>
      <c r="G36" s="302">
        <f t="shared" si="4"/>
        <v>17</v>
      </c>
      <c r="H36" s="302">
        <f t="shared" si="23"/>
        <v>-10</v>
      </c>
      <c r="I36" s="302">
        <f>C36*3+D36*1+E36*0+INDEX(League!$BA$2:$BA$37,MATCH(Calcs!A36,League!$AZ$2:$AZ$37,0))</f>
        <v>6</v>
      </c>
      <c r="J36" s="303">
        <f t="shared" si="24"/>
        <v>3</v>
      </c>
      <c r="K36" s="302">
        <f t="shared" si="5"/>
        <v>0</v>
      </c>
      <c r="L36" s="302">
        <f t="shared" si="6"/>
        <v>0</v>
      </c>
      <c r="M36" s="302">
        <f t="shared" si="7"/>
        <v>3</v>
      </c>
      <c r="N36" s="302">
        <f t="shared" si="8"/>
        <v>2</v>
      </c>
      <c r="O36" s="302">
        <f t="shared" si="9"/>
        <v>11</v>
      </c>
      <c r="P36" s="302">
        <f t="shared" si="25"/>
        <v>-9</v>
      </c>
      <c r="Q36" s="302">
        <f t="shared" si="26"/>
        <v>0</v>
      </c>
      <c r="R36" s="303">
        <f t="shared" si="27"/>
        <v>4</v>
      </c>
      <c r="S36" s="302">
        <f t="shared" si="10"/>
        <v>2</v>
      </c>
      <c r="T36" s="302">
        <f t="shared" si="11"/>
        <v>0</v>
      </c>
      <c r="U36" s="302">
        <f t="shared" si="12"/>
        <v>2</v>
      </c>
      <c r="V36" s="302">
        <f t="shared" si="13"/>
        <v>5</v>
      </c>
      <c r="W36" s="302">
        <f t="shared" si="14"/>
        <v>6</v>
      </c>
      <c r="X36" s="302">
        <f t="shared" si="28"/>
        <v>-1</v>
      </c>
      <c r="Y36" s="304">
        <f t="shared" si="29"/>
        <v>6</v>
      </c>
      <c r="Z36" s="302" cm="1">
        <f t="array" ref="Z36">+INDEX(League!$BI$18:$CR$18,,MATCH(Calcs!A36,League!$BI$1:$CR$1,0))</f>
        <v>96</v>
      </c>
      <c r="AA36" s="302" cm="1">
        <f t="array" ref="AA36">+INDEX(League!$BI$27:$CR$27,,MATCH(Calcs!A36,League!$BI$1:$CR$1,0))</f>
        <v>34</v>
      </c>
      <c r="AB36" s="302" cm="1">
        <f t="array" ref="AB36">+INDEX(League!$BI$36:$CR$36,,MATCH(Calcs!A36,League!$BI$1:$CR$1,0))</f>
        <v>110</v>
      </c>
      <c r="AD36" s="302">
        <f t="shared" si="30"/>
        <v>28</v>
      </c>
      <c r="AF36" s="302" t="str">
        <f t="shared" si="31"/>
        <v>Pos. 28 (5)</v>
      </c>
      <c r="AH36" s="302">
        <f t="shared" si="15"/>
        <v>-10</v>
      </c>
      <c r="AJ36" s="302">
        <f t="shared" si="16"/>
        <v>31</v>
      </c>
      <c r="AL36" s="302" t="str">
        <f t="shared" si="32"/>
        <v>-</v>
      </c>
      <c r="AN36" s="302" t="str">
        <f t="shared" si="17"/>
        <v>-</v>
      </c>
      <c r="AP36" s="302">
        <f t="shared" si="33"/>
        <v>31</v>
      </c>
      <c r="AR36" s="302" t="str">
        <f t="shared" si="34"/>
        <v>-</v>
      </c>
      <c r="AT36" s="302" t="str">
        <f t="shared" si="18"/>
        <v>-</v>
      </c>
      <c r="AV36" s="302">
        <f t="shared" si="35"/>
        <v>31</v>
      </c>
      <c r="AX36" s="302" t="str">
        <f t="shared" si="36"/>
        <v>-</v>
      </c>
      <c r="AZ36" s="302" t="str">
        <f t="shared" si="19"/>
        <v>-</v>
      </c>
      <c r="BB36" s="302">
        <f t="shared" si="37"/>
        <v>31</v>
      </c>
      <c r="BD36" s="302" t="str">
        <f t="shared" si="38"/>
        <v>-</v>
      </c>
      <c r="BF36" s="302" t="str">
        <f t="shared" si="20"/>
        <v>-</v>
      </c>
      <c r="BH36" s="302">
        <f t="shared" si="39"/>
        <v>31</v>
      </c>
      <c r="BJ36" s="302" t="str">
        <f t="shared" si="40"/>
        <v>-</v>
      </c>
      <c r="BL36" s="302" t="str">
        <f t="shared" si="41"/>
        <v>-</v>
      </c>
      <c r="BN36" s="302">
        <f t="shared" si="42"/>
        <v>31</v>
      </c>
      <c r="BP36" s="302" t="str">
        <f t="shared" si="43"/>
        <v>-</v>
      </c>
      <c r="BR36" s="302" t="str">
        <f t="shared" si="44"/>
        <v>-</v>
      </c>
      <c r="BT36" s="302">
        <f t="shared" si="45"/>
        <v>31</v>
      </c>
      <c r="BV36" s="302" t="str">
        <f t="shared" si="46"/>
        <v>-</v>
      </c>
      <c r="BX36" s="302" t="str">
        <f t="shared" si="47"/>
        <v>-</v>
      </c>
      <c r="BZ36" s="302">
        <f t="shared" si="48"/>
        <v>31</v>
      </c>
      <c r="CB36" s="302" t="str">
        <f t="shared" si="49"/>
        <v>-</v>
      </c>
      <c r="CD36" s="302" t="str">
        <f t="shared" si="21"/>
        <v>-</v>
      </c>
      <c r="CF36" s="302">
        <f t="shared" si="50"/>
        <v>31</v>
      </c>
      <c r="CH36" s="301">
        <f>IF(OR(INDEX(League!$AT$2:$AT$37,MATCH($A36,League!$AS$2:$AS$37,0))="",CB36="-"),CF36,INDEX(League!$AT$2:$AT$37,MATCH($A36,League!$AS$2:$AS$37,0))+ROW()/1000)</f>
        <v>31</v>
      </c>
      <c r="CI36" s="301" t="str">
        <f t="shared" si="51"/>
        <v>-</v>
      </c>
      <c r="CJ36" s="301">
        <f t="shared" si="52"/>
        <v>31</v>
      </c>
    </row>
    <row r="37" spans="1:88">
      <c r="A37" s="301" t="str">
        <f>TablaEquipos[[#This Row],[Team]]</f>
        <v>Villarreal</v>
      </c>
      <c r="B37" s="302">
        <f t="shared" si="22"/>
        <v>7</v>
      </c>
      <c r="C37" s="302">
        <f t="shared" si="0"/>
        <v>0</v>
      </c>
      <c r="D37" s="302">
        <f t="shared" si="1"/>
        <v>1</v>
      </c>
      <c r="E37" s="302">
        <f t="shared" si="2"/>
        <v>6</v>
      </c>
      <c r="F37" s="302">
        <f t="shared" si="3"/>
        <v>5</v>
      </c>
      <c r="G37" s="302">
        <f t="shared" si="4"/>
        <v>15</v>
      </c>
      <c r="H37" s="302">
        <f t="shared" si="23"/>
        <v>-10</v>
      </c>
      <c r="I37" s="302">
        <f>C37*3+D37*1+E37*0+INDEX(League!$BA$2:$BA$37,MATCH(Calcs!A37,League!$AZ$2:$AZ$37,0))</f>
        <v>1</v>
      </c>
      <c r="J37" s="303">
        <f t="shared" si="24"/>
        <v>4</v>
      </c>
      <c r="K37" s="302">
        <f t="shared" si="5"/>
        <v>0</v>
      </c>
      <c r="L37" s="302">
        <f t="shared" si="6"/>
        <v>1</v>
      </c>
      <c r="M37" s="302">
        <f t="shared" si="7"/>
        <v>3</v>
      </c>
      <c r="N37" s="302">
        <f t="shared" si="8"/>
        <v>5</v>
      </c>
      <c r="O37" s="302">
        <f t="shared" si="9"/>
        <v>9</v>
      </c>
      <c r="P37" s="302">
        <f t="shared" si="25"/>
        <v>-4</v>
      </c>
      <c r="Q37" s="302">
        <f t="shared" si="26"/>
        <v>1</v>
      </c>
      <c r="R37" s="303">
        <f t="shared" si="27"/>
        <v>3</v>
      </c>
      <c r="S37" s="302">
        <f t="shared" si="10"/>
        <v>0</v>
      </c>
      <c r="T37" s="302">
        <f t="shared" si="11"/>
        <v>0</v>
      </c>
      <c r="U37" s="302">
        <f t="shared" si="12"/>
        <v>3</v>
      </c>
      <c r="V37" s="302">
        <f t="shared" si="13"/>
        <v>0</v>
      </c>
      <c r="W37" s="302">
        <f t="shared" si="14"/>
        <v>6</v>
      </c>
      <c r="X37" s="302">
        <f t="shared" si="28"/>
        <v>-6</v>
      </c>
      <c r="Y37" s="304">
        <f t="shared" si="29"/>
        <v>0</v>
      </c>
      <c r="Z37" s="302" cm="1">
        <f t="array" ref="Z37">+INDEX(League!$BI$18:$CR$18,,MATCH(Calcs!A37,League!$BI$1:$CR$1,0))</f>
        <v>79</v>
      </c>
      <c r="AA37" s="302" cm="1">
        <f t="array" ref="AA37">+INDEX(League!$BI$27:$CR$27,,MATCH(Calcs!A37,League!$BI$1:$CR$1,0))</f>
        <v>-8</v>
      </c>
      <c r="AB37" s="302" cm="1">
        <f t="array" ref="AB37">+INDEX(League!$BI$36:$CR$36,,MATCH(Calcs!A37,League!$BI$1:$CR$1,0))</f>
        <v>93</v>
      </c>
      <c r="AD37" s="302">
        <f t="shared" si="30"/>
        <v>35</v>
      </c>
      <c r="AF37" s="302" t="str">
        <f t="shared" si="31"/>
        <v>Pos. 35 (2)</v>
      </c>
      <c r="AH37" s="302">
        <f t="shared" si="15"/>
        <v>-10</v>
      </c>
      <c r="AJ37" s="302">
        <f t="shared" si="16"/>
        <v>35</v>
      </c>
      <c r="AL37" s="302" t="str">
        <f t="shared" si="32"/>
        <v>-</v>
      </c>
      <c r="AN37" s="302" t="str">
        <f t="shared" si="17"/>
        <v>-</v>
      </c>
      <c r="AP37" s="302">
        <f t="shared" si="33"/>
        <v>35</v>
      </c>
      <c r="AR37" s="302" t="str">
        <f t="shared" si="34"/>
        <v>-</v>
      </c>
      <c r="AT37" s="302" t="str">
        <f t="shared" si="18"/>
        <v>-</v>
      </c>
      <c r="AV37" s="302">
        <f t="shared" si="35"/>
        <v>35</v>
      </c>
      <c r="AX37" s="302" t="str">
        <f t="shared" si="36"/>
        <v>-</v>
      </c>
      <c r="AZ37" s="302" t="str">
        <f t="shared" si="19"/>
        <v>-</v>
      </c>
      <c r="BB37" s="302">
        <f t="shared" si="37"/>
        <v>35</v>
      </c>
      <c r="BD37" s="302" t="str">
        <f t="shared" si="38"/>
        <v>-</v>
      </c>
      <c r="BF37" s="302" t="str">
        <f t="shared" si="20"/>
        <v>-</v>
      </c>
      <c r="BH37" s="302">
        <f t="shared" si="39"/>
        <v>35</v>
      </c>
      <c r="BJ37" s="302" t="str">
        <f t="shared" si="40"/>
        <v>-</v>
      </c>
      <c r="BL37" s="302" t="str">
        <f t="shared" si="41"/>
        <v>-</v>
      </c>
      <c r="BN37" s="302">
        <f t="shared" si="42"/>
        <v>35</v>
      </c>
      <c r="BP37" s="302" t="str">
        <f t="shared" si="43"/>
        <v>-</v>
      </c>
      <c r="BR37" s="302" t="str">
        <f t="shared" si="44"/>
        <v>-</v>
      </c>
      <c r="BT37" s="302">
        <f t="shared" si="45"/>
        <v>35</v>
      </c>
      <c r="BV37" s="302" t="str">
        <f t="shared" si="46"/>
        <v>-</v>
      </c>
      <c r="BX37" s="302" t="str">
        <f t="shared" si="47"/>
        <v>-</v>
      </c>
      <c r="BZ37" s="302">
        <f t="shared" si="48"/>
        <v>35</v>
      </c>
      <c r="CB37" s="302" t="str">
        <f t="shared" si="49"/>
        <v>-</v>
      </c>
      <c r="CD37" s="302" t="str">
        <f t="shared" si="21"/>
        <v>-</v>
      </c>
      <c r="CF37" s="302">
        <f t="shared" si="50"/>
        <v>35</v>
      </c>
      <c r="CH37" s="301">
        <f>IF(OR(INDEX(League!$AT$2:$AT$37,MATCH($A37,League!$AS$2:$AS$37,0))="",CB37="-"),CF37,INDEX(League!$AT$2:$AT$37,MATCH($A37,League!$AS$2:$AS$37,0))+ROW()/1000)</f>
        <v>35</v>
      </c>
      <c r="CI37" s="301" t="str">
        <f t="shared" si="51"/>
        <v>-</v>
      </c>
      <c r="CJ37" s="301">
        <f t="shared" si="52"/>
        <v>35</v>
      </c>
    </row>
  </sheetData>
  <sheetProtection algorithmName="SHA-512" hashValue="XS1jJpYzB3Y25KMFY1kXcZ+76YTDX+9gUSWfE133Byb1MHMic9sr+B8s+o42YCsOmq5OralQ4Xcz2Khiq4oaPQ==" saltValue="32AIlpyBnRHo5Y8XPbQ6oQ==" spinCount="100000" sheet="1" scenarios="1" selectLockedCells="1" selectUnlockedCells="1"/>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C7E84-560F-274D-93D1-D47092568B87}">
  <sheetPr codeName="Hoja4"/>
  <dimension ref="A1:AG37"/>
  <sheetViews>
    <sheetView showGridLines="0" showRowColHeaders="0" topLeftCell="A285" workbookViewId="0">
      <selection activeCell="J312" sqref="J312"/>
      <extLst>
        <ext xmlns:xlsdti="http://schemas.microsoft.com/office/spreadsheetml/2023/showDataTypeIcons" uri="{77bfe23e-c014-4d31-8a63-9c772dbf06b6}">
          <xlsdti:showDataTypeIcons visible="0"/>
        </ext>
      </extLst>
    </sheetView>
  </sheetViews>
  <sheetFormatPr defaultColWidth="10.875" defaultRowHeight="15.95"/>
  <cols>
    <col min="1" max="1" width="16.5" style="272" bestFit="1" customWidth="1"/>
    <col min="2" max="10" width="10.875" style="272"/>
    <col min="11" max="11" width="16.625" style="272" bestFit="1" customWidth="1"/>
    <col min="12" max="13" width="10.875" style="272"/>
    <col min="14" max="14" width="12.375" style="272" bestFit="1" customWidth="1"/>
    <col min="15" max="16" width="10.875" style="272"/>
    <col min="17" max="18" width="17.875" style="272" bestFit="1" customWidth="1"/>
    <col min="19" max="21" width="10.875" style="272"/>
    <col min="22" max="22" width="14.875" style="272" bestFit="1" customWidth="1"/>
    <col min="23" max="23" width="10.875" style="272"/>
    <col min="24" max="24" width="14" style="272" bestFit="1" customWidth="1"/>
    <col min="25" max="25" width="14" style="272" customWidth="1"/>
    <col min="26" max="26" width="15.125" style="272" bestFit="1" customWidth="1"/>
    <col min="27" max="16384" width="10.875" style="272"/>
  </cols>
  <sheetData>
    <row r="1" spans="1:33">
      <c r="A1" s="272" t="s">
        <v>238</v>
      </c>
      <c r="B1" s="272" t="s">
        <v>16</v>
      </c>
    </row>
    <row r="2" spans="1:33" ht="17.100000000000001">
      <c r="A2" s="272" t="str">
        <f>Idiomas!D323</f>
        <v>Ajax</v>
      </c>
      <c r="B2" t="e" vm="38">
        <v>#VALUE!</v>
      </c>
      <c r="N2" s="273"/>
      <c r="P2" s="274"/>
      <c r="V2" s="275"/>
      <c r="X2" s="276"/>
      <c r="Y2" s="276"/>
      <c r="Z2" s="275"/>
      <c r="AA2" s="276"/>
      <c r="AB2" s="276"/>
      <c r="AC2" s="276"/>
      <c r="AD2" s="276"/>
      <c r="AE2" s="276"/>
      <c r="AF2" s="276"/>
      <c r="AG2" s="277"/>
    </row>
    <row r="3" spans="1:33" ht="17.100000000000001">
      <c r="A3" s="272" t="str">
        <f>Idiomas!D324</f>
        <v>Arsenal</v>
      </c>
      <c r="B3" t="e" vm="39">
        <v>#VALUE!</v>
      </c>
      <c r="N3" s="278"/>
      <c r="P3" s="274"/>
      <c r="Y3" s="276"/>
      <c r="AB3" s="276"/>
      <c r="AC3" s="276"/>
      <c r="AD3" s="276"/>
      <c r="AE3" s="276"/>
      <c r="AF3" s="276"/>
    </row>
    <row r="4" spans="1:33" ht="17.100000000000001">
      <c r="A4" s="272" t="str">
        <f>Idiomas!D325</f>
        <v>Atalanta</v>
      </c>
      <c r="B4" t="e" vm="40">
        <v>#VALUE!</v>
      </c>
      <c r="N4" s="279"/>
      <c r="O4" s="279"/>
      <c r="P4" s="274"/>
      <c r="Y4" s="276"/>
      <c r="AB4" s="276"/>
      <c r="AC4" s="276"/>
      <c r="AD4" s="276"/>
      <c r="AE4" s="276"/>
      <c r="AF4" s="276"/>
    </row>
    <row r="5" spans="1:33" ht="17.100000000000001">
      <c r="A5" s="272" t="str">
        <f>Idiomas!D326</f>
        <v>Athletic Bilbao</v>
      </c>
      <c r="B5" t="e" vm="41">
        <v>#VALUE!</v>
      </c>
      <c r="N5" s="278"/>
      <c r="O5" s="278"/>
      <c r="P5" s="274"/>
      <c r="Y5" s="276"/>
      <c r="AB5" s="276"/>
      <c r="AC5" s="276"/>
      <c r="AD5" s="276"/>
      <c r="AE5" s="276"/>
      <c r="AF5" s="276"/>
    </row>
    <row r="6" spans="1:33" ht="17.100000000000001">
      <c r="A6" s="272" t="str">
        <f>Idiomas!D327</f>
        <v>Atlético Madrid</v>
      </c>
      <c r="B6" t="e" vm="42">
        <v>#VALUE!</v>
      </c>
      <c r="N6" s="278"/>
      <c r="P6" s="274"/>
      <c r="Y6" s="276"/>
      <c r="AB6" s="276"/>
      <c r="AC6" s="276"/>
      <c r="AD6" s="276"/>
      <c r="AE6" s="276"/>
      <c r="AF6" s="276"/>
    </row>
    <row r="7" spans="1:33" ht="17.100000000000001">
      <c r="A7" s="272" t="str">
        <f>Idiomas!D328</f>
        <v>Barcelona</v>
      </c>
      <c r="B7" t="e" vm="43">
        <v>#VALUE!</v>
      </c>
      <c r="P7" s="274"/>
      <c r="Y7" s="276"/>
      <c r="AB7" s="276"/>
      <c r="AC7" s="276"/>
      <c r="AD7" s="276"/>
      <c r="AE7" s="276"/>
      <c r="AF7" s="276"/>
    </row>
    <row r="8" spans="1:33" ht="17.100000000000001">
      <c r="A8" s="272" t="str">
        <f>Idiomas!D329</f>
        <v>Bayer Leverkusen</v>
      </c>
      <c r="B8" t="e" vm="44">
        <v>#VALUE!</v>
      </c>
      <c r="P8" s="274"/>
      <c r="AB8" s="276"/>
      <c r="AC8" s="276"/>
      <c r="AD8" s="276"/>
      <c r="AE8" s="276"/>
      <c r="AF8" s="276"/>
    </row>
    <row r="9" spans="1:33" ht="17.100000000000001">
      <c r="A9" s="272" t="str">
        <f>Idiomas!D330</f>
        <v>Bayern München</v>
      </c>
      <c r="B9" t="e" vm="45">
        <v>#VALUE!</v>
      </c>
      <c r="P9" s="274"/>
      <c r="Y9" s="276"/>
      <c r="AB9" s="276"/>
      <c r="AC9" s="276"/>
      <c r="AD9" s="276"/>
      <c r="AE9" s="276"/>
      <c r="AF9" s="276"/>
    </row>
    <row r="10" spans="1:33" ht="17.100000000000001">
      <c r="A10" s="272" t="str">
        <f>Idiomas!D331</f>
        <v>Benfica</v>
      </c>
      <c r="B10" t="e" vm="46">
        <v>#VALUE!</v>
      </c>
      <c r="P10" s="274"/>
      <c r="Y10" s="276"/>
      <c r="AB10" s="276"/>
      <c r="AC10" s="276"/>
      <c r="AD10" s="276"/>
      <c r="AE10" s="276"/>
      <c r="AF10" s="276"/>
      <c r="AG10" s="277"/>
    </row>
    <row r="11" spans="1:33" ht="17.100000000000001">
      <c r="A11" s="272" t="str">
        <f>Idiomas!D332</f>
        <v>Bodø/Glimt</v>
      </c>
      <c r="B11" t="e" vm="47">
        <v>#VALUE!</v>
      </c>
      <c r="P11" s="274"/>
      <c r="AB11" s="276"/>
      <c r="AC11" s="276"/>
      <c r="AD11" s="276"/>
      <c r="AE11" s="276"/>
      <c r="AF11" s="276"/>
    </row>
    <row r="12" spans="1:33" ht="17.100000000000001">
      <c r="A12" s="272" t="str">
        <f>Idiomas!D333</f>
        <v>Borussia Dortmund</v>
      </c>
      <c r="B12" t="e" vm="48">
        <v>#VALUE!</v>
      </c>
      <c r="P12" s="274"/>
      <c r="AB12" s="276"/>
      <c r="AC12" s="276"/>
      <c r="AD12" s="276"/>
      <c r="AE12" s="276"/>
      <c r="AF12" s="276"/>
    </row>
    <row r="13" spans="1:33" ht="17.100000000000001">
      <c r="A13" s="272" t="str">
        <f>Idiomas!D334</f>
        <v>Brugge</v>
      </c>
      <c r="B13" t="e" vm="49">
        <v>#VALUE!</v>
      </c>
      <c r="P13" s="274"/>
      <c r="V13" s="275"/>
      <c r="X13" s="276"/>
      <c r="Y13" s="276"/>
      <c r="Z13" s="275"/>
      <c r="AA13" s="276"/>
      <c r="AB13" s="276"/>
      <c r="AC13" s="276"/>
      <c r="AD13" s="276"/>
      <c r="AE13" s="276"/>
      <c r="AF13" s="276"/>
    </row>
    <row r="14" spans="1:33" ht="17.100000000000001">
      <c r="A14" s="272" t="str">
        <f>Idiomas!D335</f>
        <v>Chelsea</v>
      </c>
      <c r="B14" t="e" vm="50">
        <v>#VALUE!</v>
      </c>
      <c r="P14" s="274"/>
      <c r="V14" s="275"/>
      <c r="X14" s="276"/>
      <c r="Y14" s="276"/>
      <c r="Z14" s="275"/>
      <c r="AA14" s="276"/>
      <c r="AB14" s="276"/>
      <c r="AC14" s="276"/>
      <c r="AD14" s="276"/>
      <c r="AE14" s="276"/>
      <c r="AF14" s="276"/>
    </row>
    <row r="15" spans="1:33" ht="17.100000000000001">
      <c r="A15" s="272" t="str">
        <f>Idiomas!D336</f>
        <v>Copenhagen</v>
      </c>
      <c r="B15" t="e" vm="51">
        <v>#VALUE!</v>
      </c>
      <c r="P15" s="274"/>
      <c r="V15" s="275"/>
      <c r="X15" s="276"/>
      <c r="Y15" s="276"/>
      <c r="Z15" s="275"/>
      <c r="AA15" s="276"/>
      <c r="AB15" s="276"/>
      <c r="AC15" s="276"/>
      <c r="AD15" s="276"/>
      <c r="AE15" s="276"/>
      <c r="AF15" s="276"/>
    </row>
    <row r="16" spans="1:33" ht="17.100000000000001">
      <c r="A16" s="272" t="str">
        <f>Idiomas!D337</f>
        <v>Eintracht Frankfurt</v>
      </c>
      <c r="B16" t="e" vm="52">
        <v>#VALUE!</v>
      </c>
      <c r="P16" s="274"/>
      <c r="V16" s="275"/>
      <c r="X16" s="276"/>
      <c r="Y16" s="276"/>
      <c r="Z16" s="275"/>
      <c r="AA16" s="276"/>
      <c r="AB16" s="276"/>
      <c r="AC16" s="276"/>
      <c r="AD16" s="276"/>
      <c r="AE16" s="276"/>
      <c r="AF16" s="276"/>
    </row>
    <row r="17" spans="1:32" ht="17.100000000000001">
      <c r="A17" s="272" t="str">
        <f>Idiomas!D338</f>
        <v>Galatasaray</v>
      </c>
      <c r="B17" t="e" vm="53">
        <v>#VALUE!</v>
      </c>
      <c r="P17" s="274"/>
      <c r="V17" s="275"/>
      <c r="X17" s="276"/>
      <c r="Y17" s="276"/>
      <c r="Z17" s="275"/>
      <c r="AA17" s="276"/>
      <c r="AB17" s="276"/>
      <c r="AC17" s="276"/>
      <c r="AD17" s="276"/>
      <c r="AE17" s="276"/>
      <c r="AF17" s="276"/>
    </row>
    <row r="18" spans="1:32" ht="17.100000000000001">
      <c r="A18" s="272" t="str">
        <f>Idiomas!D339</f>
        <v>Inter Milan</v>
      </c>
      <c r="B18" t="e" vm="54">
        <v>#VALUE!</v>
      </c>
      <c r="P18" s="274"/>
      <c r="V18" s="275"/>
      <c r="X18" s="276"/>
      <c r="Y18" s="276"/>
      <c r="Z18" s="275"/>
      <c r="AA18" s="276"/>
      <c r="AB18" s="276"/>
      <c r="AC18" s="276"/>
      <c r="AD18" s="276"/>
      <c r="AE18" s="276"/>
      <c r="AF18" s="276"/>
    </row>
    <row r="19" spans="1:32" ht="17.100000000000001">
      <c r="A19" s="272" t="str">
        <f>Idiomas!D340</f>
        <v>Juventus</v>
      </c>
      <c r="B19" t="e" vm="55">
        <v>#VALUE!</v>
      </c>
      <c r="P19" s="274"/>
      <c r="V19" s="275"/>
      <c r="X19" s="276"/>
      <c r="Y19" s="276"/>
      <c r="Z19" s="275"/>
      <c r="AA19" s="276"/>
      <c r="AB19" s="276"/>
      <c r="AC19" s="276"/>
      <c r="AD19" s="276"/>
      <c r="AE19" s="276"/>
      <c r="AF19" s="276"/>
    </row>
    <row r="20" spans="1:32" ht="17.100000000000001">
      <c r="A20" s="272" t="str">
        <f>Idiomas!D341</f>
        <v>Kairat Almaty </v>
      </c>
      <c r="B20" t="e" vm="56">
        <v>#VALUE!</v>
      </c>
      <c r="P20" s="274"/>
      <c r="V20" s="275"/>
      <c r="X20" s="276"/>
      <c r="Y20" s="276"/>
      <c r="Z20" s="275"/>
      <c r="AA20" s="276"/>
      <c r="AB20" s="276"/>
      <c r="AC20" s="276"/>
      <c r="AD20" s="276"/>
      <c r="AE20" s="276"/>
      <c r="AF20" s="276"/>
    </row>
    <row r="21" spans="1:32" ht="17.100000000000001">
      <c r="A21" s="272" t="str">
        <f>Idiomas!D342</f>
        <v>Liverpool</v>
      </c>
      <c r="B21" t="e" vm="57">
        <v>#VALUE!</v>
      </c>
      <c r="P21" s="274"/>
      <c r="S21" s="263"/>
      <c r="V21" s="275"/>
      <c r="X21" s="276"/>
      <c r="Y21" s="276"/>
      <c r="Z21" s="275"/>
      <c r="AA21" s="276"/>
      <c r="AB21" s="276"/>
      <c r="AC21" s="276"/>
      <c r="AD21" s="276"/>
      <c r="AE21" s="276"/>
      <c r="AF21" s="276"/>
    </row>
    <row r="22" spans="1:32" ht="17.100000000000001">
      <c r="A22" s="272" t="str">
        <f>Idiomas!D343</f>
        <v>Manchester City</v>
      </c>
      <c r="B22" t="e" vm="58">
        <v>#VALUE!</v>
      </c>
      <c r="P22" s="274"/>
      <c r="V22" s="275"/>
      <c r="X22" s="276"/>
      <c r="Y22" s="276"/>
      <c r="Z22" s="275"/>
      <c r="AA22" s="276"/>
      <c r="AB22" s="276"/>
      <c r="AC22" s="276"/>
      <c r="AD22" s="276"/>
      <c r="AE22" s="276"/>
      <c r="AF22" s="276"/>
    </row>
    <row r="23" spans="1:32" ht="17.100000000000001">
      <c r="A23" s="272" t="str">
        <f>Idiomas!D344</f>
        <v>Marseille</v>
      </c>
      <c r="B23" t="e" vm="59">
        <v>#VALUE!</v>
      </c>
      <c r="P23" s="274"/>
      <c r="V23" s="275"/>
      <c r="X23" s="276"/>
      <c r="Y23" s="276"/>
      <c r="Z23" s="275"/>
      <c r="AA23" s="276"/>
      <c r="AB23" s="276"/>
      <c r="AC23" s="276"/>
      <c r="AD23" s="276"/>
      <c r="AE23" s="276"/>
      <c r="AF23" s="276"/>
    </row>
    <row r="24" spans="1:32" ht="17.100000000000001">
      <c r="A24" s="272" t="str">
        <f>Idiomas!D345</f>
        <v>Monaco</v>
      </c>
      <c r="B24" t="e" vm="60">
        <v>#VALUE!</v>
      </c>
      <c r="P24" s="274"/>
      <c r="V24" s="275"/>
      <c r="X24" s="276"/>
      <c r="Y24" s="276"/>
    </row>
    <row r="25" spans="1:32" ht="17.100000000000001">
      <c r="A25" s="272" t="str">
        <f>Idiomas!D346</f>
        <v>Napoli</v>
      </c>
      <c r="B25" t="e" vm="61">
        <v>#VALUE!</v>
      </c>
      <c r="P25" s="274"/>
      <c r="V25" s="275"/>
    </row>
    <row r="26" spans="1:32" ht="17.100000000000001">
      <c r="A26" s="272" t="str">
        <f>Idiomas!D347</f>
        <v>Newcastle</v>
      </c>
      <c r="B26" t="e" vm="62">
        <v>#VALUE!</v>
      </c>
      <c r="P26" s="274"/>
      <c r="V26" s="275"/>
    </row>
    <row r="27" spans="1:32" ht="17.100000000000001">
      <c r="A27" s="272" t="str">
        <f>Idiomas!D348</f>
        <v>Olympiakos</v>
      </c>
      <c r="B27" t="e" vm="63">
        <v>#VALUE!</v>
      </c>
      <c r="P27" s="274"/>
      <c r="V27" s="275"/>
    </row>
    <row r="28" spans="1:32" ht="17.100000000000001">
      <c r="A28" s="272" t="str">
        <f>Idiomas!D349</f>
        <v>Pafos</v>
      </c>
      <c r="B28" t="e" vm="64">
        <v>#VALUE!</v>
      </c>
      <c r="P28" s="274"/>
      <c r="V28" s="275"/>
    </row>
    <row r="29" spans="1:32" ht="17.100000000000001">
      <c r="A29" s="272" t="str">
        <f>Idiomas!D350</f>
        <v>PSG</v>
      </c>
      <c r="B29" t="e" vm="65">
        <v>#VALUE!</v>
      </c>
      <c r="P29" s="274"/>
      <c r="V29" s="275"/>
    </row>
    <row r="30" spans="1:32" ht="17.100000000000001">
      <c r="A30" s="272" t="str">
        <f>Idiomas!D351</f>
        <v>PSV Eindhoven</v>
      </c>
      <c r="B30" t="e" vm="66">
        <v>#VALUE!</v>
      </c>
      <c r="P30" s="274"/>
      <c r="V30" s="275"/>
    </row>
    <row r="31" spans="1:32" ht="17.100000000000001">
      <c r="A31" s="272" t="str">
        <f>Idiomas!D352</f>
        <v>Qarabağ</v>
      </c>
      <c r="B31" t="e" vm="67">
        <v>#VALUE!</v>
      </c>
      <c r="P31" s="274"/>
      <c r="V31" s="275"/>
    </row>
    <row r="32" spans="1:32" ht="17.100000000000001">
      <c r="A32" s="272" t="str">
        <f>Idiomas!D353</f>
        <v>Real Madrid</v>
      </c>
      <c r="B32" t="e" vm="68">
        <v>#VALUE!</v>
      </c>
      <c r="P32" s="274"/>
      <c r="V32" s="275"/>
    </row>
    <row r="33" spans="1:22" ht="17.100000000000001">
      <c r="A33" s="272" t="str">
        <f>Idiomas!D354</f>
        <v>Slavia Praha</v>
      </c>
      <c r="B33" t="e" vm="69">
        <v>#VALUE!</v>
      </c>
      <c r="P33" s="274"/>
      <c r="V33" s="275"/>
    </row>
    <row r="34" spans="1:22" ht="17.100000000000001">
      <c r="A34" s="272" t="str">
        <f>Idiomas!D355</f>
        <v>Sporting Portugal</v>
      </c>
      <c r="B34" t="e" vm="70">
        <v>#VALUE!</v>
      </c>
      <c r="P34" s="274"/>
      <c r="V34" s="275"/>
    </row>
    <row r="35" spans="1:22" ht="17.100000000000001">
      <c r="A35" s="272" t="str">
        <f>Idiomas!D356</f>
        <v>Tottenham</v>
      </c>
      <c r="B35" t="e" vm="71">
        <v>#VALUE!</v>
      </c>
      <c r="P35" s="274"/>
      <c r="V35" s="275"/>
    </row>
    <row r="36" spans="1:22" ht="17.100000000000001">
      <c r="A36" s="272" t="str">
        <f>Idiomas!D357</f>
        <v>Union Saint-Gilloise</v>
      </c>
      <c r="B36" t="e" vm="72">
        <v>#VALUE!</v>
      </c>
      <c r="P36" s="274"/>
      <c r="V36" s="275"/>
    </row>
    <row r="37" spans="1:22" ht="17.100000000000001">
      <c r="A37" s="272" t="str">
        <f>Idiomas!D358</f>
        <v>Villarreal</v>
      </c>
      <c r="B37" t="e" vm="73">
        <v>#VALUE!</v>
      </c>
      <c r="P37" s="274"/>
      <c r="V37" s="275"/>
    </row>
  </sheetData>
  <sheetProtection algorithmName="SHA-512" hashValue="627kfB8BgauWtVaKM9OJgfvG1bwwPOu2km3y/AhU3F0wl0aFDi8EF98Z1Yfxnk6qFWzCAotSmDEL2MuvJO/lsg==" saltValue="RKsE9dz+h+DwmdK9KPyNBw==" spinCount="100000" sheet="1" objects="1" scenarios="1" selectLockedCells="1" selectUnlockedCells="1"/>
  <phoneticPr fontId="8" type="noConversion"/>
  <conditionalFormatting sqref="Q2:Q9 Q17:Q24 Q26 Q11:Q15 Q28:Q30">
    <cfRule type="duplicateValues" dxfId="16" priority="1"/>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F42EC-1BB9-BB42-BC62-37A2666E44BC}">
  <sheetPr codeName="Hoja11"/>
  <dimension ref="A1:AK200"/>
  <sheetViews>
    <sheetView showGridLines="0" showRowColHeaders="0" topLeftCell="A379" zoomScaleNormal="100" workbookViewId="0">
      <selection activeCell="I407" sqref="I407"/>
      <extLst>
        <ext xmlns:xlsdti="http://schemas.microsoft.com/office/spreadsheetml/2023/showDataTypeIcons" uri="{77bfe23e-c014-4d31-8a63-9c772dbf06b6}">
          <xlsdti:showDataTypeIcons visible="0"/>
        </ext>
      </extLst>
    </sheetView>
  </sheetViews>
  <sheetFormatPr defaultColWidth="10.875" defaultRowHeight="15.95"/>
  <cols>
    <col min="1" max="1" width="15.125" style="406" bestFit="1" customWidth="1"/>
    <col min="2" max="2" width="10.875" style="407"/>
    <col min="3" max="3" width="14.125" style="407" bestFit="1" customWidth="1"/>
    <col min="4" max="4" width="10.875" style="407"/>
    <col min="5" max="5" width="12.375" style="407" bestFit="1" customWidth="1"/>
    <col min="6" max="15" width="10.875" style="407"/>
    <col min="16" max="16" width="4.875" style="407" bestFit="1" customWidth="1"/>
    <col min="17" max="17" width="17.875" style="407" bestFit="1" customWidth="1"/>
    <col min="18" max="18" width="11.125" style="407" bestFit="1" customWidth="1"/>
    <col min="19" max="19" width="11" style="407" bestFit="1" customWidth="1"/>
    <col min="20" max="20" width="10.375" style="407" bestFit="1" customWidth="1"/>
    <col min="21" max="21" width="8.125" style="407" bestFit="1" customWidth="1"/>
    <col min="22" max="22" width="10.375" style="407" customWidth="1"/>
    <col min="23" max="23" width="3.375" style="407" bestFit="1" customWidth="1"/>
    <col min="24" max="16384" width="10.875" style="407"/>
  </cols>
  <sheetData>
    <row r="1" spans="1:37" ht="17.100000000000001" thickBot="1">
      <c r="C1" s="407">
        <f>IFERROR(INDEX($P$3:$P$93,MATCH(Home!$C$10,Horarios!$Q$3:$Q$93,0)),1)</f>
        <v>17</v>
      </c>
      <c r="K1" s="408" t="s">
        <v>239</v>
      </c>
      <c r="L1" s="409" t="s">
        <v>240</v>
      </c>
      <c r="M1" s="409" t="s">
        <v>241</v>
      </c>
      <c r="N1" s="409" t="s">
        <v>242</v>
      </c>
    </row>
    <row r="2" spans="1:37" ht="17.100000000000001" thickBot="1">
      <c r="A2" s="410">
        <v>45916.78125</v>
      </c>
      <c r="C2" s="411" cm="1">
        <f t="array" ref="C2">A2+INDEX($V$3:V$93,$C$1)*INDEX($W$3:$W$93,$C$1)</f>
        <v>45916.78125</v>
      </c>
      <c r="K2" s="409" t="s">
        <v>243</v>
      </c>
      <c r="L2" s="409" t="str">
        <f>Idiomas!D180</f>
        <v>Alemania</v>
      </c>
      <c r="M2" s="409">
        <f>INDEX($R$3:$R$93,MATCH($L$2,$Q$3:$Q$93,0))</f>
        <v>2</v>
      </c>
      <c r="N2" s="412">
        <f>INDEX($S$3:$S$93,MATCH($L$2,$Q$3:$Q$93,0))</f>
        <v>8.3333333333333329E-2</v>
      </c>
      <c r="P2" s="413" t="s">
        <v>244</v>
      </c>
      <c r="Q2" s="413" t="s">
        <v>240</v>
      </c>
      <c r="R2" s="413" t="s">
        <v>245</v>
      </c>
      <c r="S2" s="413" t="s">
        <v>246</v>
      </c>
      <c r="T2" s="413" t="s">
        <v>247</v>
      </c>
      <c r="U2" s="413" t="s">
        <v>248</v>
      </c>
      <c r="V2" s="413" t="s">
        <v>249</v>
      </c>
      <c r="W2" s="414" t="s">
        <v>250</v>
      </c>
      <c r="Z2" s="413" t="s">
        <v>244</v>
      </c>
      <c r="AA2" s="413" t="s">
        <v>251</v>
      </c>
      <c r="AB2" s="413" t="s">
        <v>245</v>
      </c>
      <c r="AC2" s="413" t="s">
        <v>246</v>
      </c>
      <c r="AD2" s="413" t="s">
        <v>247</v>
      </c>
      <c r="AE2" s="413" t="s">
        <v>248</v>
      </c>
      <c r="AF2" s="413" t="s">
        <v>249</v>
      </c>
      <c r="AG2" s="414" t="s">
        <v>250</v>
      </c>
      <c r="AH2" s="413" t="s">
        <v>252</v>
      </c>
      <c r="AI2" s="413" t="s">
        <v>253</v>
      </c>
      <c r="AK2" s="407" t="s">
        <v>254</v>
      </c>
    </row>
    <row r="3" spans="1:37">
      <c r="A3" s="410">
        <v>45916.78125</v>
      </c>
      <c r="C3" s="411" cm="1">
        <f t="array" ref="C3">A3+INDEX($V$3:V$93,$C$1)*INDEX($W$3:$W$93,$C$1)</f>
        <v>45916.78125</v>
      </c>
      <c r="K3" s="407" t="s">
        <v>255</v>
      </c>
      <c r="P3" s="407">
        <v>1</v>
      </c>
      <c r="Q3" s="407" t="str">
        <f t="shared" ref="Q3:Q57" si="0">INDEX($AA$3:$AA$57,MATCH(P3,$AI$3:$AI$57,0))</f>
        <v>Albania</v>
      </c>
      <c r="R3" s="407">
        <f t="shared" ref="R3:W34" si="1">INDEX(AB$3:AB$93,MATCH($Q3,$AA$3:$AA$93,0))</f>
        <v>2</v>
      </c>
      <c r="S3" s="415">
        <f t="shared" si="1"/>
        <v>8.3333333333333329E-2</v>
      </c>
      <c r="T3" s="407">
        <f t="shared" si="1"/>
        <v>0</v>
      </c>
      <c r="U3" s="407">
        <f t="shared" si="1"/>
        <v>0</v>
      </c>
      <c r="V3" s="415">
        <f t="shared" si="1"/>
        <v>0</v>
      </c>
      <c r="W3" s="407">
        <f t="shared" si="1"/>
        <v>0</v>
      </c>
      <c r="Z3" s="407">
        <v>1</v>
      </c>
      <c r="AA3" s="407" t="str">
        <f>Idiomas!D120</f>
        <v>Albania</v>
      </c>
      <c r="AB3" s="407">
        <v>2</v>
      </c>
      <c r="AC3" s="415">
        <v>8.3333333333333329E-2</v>
      </c>
      <c r="AD3" s="407">
        <f>IF(AA3=$L$2,1,0)</f>
        <v>0</v>
      </c>
      <c r="AE3" s="407">
        <f>AB3-$M$2</f>
        <v>0</v>
      </c>
      <c r="AF3" s="415">
        <f>ABS(AE3/24)</f>
        <v>0</v>
      </c>
      <c r="AG3" s="407">
        <f>IF(AB3&gt;$M$2,1,IF(AB3=$M$2,0,-1))</f>
        <v>0</v>
      </c>
      <c r="AH3" s="407">
        <v>1</v>
      </c>
      <c r="AI3" s="407">
        <f>COUNTIF($AA$3:$AA$57,"&lt;="&amp;AA3)</f>
        <v>1</v>
      </c>
      <c r="AK3" s="407">
        <f>AB3-AH3</f>
        <v>1</v>
      </c>
    </row>
    <row r="4" spans="1:37">
      <c r="A4" s="410">
        <v>45916.875</v>
      </c>
      <c r="C4" s="411" cm="1">
        <f t="array" ref="C4">A4+INDEX($V$3:V$93,$C$1)*INDEX($W$3:$W$93,$C$1)</f>
        <v>45916.875</v>
      </c>
      <c r="E4" s="411"/>
      <c r="P4" s="407">
        <v>2</v>
      </c>
      <c r="Q4" s="407" t="str">
        <f t="shared" si="0"/>
        <v>Alemania</v>
      </c>
      <c r="R4" s="407">
        <f t="shared" si="1"/>
        <v>2</v>
      </c>
      <c r="S4" s="415">
        <f t="shared" si="1"/>
        <v>8.3333333333333329E-2</v>
      </c>
      <c r="T4" s="407">
        <f t="shared" si="1"/>
        <v>1</v>
      </c>
      <c r="U4" s="407">
        <f t="shared" si="1"/>
        <v>0</v>
      </c>
      <c r="V4" s="415">
        <f t="shared" si="1"/>
        <v>0</v>
      </c>
      <c r="W4" s="407">
        <f t="shared" si="1"/>
        <v>0</v>
      </c>
      <c r="Z4" s="407">
        <v>2</v>
      </c>
      <c r="AA4" s="407" t="str">
        <f>Idiomas!D121</f>
        <v>Alemania</v>
      </c>
      <c r="AB4" s="407">
        <v>2</v>
      </c>
      <c r="AC4" s="415">
        <v>8.3333333333333329E-2</v>
      </c>
      <c r="AD4" s="407">
        <f t="shared" ref="AD4:AD67" si="2">IF(AA4=$L$2,1,0)</f>
        <v>1</v>
      </c>
      <c r="AE4" s="407">
        <f t="shared" ref="AE4:AE67" si="3">AB4-$M$2</f>
        <v>0</v>
      </c>
      <c r="AF4" s="415">
        <f t="shared" ref="AF4:AF67" si="4">ABS(AE4/24)</f>
        <v>0</v>
      </c>
      <c r="AG4" s="407">
        <f t="shared" ref="AG4:AG67" si="5">IF(AB4&gt;$M$2,1,IF(AB4=$M$2,0,-1))</f>
        <v>0</v>
      </c>
      <c r="AH4" s="407">
        <v>1</v>
      </c>
      <c r="AI4" s="407">
        <f t="shared" ref="AI4:AI57" si="6">COUNTIF($AA$3:$AA$57,"&lt;="&amp;AA4)</f>
        <v>2</v>
      </c>
      <c r="AK4" s="407">
        <f t="shared" ref="AK4:AK57" si="7">AB4-AH4</f>
        <v>1</v>
      </c>
    </row>
    <row r="5" spans="1:37">
      <c r="A5" s="410">
        <v>45916.875</v>
      </c>
      <c r="C5" s="411" cm="1">
        <f t="array" ref="C5">A5+INDEX($V$3:V$93,$C$1)*INDEX($W$3:$W$93,$C$1)</f>
        <v>45916.875</v>
      </c>
      <c r="E5" s="411"/>
      <c r="P5" s="407">
        <v>3</v>
      </c>
      <c r="Q5" s="407" t="str">
        <f t="shared" si="0"/>
        <v>Andorra</v>
      </c>
      <c r="R5" s="407">
        <f t="shared" si="1"/>
        <v>2</v>
      </c>
      <c r="S5" s="415">
        <f t="shared" si="1"/>
        <v>8.3333333333333329E-2</v>
      </c>
      <c r="T5" s="407">
        <f t="shared" si="1"/>
        <v>0</v>
      </c>
      <c r="U5" s="407">
        <f t="shared" si="1"/>
        <v>0</v>
      </c>
      <c r="V5" s="415">
        <f t="shared" si="1"/>
        <v>0</v>
      </c>
      <c r="W5" s="407">
        <f t="shared" si="1"/>
        <v>0</v>
      </c>
      <c r="Z5" s="407">
        <v>3</v>
      </c>
      <c r="AA5" s="407" t="str">
        <f>Idiomas!D122</f>
        <v>Andorra</v>
      </c>
      <c r="AB5" s="407">
        <v>2</v>
      </c>
      <c r="AC5" s="415">
        <v>8.3333333333333329E-2</v>
      </c>
      <c r="AD5" s="407">
        <f t="shared" si="2"/>
        <v>0</v>
      </c>
      <c r="AE5" s="407">
        <f t="shared" si="3"/>
        <v>0</v>
      </c>
      <c r="AF5" s="415">
        <f t="shared" si="4"/>
        <v>0</v>
      </c>
      <c r="AG5" s="407">
        <f t="shared" si="5"/>
        <v>0</v>
      </c>
      <c r="AH5" s="407">
        <v>1</v>
      </c>
      <c r="AI5" s="407">
        <f t="shared" si="6"/>
        <v>3</v>
      </c>
      <c r="AK5" s="407">
        <f t="shared" si="7"/>
        <v>1</v>
      </c>
    </row>
    <row r="6" spans="1:37">
      <c r="A6" s="410">
        <v>45916.875</v>
      </c>
      <c r="C6" s="411" cm="1">
        <f t="array" ref="C6">A6+INDEX($V$3:V$93,$C$1)*INDEX($W$3:$W$93,$C$1)</f>
        <v>45916.875</v>
      </c>
      <c r="E6" s="411"/>
      <c r="P6" s="407">
        <v>4</v>
      </c>
      <c r="Q6" s="407" t="str">
        <f t="shared" si="0"/>
        <v>Armenia</v>
      </c>
      <c r="R6" s="407">
        <f t="shared" si="1"/>
        <v>4</v>
      </c>
      <c r="S6" s="415">
        <f t="shared" si="1"/>
        <v>0.16666666666666666</v>
      </c>
      <c r="T6" s="407">
        <f t="shared" si="1"/>
        <v>0</v>
      </c>
      <c r="U6" s="407">
        <f t="shared" si="1"/>
        <v>2</v>
      </c>
      <c r="V6" s="415">
        <f t="shared" si="1"/>
        <v>8.3333333333333329E-2</v>
      </c>
      <c r="W6" s="407">
        <f t="shared" si="1"/>
        <v>1</v>
      </c>
      <c r="Z6" s="407">
        <v>4</v>
      </c>
      <c r="AA6" s="407" t="str">
        <f>Idiomas!D123</f>
        <v>Armenia</v>
      </c>
      <c r="AB6" s="407">
        <v>4</v>
      </c>
      <c r="AC6" s="415">
        <v>0.16666666666666666</v>
      </c>
      <c r="AD6" s="407">
        <f t="shared" si="2"/>
        <v>0</v>
      </c>
      <c r="AE6" s="407">
        <f t="shared" si="3"/>
        <v>2</v>
      </c>
      <c r="AF6" s="415">
        <f t="shared" si="4"/>
        <v>8.3333333333333329E-2</v>
      </c>
      <c r="AG6" s="407">
        <f t="shared" si="5"/>
        <v>1</v>
      </c>
      <c r="AH6" s="407">
        <v>4</v>
      </c>
      <c r="AI6" s="407">
        <f t="shared" si="6"/>
        <v>4</v>
      </c>
      <c r="AK6" s="407">
        <f t="shared" si="7"/>
        <v>0</v>
      </c>
    </row>
    <row r="7" spans="1:37">
      <c r="A7" s="410">
        <v>45916.875</v>
      </c>
      <c r="C7" s="411" cm="1">
        <f t="array" ref="C7">A7+INDEX($V$3:V$93,$C$1)*INDEX($W$3:$W$93,$C$1)</f>
        <v>45916.875</v>
      </c>
      <c r="E7" s="411"/>
      <c r="P7" s="407">
        <v>5</v>
      </c>
      <c r="Q7" s="407" t="str">
        <f t="shared" si="0"/>
        <v>Austria</v>
      </c>
      <c r="R7" s="407">
        <f t="shared" si="1"/>
        <v>2</v>
      </c>
      <c r="S7" s="415">
        <f t="shared" si="1"/>
        <v>8.3333333333333329E-2</v>
      </c>
      <c r="T7" s="407">
        <f t="shared" si="1"/>
        <v>0</v>
      </c>
      <c r="U7" s="407">
        <f t="shared" si="1"/>
        <v>0</v>
      </c>
      <c r="V7" s="415">
        <f t="shared" si="1"/>
        <v>0</v>
      </c>
      <c r="W7" s="407">
        <f t="shared" si="1"/>
        <v>0</v>
      </c>
      <c r="Z7" s="407">
        <v>5</v>
      </c>
      <c r="AA7" s="407" t="str">
        <f>Idiomas!D124</f>
        <v>Austria</v>
      </c>
      <c r="AB7" s="407">
        <v>2</v>
      </c>
      <c r="AC7" s="415">
        <v>8.3333333333333329E-2</v>
      </c>
      <c r="AD7" s="407">
        <f t="shared" si="2"/>
        <v>0</v>
      </c>
      <c r="AE7" s="407">
        <f t="shared" si="3"/>
        <v>0</v>
      </c>
      <c r="AF7" s="415">
        <f t="shared" si="4"/>
        <v>0</v>
      </c>
      <c r="AG7" s="407">
        <f t="shared" si="5"/>
        <v>0</v>
      </c>
      <c r="AH7" s="407">
        <v>1</v>
      </c>
      <c r="AI7" s="407">
        <f t="shared" si="6"/>
        <v>5</v>
      </c>
      <c r="AK7" s="407">
        <f t="shared" si="7"/>
        <v>1</v>
      </c>
    </row>
    <row r="8" spans="1:37">
      <c r="A8" s="410">
        <v>45917.78125</v>
      </c>
      <c r="C8" s="411" cm="1">
        <f t="array" ref="C8">A8+INDEX($V$3:V$93,$C$1)*INDEX($W$3:$W$93,$C$1)</f>
        <v>45917.78125</v>
      </c>
      <c r="E8" s="411"/>
      <c r="P8" s="407">
        <v>6</v>
      </c>
      <c r="Q8" s="407" t="str">
        <f t="shared" si="0"/>
        <v>Azerbaiyán</v>
      </c>
      <c r="R8" s="407">
        <f t="shared" si="1"/>
        <v>4</v>
      </c>
      <c r="S8" s="415">
        <f t="shared" si="1"/>
        <v>0.16666666666666666</v>
      </c>
      <c r="T8" s="407">
        <f t="shared" si="1"/>
        <v>0</v>
      </c>
      <c r="U8" s="407">
        <f t="shared" si="1"/>
        <v>2</v>
      </c>
      <c r="V8" s="415">
        <f t="shared" si="1"/>
        <v>8.3333333333333329E-2</v>
      </c>
      <c r="W8" s="407">
        <f t="shared" si="1"/>
        <v>1</v>
      </c>
      <c r="Z8" s="407">
        <v>6</v>
      </c>
      <c r="AA8" s="407" t="str">
        <f>Idiomas!D125</f>
        <v>Azerbaiyán</v>
      </c>
      <c r="AB8" s="407">
        <v>4</v>
      </c>
      <c r="AC8" s="415">
        <v>0.16666666666666666</v>
      </c>
      <c r="AD8" s="407">
        <f t="shared" si="2"/>
        <v>0</v>
      </c>
      <c r="AE8" s="407">
        <f t="shared" si="3"/>
        <v>2</v>
      </c>
      <c r="AF8" s="415">
        <f t="shared" si="4"/>
        <v>8.3333333333333329E-2</v>
      </c>
      <c r="AG8" s="407">
        <f t="shared" si="5"/>
        <v>1</v>
      </c>
      <c r="AH8" s="407">
        <v>4</v>
      </c>
      <c r="AI8" s="407">
        <f t="shared" si="6"/>
        <v>6</v>
      </c>
      <c r="AK8" s="407">
        <f t="shared" si="7"/>
        <v>0</v>
      </c>
    </row>
    <row r="9" spans="1:37">
      <c r="A9" s="410">
        <v>45917.78125</v>
      </c>
      <c r="C9" s="411" cm="1">
        <f t="array" ref="C9">A9+INDEX($V$3:V$93,$C$1)*INDEX($W$3:$W$93,$C$1)</f>
        <v>45917.78125</v>
      </c>
      <c r="E9" s="411"/>
      <c r="P9" s="407">
        <v>7</v>
      </c>
      <c r="Q9" s="407" t="str">
        <f t="shared" si="0"/>
        <v>Bélgica</v>
      </c>
      <c r="R9" s="407">
        <f t="shared" si="1"/>
        <v>2</v>
      </c>
      <c r="S9" s="415">
        <f t="shared" si="1"/>
        <v>8.3333333333333329E-2</v>
      </c>
      <c r="T9" s="407">
        <f t="shared" si="1"/>
        <v>0</v>
      </c>
      <c r="U9" s="407">
        <f t="shared" si="1"/>
        <v>0</v>
      </c>
      <c r="V9" s="415">
        <f t="shared" si="1"/>
        <v>0</v>
      </c>
      <c r="W9" s="407">
        <f t="shared" si="1"/>
        <v>0</v>
      </c>
      <c r="Z9" s="407">
        <v>7</v>
      </c>
      <c r="AA9" s="407" t="str">
        <f>Idiomas!D126</f>
        <v>Bélgica</v>
      </c>
      <c r="AB9" s="407">
        <v>2</v>
      </c>
      <c r="AC9" s="415">
        <v>8.3333333333333329E-2</v>
      </c>
      <c r="AD9" s="407">
        <f t="shared" si="2"/>
        <v>0</v>
      </c>
      <c r="AE9" s="407">
        <f t="shared" si="3"/>
        <v>0</v>
      </c>
      <c r="AF9" s="415">
        <f t="shared" si="4"/>
        <v>0</v>
      </c>
      <c r="AG9" s="407">
        <f t="shared" si="5"/>
        <v>0</v>
      </c>
      <c r="AH9" s="407">
        <v>1</v>
      </c>
      <c r="AI9" s="407">
        <f t="shared" si="6"/>
        <v>7</v>
      </c>
      <c r="AK9" s="407">
        <f t="shared" si="7"/>
        <v>1</v>
      </c>
    </row>
    <row r="10" spans="1:37">
      <c r="A10" s="410">
        <v>45917.875</v>
      </c>
      <c r="C10" s="411" cm="1">
        <f t="array" ref="C10">A10+INDEX($V$3:V$93,$C$1)*INDEX($W$3:$W$93,$C$1)</f>
        <v>45917.875</v>
      </c>
      <c r="E10" s="411"/>
      <c r="P10" s="407">
        <v>8</v>
      </c>
      <c r="Q10" s="407" t="str">
        <f t="shared" si="0"/>
        <v>Bielorrusia</v>
      </c>
      <c r="R10" s="407">
        <f t="shared" si="1"/>
        <v>3</v>
      </c>
      <c r="S10" s="415">
        <f t="shared" si="1"/>
        <v>0.125</v>
      </c>
      <c r="T10" s="407">
        <f t="shared" si="1"/>
        <v>0</v>
      </c>
      <c r="U10" s="407">
        <f t="shared" si="1"/>
        <v>1</v>
      </c>
      <c r="V10" s="415">
        <f t="shared" si="1"/>
        <v>4.1666666666666664E-2</v>
      </c>
      <c r="W10" s="407">
        <f t="shared" si="1"/>
        <v>1</v>
      </c>
      <c r="Z10" s="407">
        <v>8</v>
      </c>
      <c r="AA10" s="407" t="str">
        <f>Idiomas!D127</f>
        <v>Bielorrusia</v>
      </c>
      <c r="AB10" s="407">
        <v>3</v>
      </c>
      <c r="AC10" s="415">
        <v>0.125</v>
      </c>
      <c r="AD10" s="407">
        <f t="shared" si="2"/>
        <v>0</v>
      </c>
      <c r="AE10" s="407">
        <f t="shared" si="3"/>
        <v>1</v>
      </c>
      <c r="AF10" s="415">
        <f t="shared" si="4"/>
        <v>4.1666666666666664E-2</v>
      </c>
      <c r="AG10" s="407">
        <f t="shared" si="5"/>
        <v>1</v>
      </c>
      <c r="AH10" s="407">
        <v>3</v>
      </c>
      <c r="AI10" s="407">
        <f t="shared" si="6"/>
        <v>8</v>
      </c>
      <c r="AK10" s="407">
        <f t="shared" si="7"/>
        <v>0</v>
      </c>
    </row>
    <row r="11" spans="1:37">
      <c r="A11" s="410">
        <v>45917.875</v>
      </c>
      <c r="C11" s="411" cm="1">
        <f t="array" ref="C11">A11+INDEX($V$3:V$93,$C$1)*INDEX($W$3:$W$93,$C$1)</f>
        <v>45917.875</v>
      </c>
      <c r="E11" s="411"/>
      <c r="P11" s="407">
        <v>9</v>
      </c>
      <c r="Q11" s="407" t="str">
        <f t="shared" si="0"/>
        <v>Bosnia y Herzegovina</v>
      </c>
      <c r="R11" s="407">
        <f t="shared" si="1"/>
        <v>2</v>
      </c>
      <c r="S11" s="415">
        <f t="shared" si="1"/>
        <v>8.3333333333333329E-2</v>
      </c>
      <c r="T11" s="407">
        <f t="shared" si="1"/>
        <v>0</v>
      </c>
      <c r="U11" s="407">
        <f t="shared" si="1"/>
        <v>0</v>
      </c>
      <c r="V11" s="415">
        <f t="shared" si="1"/>
        <v>0</v>
      </c>
      <c r="W11" s="407">
        <f t="shared" si="1"/>
        <v>0</v>
      </c>
      <c r="Z11" s="407">
        <v>9</v>
      </c>
      <c r="AA11" s="407" t="str">
        <f>Idiomas!D128</f>
        <v>Bosnia y Herzegovina</v>
      </c>
      <c r="AB11" s="407">
        <v>2</v>
      </c>
      <c r="AC11" s="415">
        <v>8.3333333333333329E-2</v>
      </c>
      <c r="AD11" s="407">
        <f t="shared" si="2"/>
        <v>0</v>
      </c>
      <c r="AE11" s="407">
        <f t="shared" si="3"/>
        <v>0</v>
      </c>
      <c r="AF11" s="415">
        <f t="shared" si="4"/>
        <v>0</v>
      </c>
      <c r="AG11" s="407">
        <f t="shared" si="5"/>
        <v>0</v>
      </c>
      <c r="AH11" s="407">
        <v>1</v>
      </c>
      <c r="AI11" s="407">
        <f t="shared" si="6"/>
        <v>9</v>
      </c>
      <c r="AK11" s="407">
        <f t="shared" si="7"/>
        <v>1</v>
      </c>
    </row>
    <row r="12" spans="1:37">
      <c r="A12" s="410">
        <v>45917.875</v>
      </c>
      <c r="C12" s="411" cm="1">
        <f t="array" ref="C12">A12+INDEX($V$3:V$93,$C$1)*INDEX($W$3:$W$93,$C$1)</f>
        <v>45917.875</v>
      </c>
      <c r="E12" s="411"/>
      <c r="P12" s="407">
        <v>10</v>
      </c>
      <c r="Q12" s="407" t="str">
        <f t="shared" si="0"/>
        <v>Bulgaria</v>
      </c>
      <c r="R12" s="407">
        <f t="shared" si="1"/>
        <v>3</v>
      </c>
      <c r="S12" s="415">
        <f t="shared" si="1"/>
        <v>0.125</v>
      </c>
      <c r="T12" s="407">
        <f t="shared" si="1"/>
        <v>0</v>
      </c>
      <c r="U12" s="407">
        <f t="shared" si="1"/>
        <v>1</v>
      </c>
      <c r="V12" s="415">
        <f t="shared" si="1"/>
        <v>4.1666666666666664E-2</v>
      </c>
      <c r="W12" s="407">
        <f t="shared" si="1"/>
        <v>1</v>
      </c>
      <c r="Z12" s="407">
        <v>10</v>
      </c>
      <c r="AA12" s="407" t="str">
        <f>Idiomas!D129</f>
        <v>Bulgaria</v>
      </c>
      <c r="AB12" s="407">
        <v>3</v>
      </c>
      <c r="AC12" s="415">
        <v>0.125</v>
      </c>
      <c r="AD12" s="407">
        <f t="shared" si="2"/>
        <v>0</v>
      </c>
      <c r="AE12" s="407">
        <f t="shared" si="3"/>
        <v>1</v>
      </c>
      <c r="AF12" s="415">
        <f t="shared" si="4"/>
        <v>4.1666666666666664E-2</v>
      </c>
      <c r="AG12" s="407">
        <f t="shared" si="5"/>
        <v>1</v>
      </c>
      <c r="AH12" s="407">
        <v>2</v>
      </c>
      <c r="AI12" s="407">
        <f t="shared" si="6"/>
        <v>10</v>
      </c>
      <c r="AK12" s="407">
        <f t="shared" si="7"/>
        <v>1</v>
      </c>
    </row>
    <row r="13" spans="1:37">
      <c r="A13" s="410">
        <v>45917.875</v>
      </c>
      <c r="C13" s="411" cm="1">
        <f t="array" ref="C13">A13+INDEX($V$3:V$93,$C$1)*INDEX($W$3:$W$93,$C$1)</f>
        <v>45917.875</v>
      </c>
      <c r="E13" s="411"/>
      <c r="P13" s="407">
        <v>11</v>
      </c>
      <c r="Q13" s="407" t="str">
        <f t="shared" si="0"/>
        <v>Chipre</v>
      </c>
      <c r="R13" s="407">
        <f t="shared" si="1"/>
        <v>3</v>
      </c>
      <c r="S13" s="415">
        <f t="shared" si="1"/>
        <v>0.125</v>
      </c>
      <c r="T13" s="407">
        <f t="shared" si="1"/>
        <v>0</v>
      </c>
      <c r="U13" s="407">
        <f t="shared" si="1"/>
        <v>1</v>
      </c>
      <c r="V13" s="415">
        <f t="shared" si="1"/>
        <v>4.1666666666666664E-2</v>
      </c>
      <c r="W13" s="407">
        <f t="shared" si="1"/>
        <v>1</v>
      </c>
      <c r="Z13" s="407">
        <v>11</v>
      </c>
      <c r="AA13" s="407" t="str">
        <f>Idiomas!D130</f>
        <v>Chipre</v>
      </c>
      <c r="AB13" s="407">
        <v>3</v>
      </c>
      <c r="AC13" s="415">
        <v>0.125</v>
      </c>
      <c r="AD13" s="407">
        <f t="shared" si="2"/>
        <v>0</v>
      </c>
      <c r="AE13" s="407">
        <f t="shared" si="3"/>
        <v>1</v>
      </c>
      <c r="AF13" s="415">
        <f t="shared" si="4"/>
        <v>4.1666666666666664E-2</v>
      </c>
      <c r="AG13" s="407">
        <f t="shared" si="5"/>
        <v>1</v>
      </c>
      <c r="AH13" s="407">
        <v>2</v>
      </c>
      <c r="AI13" s="407">
        <f t="shared" si="6"/>
        <v>11</v>
      </c>
      <c r="AK13" s="407">
        <f t="shared" si="7"/>
        <v>1</v>
      </c>
    </row>
    <row r="14" spans="1:37">
      <c r="A14" s="410">
        <v>45918.78125</v>
      </c>
      <c r="C14" s="411" cm="1">
        <f t="array" ref="C14">A14+INDEX($V$3:V$93,$C$1)*INDEX($W$3:$W$93,$C$1)</f>
        <v>45918.78125</v>
      </c>
      <c r="E14" s="411"/>
      <c r="P14" s="407">
        <v>12</v>
      </c>
      <c r="Q14" s="407" t="str">
        <f t="shared" si="0"/>
        <v>Croacia</v>
      </c>
      <c r="R14" s="407">
        <f t="shared" si="1"/>
        <v>2</v>
      </c>
      <c r="S14" s="415">
        <f t="shared" si="1"/>
        <v>8.3333333333333329E-2</v>
      </c>
      <c r="T14" s="407">
        <f t="shared" si="1"/>
        <v>0</v>
      </c>
      <c r="U14" s="407">
        <f t="shared" si="1"/>
        <v>0</v>
      </c>
      <c r="V14" s="415">
        <f t="shared" si="1"/>
        <v>0</v>
      </c>
      <c r="W14" s="407">
        <f t="shared" si="1"/>
        <v>0</v>
      </c>
      <c r="Z14" s="407">
        <v>12</v>
      </c>
      <c r="AA14" s="407" t="str">
        <f>Idiomas!D131</f>
        <v>Croacia</v>
      </c>
      <c r="AB14" s="407">
        <v>2</v>
      </c>
      <c r="AC14" s="415">
        <v>8.3333333333333329E-2</v>
      </c>
      <c r="AD14" s="407">
        <f t="shared" si="2"/>
        <v>0</v>
      </c>
      <c r="AE14" s="407">
        <f t="shared" si="3"/>
        <v>0</v>
      </c>
      <c r="AF14" s="415">
        <f t="shared" si="4"/>
        <v>0</v>
      </c>
      <c r="AG14" s="407">
        <f t="shared" si="5"/>
        <v>0</v>
      </c>
      <c r="AH14" s="407">
        <v>1</v>
      </c>
      <c r="AI14" s="407">
        <f t="shared" si="6"/>
        <v>12</v>
      </c>
      <c r="AK14" s="407">
        <f t="shared" si="7"/>
        <v>1</v>
      </c>
    </row>
    <row r="15" spans="1:37">
      <c r="A15" s="410">
        <v>45918.78125</v>
      </c>
      <c r="C15" s="411" cm="1">
        <f t="array" ref="C15">A15+INDEX($V$3:V$93,$C$1)*INDEX($W$3:$W$93,$C$1)</f>
        <v>45918.78125</v>
      </c>
      <c r="E15" s="411"/>
      <c r="P15" s="407">
        <v>13</v>
      </c>
      <c r="Q15" s="407" t="str">
        <f t="shared" si="0"/>
        <v>Dinamarca</v>
      </c>
      <c r="R15" s="407">
        <f t="shared" si="1"/>
        <v>2</v>
      </c>
      <c r="S15" s="415">
        <f t="shared" si="1"/>
        <v>8.3333333333333329E-2</v>
      </c>
      <c r="T15" s="407">
        <f t="shared" si="1"/>
        <v>0</v>
      </c>
      <c r="U15" s="407">
        <f t="shared" si="1"/>
        <v>0</v>
      </c>
      <c r="V15" s="415">
        <f t="shared" si="1"/>
        <v>0</v>
      </c>
      <c r="W15" s="407">
        <f t="shared" si="1"/>
        <v>0</v>
      </c>
      <c r="Z15" s="407">
        <v>13</v>
      </c>
      <c r="AA15" s="407" t="str">
        <f>Idiomas!D132</f>
        <v>Dinamarca</v>
      </c>
      <c r="AB15" s="407">
        <v>2</v>
      </c>
      <c r="AC15" s="415">
        <v>8.3333333333333329E-2</v>
      </c>
      <c r="AD15" s="407">
        <f t="shared" si="2"/>
        <v>0</v>
      </c>
      <c r="AE15" s="407">
        <f t="shared" si="3"/>
        <v>0</v>
      </c>
      <c r="AF15" s="415">
        <f t="shared" si="4"/>
        <v>0</v>
      </c>
      <c r="AG15" s="407">
        <f t="shared" si="5"/>
        <v>0</v>
      </c>
      <c r="AH15" s="407">
        <v>1</v>
      </c>
      <c r="AI15" s="407">
        <f t="shared" si="6"/>
        <v>13</v>
      </c>
      <c r="AK15" s="407">
        <f t="shared" si="7"/>
        <v>1</v>
      </c>
    </row>
    <row r="16" spans="1:37">
      <c r="A16" s="410">
        <v>45918.875</v>
      </c>
      <c r="C16" s="411" cm="1">
        <f t="array" ref="C16">A16+INDEX($V$3:V$93,$C$1)*INDEX($W$3:$W$93,$C$1)</f>
        <v>45918.875</v>
      </c>
      <c r="E16" s="411"/>
      <c r="P16" s="407">
        <v>14</v>
      </c>
      <c r="Q16" s="407" t="str">
        <f t="shared" si="0"/>
        <v>Escocia</v>
      </c>
      <c r="R16" s="407">
        <f t="shared" si="1"/>
        <v>1</v>
      </c>
      <c r="S16" s="415">
        <f t="shared" si="1"/>
        <v>4.1666666666666664E-2</v>
      </c>
      <c r="T16" s="407">
        <f t="shared" si="1"/>
        <v>0</v>
      </c>
      <c r="U16" s="407">
        <f t="shared" si="1"/>
        <v>-1</v>
      </c>
      <c r="V16" s="415">
        <f t="shared" si="1"/>
        <v>4.1666666666666664E-2</v>
      </c>
      <c r="W16" s="407">
        <f t="shared" si="1"/>
        <v>-1</v>
      </c>
      <c r="Z16" s="407">
        <v>14</v>
      </c>
      <c r="AA16" s="407" t="str">
        <f>Idiomas!D133</f>
        <v>Escocia</v>
      </c>
      <c r="AB16" s="407">
        <v>1</v>
      </c>
      <c r="AC16" s="415">
        <v>4.1666666666666664E-2</v>
      </c>
      <c r="AD16" s="407">
        <f t="shared" si="2"/>
        <v>0</v>
      </c>
      <c r="AE16" s="407">
        <f t="shared" si="3"/>
        <v>-1</v>
      </c>
      <c r="AF16" s="415">
        <f t="shared" si="4"/>
        <v>4.1666666666666664E-2</v>
      </c>
      <c r="AG16" s="407">
        <f t="shared" si="5"/>
        <v>-1</v>
      </c>
      <c r="AH16" s="407">
        <v>0</v>
      </c>
      <c r="AI16" s="407">
        <f t="shared" si="6"/>
        <v>14</v>
      </c>
      <c r="AK16" s="407">
        <f t="shared" si="7"/>
        <v>1</v>
      </c>
    </row>
    <row r="17" spans="1:37">
      <c r="A17" s="410">
        <v>45918.875</v>
      </c>
      <c r="C17" s="411" cm="1">
        <f t="array" ref="C17">A17+INDEX($V$3:V$93,$C$1)*INDEX($W$3:$W$93,$C$1)</f>
        <v>45918.875</v>
      </c>
      <c r="E17" s="411"/>
      <c r="P17" s="407">
        <v>15</v>
      </c>
      <c r="Q17" s="407" t="str">
        <f t="shared" si="0"/>
        <v>Eslovaquia</v>
      </c>
      <c r="R17" s="407">
        <f t="shared" si="1"/>
        <v>2</v>
      </c>
      <c r="S17" s="415">
        <f t="shared" si="1"/>
        <v>8.3333333333333329E-2</v>
      </c>
      <c r="T17" s="407">
        <f t="shared" si="1"/>
        <v>0</v>
      </c>
      <c r="U17" s="407">
        <f t="shared" si="1"/>
        <v>0</v>
      </c>
      <c r="V17" s="415">
        <f t="shared" si="1"/>
        <v>0</v>
      </c>
      <c r="W17" s="407">
        <f t="shared" si="1"/>
        <v>0</v>
      </c>
      <c r="Z17" s="407">
        <v>15</v>
      </c>
      <c r="AA17" s="407" t="str">
        <f>Idiomas!D134</f>
        <v>Eslovaquia</v>
      </c>
      <c r="AB17" s="407">
        <v>2</v>
      </c>
      <c r="AC17" s="415">
        <v>8.3333333333333329E-2</v>
      </c>
      <c r="AD17" s="407">
        <f t="shared" si="2"/>
        <v>0</v>
      </c>
      <c r="AE17" s="407">
        <f t="shared" si="3"/>
        <v>0</v>
      </c>
      <c r="AF17" s="415">
        <f t="shared" si="4"/>
        <v>0</v>
      </c>
      <c r="AG17" s="407">
        <f t="shared" si="5"/>
        <v>0</v>
      </c>
      <c r="AH17" s="407">
        <v>1</v>
      </c>
      <c r="AI17" s="407">
        <f t="shared" si="6"/>
        <v>15</v>
      </c>
      <c r="AK17" s="407">
        <f t="shared" si="7"/>
        <v>1</v>
      </c>
    </row>
    <row r="18" spans="1:37">
      <c r="A18" s="410">
        <v>45918.875</v>
      </c>
      <c r="C18" s="411" cm="1">
        <f t="array" ref="C18">A18+INDEX($V$3:V$93,$C$1)*INDEX($W$3:$W$93,$C$1)</f>
        <v>45918.875</v>
      </c>
      <c r="E18" s="411"/>
      <c r="P18" s="407">
        <v>16</v>
      </c>
      <c r="Q18" s="407" t="str">
        <f t="shared" si="0"/>
        <v>Eslovenia</v>
      </c>
      <c r="R18" s="407">
        <f t="shared" si="1"/>
        <v>2</v>
      </c>
      <c r="S18" s="415">
        <f t="shared" si="1"/>
        <v>8.3333333333333329E-2</v>
      </c>
      <c r="T18" s="407">
        <f t="shared" si="1"/>
        <v>0</v>
      </c>
      <c r="U18" s="407">
        <f t="shared" si="1"/>
        <v>0</v>
      </c>
      <c r="V18" s="415">
        <f t="shared" si="1"/>
        <v>0</v>
      </c>
      <c r="W18" s="407">
        <f t="shared" si="1"/>
        <v>0</v>
      </c>
      <c r="Z18" s="407">
        <v>16</v>
      </c>
      <c r="AA18" s="407" t="str">
        <f>Idiomas!D135</f>
        <v>Eslovenia</v>
      </c>
      <c r="AB18" s="407">
        <v>2</v>
      </c>
      <c r="AC18" s="415">
        <v>8.3333333333333329E-2</v>
      </c>
      <c r="AD18" s="407">
        <f t="shared" si="2"/>
        <v>0</v>
      </c>
      <c r="AE18" s="407">
        <f t="shared" si="3"/>
        <v>0</v>
      </c>
      <c r="AF18" s="415">
        <f t="shared" si="4"/>
        <v>0</v>
      </c>
      <c r="AG18" s="407">
        <f t="shared" si="5"/>
        <v>0</v>
      </c>
      <c r="AH18" s="407">
        <v>1</v>
      </c>
      <c r="AI18" s="407">
        <f t="shared" si="6"/>
        <v>16</v>
      </c>
      <c r="AK18" s="407">
        <f t="shared" si="7"/>
        <v>1</v>
      </c>
    </row>
    <row r="19" spans="1:37" ht="17.100000000000001" thickBot="1">
      <c r="A19" s="416">
        <v>45918.875</v>
      </c>
      <c r="C19" s="411" cm="1">
        <f t="array" ref="C19">A19+INDEX($V$3:V$93,$C$1)*INDEX($W$3:$W$93,$C$1)</f>
        <v>45918.875</v>
      </c>
      <c r="E19" s="411"/>
      <c r="P19" s="407">
        <v>17</v>
      </c>
      <c r="Q19" s="407" t="str">
        <f t="shared" si="0"/>
        <v>España</v>
      </c>
      <c r="R19" s="407">
        <f t="shared" si="1"/>
        <v>2</v>
      </c>
      <c r="S19" s="415">
        <f t="shared" si="1"/>
        <v>8.3333333333333329E-2</v>
      </c>
      <c r="T19" s="407">
        <f t="shared" si="1"/>
        <v>0</v>
      </c>
      <c r="U19" s="407">
        <f t="shared" si="1"/>
        <v>0</v>
      </c>
      <c r="V19" s="415">
        <f t="shared" si="1"/>
        <v>0</v>
      </c>
      <c r="W19" s="407">
        <f t="shared" si="1"/>
        <v>0</v>
      </c>
      <c r="Z19" s="407">
        <v>17</v>
      </c>
      <c r="AA19" s="407" t="str">
        <f>Idiomas!D136</f>
        <v>España</v>
      </c>
      <c r="AB19" s="407">
        <v>2</v>
      </c>
      <c r="AC19" s="415">
        <v>8.3333333333333329E-2</v>
      </c>
      <c r="AD19" s="407">
        <f t="shared" si="2"/>
        <v>0</v>
      </c>
      <c r="AE19" s="407">
        <f t="shared" si="3"/>
        <v>0</v>
      </c>
      <c r="AF19" s="415">
        <f t="shared" si="4"/>
        <v>0</v>
      </c>
      <c r="AG19" s="407">
        <f t="shared" si="5"/>
        <v>0</v>
      </c>
      <c r="AH19" s="407">
        <v>1</v>
      </c>
      <c r="AI19" s="407">
        <f t="shared" si="6"/>
        <v>17</v>
      </c>
      <c r="AK19" s="407">
        <f t="shared" si="7"/>
        <v>1</v>
      </c>
    </row>
    <row r="20" spans="1:37">
      <c r="A20" s="410">
        <v>45930.78125</v>
      </c>
      <c r="C20" s="411" cm="1">
        <f t="array" ref="C20">A20+INDEX($V$3:V$93,$C$1)*INDEX($W$3:$W$93,$C$1)</f>
        <v>45930.78125</v>
      </c>
      <c r="E20" s="411"/>
      <c r="P20" s="407">
        <v>18</v>
      </c>
      <c r="Q20" s="407" t="str">
        <f t="shared" si="0"/>
        <v>Estonia</v>
      </c>
      <c r="R20" s="407">
        <f t="shared" si="1"/>
        <v>3</v>
      </c>
      <c r="S20" s="415">
        <f t="shared" si="1"/>
        <v>0.125</v>
      </c>
      <c r="T20" s="407">
        <f t="shared" si="1"/>
        <v>0</v>
      </c>
      <c r="U20" s="407">
        <f t="shared" si="1"/>
        <v>1</v>
      </c>
      <c r="V20" s="415">
        <f t="shared" si="1"/>
        <v>4.1666666666666664E-2</v>
      </c>
      <c r="W20" s="407">
        <f t="shared" si="1"/>
        <v>1</v>
      </c>
      <c r="Z20" s="407">
        <v>18</v>
      </c>
      <c r="AA20" s="407" t="str">
        <f>Idiomas!D137</f>
        <v>Estonia</v>
      </c>
      <c r="AB20" s="407">
        <v>3</v>
      </c>
      <c r="AC20" s="415">
        <v>0.125</v>
      </c>
      <c r="AD20" s="407">
        <f t="shared" si="2"/>
        <v>0</v>
      </c>
      <c r="AE20" s="407">
        <f t="shared" si="3"/>
        <v>1</v>
      </c>
      <c r="AF20" s="415">
        <f t="shared" si="4"/>
        <v>4.1666666666666664E-2</v>
      </c>
      <c r="AG20" s="407">
        <f t="shared" si="5"/>
        <v>1</v>
      </c>
      <c r="AH20" s="407">
        <v>2</v>
      </c>
      <c r="AI20" s="407">
        <f t="shared" si="6"/>
        <v>18</v>
      </c>
      <c r="AK20" s="407">
        <f t="shared" si="7"/>
        <v>1</v>
      </c>
    </row>
    <row r="21" spans="1:37">
      <c r="A21" s="410">
        <v>45930.78125</v>
      </c>
      <c r="C21" s="411" cm="1">
        <f t="array" ref="C21">A21+INDEX($V$3:V$93,$C$1)*INDEX($W$3:$W$93,$C$1)</f>
        <v>45930.78125</v>
      </c>
      <c r="E21" s="411"/>
      <c r="P21" s="407">
        <v>19</v>
      </c>
      <c r="Q21" s="407" t="str">
        <f t="shared" si="0"/>
        <v>Finlandia</v>
      </c>
      <c r="R21" s="407">
        <f t="shared" si="1"/>
        <v>3</v>
      </c>
      <c r="S21" s="415">
        <f t="shared" si="1"/>
        <v>0.125</v>
      </c>
      <c r="T21" s="407">
        <f t="shared" si="1"/>
        <v>0</v>
      </c>
      <c r="U21" s="407">
        <f t="shared" si="1"/>
        <v>1</v>
      </c>
      <c r="V21" s="415">
        <f t="shared" si="1"/>
        <v>4.1666666666666664E-2</v>
      </c>
      <c r="W21" s="407">
        <f t="shared" si="1"/>
        <v>1</v>
      </c>
      <c r="Z21" s="407">
        <v>19</v>
      </c>
      <c r="AA21" s="407" t="str">
        <f>Idiomas!D138</f>
        <v>Finlandia</v>
      </c>
      <c r="AB21" s="407">
        <v>3</v>
      </c>
      <c r="AC21" s="415">
        <v>0.125</v>
      </c>
      <c r="AD21" s="407">
        <f t="shared" si="2"/>
        <v>0</v>
      </c>
      <c r="AE21" s="407">
        <f t="shared" si="3"/>
        <v>1</v>
      </c>
      <c r="AF21" s="415">
        <f t="shared" si="4"/>
        <v>4.1666666666666664E-2</v>
      </c>
      <c r="AG21" s="407">
        <f t="shared" si="5"/>
        <v>1</v>
      </c>
      <c r="AH21" s="407">
        <v>2</v>
      </c>
      <c r="AI21" s="407">
        <f t="shared" si="6"/>
        <v>19</v>
      </c>
      <c r="AK21" s="407">
        <f t="shared" si="7"/>
        <v>1</v>
      </c>
    </row>
    <row r="22" spans="1:37">
      <c r="A22" s="410">
        <v>45930.875</v>
      </c>
      <c r="C22" s="411" cm="1">
        <f t="array" ref="C22">A22+INDEX($V$3:V$93,$C$1)*INDEX($W$3:$W$93,$C$1)</f>
        <v>45930.875</v>
      </c>
      <c r="E22" s="411"/>
      <c r="P22" s="407">
        <v>20</v>
      </c>
      <c r="Q22" s="407" t="str">
        <f t="shared" si="0"/>
        <v>Francia</v>
      </c>
      <c r="R22" s="407">
        <f t="shared" si="1"/>
        <v>2</v>
      </c>
      <c r="S22" s="415">
        <f t="shared" si="1"/>
        <v>8.3333333333333329E-2</v>
      </c>
      <c r="T22" s="407">
        <f t="shared" si="1"/>
        <v>0</v>
      </c>
      <c r="U22" s="407">
        <f t="shared" si="1"/>
        <v>0</v>
      </c>
      <c r="V22" s="415">
        <f t="shared" si="1"/>
        <v>0</v>
      </c>
      <c r="W22" s="407">
        <f t="shared" si="1"/>
        <v>0</v>
      </c>
      <c r="Z22" s="407">
        <v>20</v>
      </c>
      <c r="AA22" s="407" t="str">
        <f>Idiomas!D139</f>
        <v>Francia</v>
      </c>
      <c r="AB22" s="407">
        <v>2</v>
      </c>
      <c r="AC22" s="415">
        <v>8.3333333333333329E-2</v>
      </c>
      <c r="AD22" s="407">
        <f t="shared" si="2"/>
        <v>0</v>
      </c>
      <c r="AE22" s="407">
        <f t="shared" si="3"/>
        <v>0</v>
      </c>
      <c r="AF22" s="415">
        <f t="shared" si="4"/>
        <v>0</v>
      </c>
      <c r="AG22" s="407">
        <f t="shared" si="5"/>
        <v>0</v>
      </c>
      <c r="AH22" s="407">
        <v>1</v>
      </c>
      <c r="AI22" s="407">
        <f t="shared" si="6"/>
        <v>20</v>
      </c>
      <c r="AK22" s="407">
        <f t="shared" si="7"/>
        <v>1</v>
      </c>
    </row>
    <row r="23" spans="1:37">
      <c r="A23" s="410">
        <v>45930.875</v>
      </c>
      <c r="C23" s="411" cm="1">
        <f t="array" ref="C23">A23+INDEX($V$3:V$93,$C$1)*INDEX($W$3:$W$93,$C$1)</f>
        <v>45930.875</v>
      </c>
      <c r="E23" s="411"/>
      <c r="P23" s="407">
        <v>21</v>
      </c>
      <c r="Q23" s="407" t="str">
        <f t="shared" si="0"/>
        <v>Gales</v>
      </c>
      <c r="R23" s="407">
        <f t="shared" si="1"/>
        <v>1</v>
      </c>
      <c r="S23" s="415">
        <f t="shared" si="1"/>
        <v>4.1666666666666664E-2</v>
      </c>
      <c r="T23" s="407">
        <f t="shared" si="1"/>
        <v>0</v>
      </c>
      <c r="U23" s="407">
        <f t="shared" si="1"/>
        <v>-1</v>
      </c>
      <c r="V23" s="415">
        <f t="shared" si="1"/>
        <v>4.1666666666666664E-2</v>
      </c>
      <c r="W23" s="407">
        <f t="shared" si="1"/>
        <v>-1</v>
      </c>
      <c r="Z23" s="407">
        <v>21</v>
      </c>
      <c r="AA23" s="407" t="str">
        <f>Idiomas!D140</f>
        <v>Gales</v>
      </c>
      <c r="AB23" s="407">
        <v>1</v>
      </c>
      <c r="AC23" s="415">
        <v>4.1666666666666664E-2</v>
      </c>
      <c r="AD23" s="407">
        <f t="shared" si="2"/>
        <v>0</v>
      </c>
      <c r="AE23" s="407">
        <f t="shared" si="3"/>
        <v>-1</v>
      </c>
      <c r="AF23" s="415">
        <f t="shared" si="4"/>
        <v>4.1666666666666664E-2</v>
      </c>
      <c r="AG23" s="407">
        <f t="shared" si="5"/>
        <v>-1</v>
      </c>
      <c r="AH23" s="407">
        <v>0</v>
      </c>
      <c r="AI23" s="407">
        <f t="shared" si="6"/>
        <v>21</v>
      </c>
      <c r="AK23" s="407">
        <f t="shared" si="7"/>
        <v>1</v>
      </c>
    </row>
    <row r="24" spans="1:37">
      <c r="A24" s="410">
        <v>45930.875</v>
      </c>
      <c r="C24" s="411" cm="1">
        <f t="array" ref="C24">A24+INDEX($V$3:V$93,$C$1)*INDEX($W$3:$W$93,$C$1)</f>
        <v>45930.875</v>
      </c>
      <c r="E24" s="411"/>
      <c r="P24" s="407">
        <v>22</v>
      </c>
      <c r="Q24" s="407" t="str">
        <f t="shared" si="0"/>
        <v>Georgia</v>
      </c>
      <c r="R24" s="407">
        <f t="shared" si="1"/>
        <v>4</v>
      </c>
      <c r="S24" s="415">
        <f t="shared" si="1"/>
        <v>0.16666666666666666</v>
      </c>
      <c r="T24" s="407">
        <f t="shared" si="1"/>
        <v>0</v>
      </c>
      <c r="U24" s="407">
        <f t="shared" si="1"/>
        <v>2</v>
      </c>
      <c r="V24" s="415">
        <f t="shared" si="1"/>
        <v>8.3333333333333329E-2</v>
      </c>
      <c r="W24" s="407">
        <f t="shared" si="1"/>
        <v>1</v>
      </c>
      <c r="Z24" s="407">
        <v>22</v>
      </c>
      <c r="AA24" s="407" t="str">
        <f>Idiomas!D141</f>
        <v>Georgia</v>
      </c>
      <c r="AB24" s="407">
        <v>4</v>
      </c>
      <c r="AC24" s="415">
        <v>0.16666666666666666</v>
      </c>
      <c r="AD24" s="407">
        <f t="shared" si="2"/>
        <v>0</v>
      </c>
      <c r="AE24" s="407">
        <f t="shared" si="3"/>
        <v>2</v>
      </c>
      <c r="AF24" s="415">
        <f t="shared" si="4"/>
        <v>8.3333333333333329E-2</v>
      </c>
      <c r="AG24" s="407">
        <f t="shared" si="5"/>
        <v>1</v>
      </c>
      <c r="AH24" s="407">
        <v>4</v>
      </c>
      <c r="AI24" s="407">
        <f t="shared" si="6"/>
        <v>22</v>
      </c>
      <c r="AK24" s="407">
        <f t="shared" si="7"/>
        <v>0</v>
      </c>
    </row>
    <row r="25" spans="1:37">
      <c r="A25" s="410">
        <v>45930.875</v>
      </c>
      <c r="C25" s="411" cm="1">
        <f t="array" ref="C25">A25+INDEX($V$3:V$93,$C$1)*INDEX($W$3:$W$93,$C$1)</f>
        <v>45930.875</v>
      </c>
      <c r="E25" s="411"/>
      <c r="P25" s="407">
        <v>23</v>
      </c>
      <c r="Q25" s="407" t="str">
        <f t="shared" si="0"/>
        <v>Gibraltar</v>
      </c>
      <c r="R25" s="407">
        <f t="shared" si="1"/>
        <v>2</v>
      </c>
      <c r="S25" s="415">
        <f t="shared" si="1"/>
        <v>8.3333333333333329E-2</v>
      </c>
      <c r="T25" s="407">
        <f t="shared" si="1"/>
        <v>0</v>
      </c>
      <c r="U25" s="407">
        <f t="shared" si="1"/>
        <v>0</v>
      </c>
      <c r="V25" s="415">
        <f t="shared" si="1"/>
        <v>0</v>
      </c>
      <c r="W25" s="407">
        <f t="shared" si="1"/>
        <v>0</v>
      </c>
      <c r="Z25" s="407">
        <v>23</v>
      </c>
      <c r="AA25" s="407" t="str">
        <f>Idiomas!D142</f>
        <v>Gibraltar</v>
      </c>
      <c r="AB25" s="407">
        <v>2</v>
      </c>
      <c r="AC25" s="415">
        <v>8.3333333333333329E-2</v>
      </c>
      <c r="AD25" s="407">
        <f t="shared" si="2"/>
        <v>0</v>
      </c>
      <c r="AE25" s="407">
        <f t="shared" si="3"/>
        <v>0</v>
      </c>
      <c r="AF25" s="415">
        <f t="shared" si="4"/>
        <v>0</v>
      </c>
      <c r="AG25" s="407">
        <f t="shared" si="5"/>
        <v>0</v>
      </c>
      <c r="AH25" s="407">
        <v>1</v>
      </c>
      <c r="AI25" s="407">
        <f t="shared" si="6"/>
        <v>23</v>
      </c>
      <c r="AK25" s="407">
        <f t="shared" si="7"/>
        <v>1</v>
      </c>
    </row>
    <row r="26" spans="1:37">
      <c r="A26" s="410">
        <v>45930.875</v>
      </c>
      <c r="C26" s="411" cm="1">
        <f t="array" ref="C26">A26+INDEX($V$3:V$93,$C$1)*INDEX($W$3:$W$93,$C$1)</f>
        <v>45930.875</v>
      </c>
      <c r="E26" s="411"/>
      <c r="P26" s="407">
        <v>24</v>
      </c>
      <c r="Q26" s="407" t="str">
        <f t="shared" si="0"/>
        <v>Grecia</v>
      </c>
      <c r="R26" s="407">
        <f t="shared" si="1"/>
        <v>3</v>
      </c>
      <c r="S26" s="415">
        <f t="shared" si="1"/>
        <v>0.125</v>
      </c>
      <c r="T26" s="407">
        <f t="shared" si="1"/>
        <v>0</v>
      </c>
      <c r="U26" s="407">
        <f t="shared" si="1"/>
        <v>1</v>
      </c>
      <c r="V26" s="415">
        <f t="shared" si="1"/>
        <v>4.1666666666666664E-2</v>
      </c>
      <c r="W26" s="407">
        <f t="shared" si="1"/>
        <v>1</v>
      </c>
      <c r="Z26" s="407">
        <v>24</v>
      </c>
      <c r="AA26" s="407" t="str">
        <f>Idiomas!D143</f>
        <v>Grecia</v>
      </c>
      <c r="AB26" s="407">
        <v>3</v>
      </c>
      <c r="AC26" s="415">
        <v>0.125</v>
      </c>
      <c r="AD26" s="407">
        <f t="shared" si="2"/>
        <v>0</v>
      </c>
      <c r="AE26" s="407">
        <f t="shared" si="3"/>
        <v>1</v>
      </c>
      <c r="AF26" s="415">
        <f t="shared" si="4"/>
        <v>4.1666666666666664E-2</v>
      </c>
      <c r="AG26" s="407">
        <f t="shared" si="5"/>
        <v>1</v>
      </c>
      <c r="AH26" s="407">
        <v>2</v>
      </c>
      <c r="AI26" s="407">
        <f t="shared" si="6"/>
        <v>24</v>
      </c>
      <c r="AK26" s="407">
        <f t="shared" si="7"/>
        <v>1</v>
      </c>
    </row>
    <row r="27" spans="1:37">
      <c r="A27" s="410">
        <v>45930.875</v>
      </c>
      <c r="C27" s="411" cm="1">
        <f t="array" ref="C27">A27+INDEX($V$3:V$93,$C$1)*INDEX($W$3:$W$93,$C$1)</f>
        <v>45930.875</v>
      </c>
      <c r="E27" s="411"/>
      <c r="P27" s="407">
        <v>25</v>
      </c>
      <c r="Q27" s="407" t="str">
        <f t="shared" si="0"/>
        <v>Hungría</v>
      </c>
      <c r="R27" s="407">
        <f t="shared" si="1"/>
        <v>2</v>
      </c>
      <c r="S27" s="415">
        <f t="shared" si="1"/>
        <v>8.3333333333333329E-2</v>
      </c>
      <c r="T27" s="407">
        <f t="shared" si="1"/>
        <v>0</v>
      </c>
      <c r="U27" s="407">
        <f t="shared" si="1"/>
        <v>0</v>
      </c>
      <c r="V27" s="415">
        <f t="shared" si="1"/>
        <v>0</v>
      </c>
      <c r="W27" s="407">
        <f t="shared" si="1"/>
        <v>0</v>
      </c>
      <c r="Z27" s="407">
        <v>25</v>
      </c>
      <c r="AA27" s="407" t="str">
        <f>Idiomas!D144</f>
        <v>Hungría</v>
      </c>
      <c r="AB27" s="407">
        <v>2</v>
      </c>
      <c r="AC27" s="415">
        <v>8.3333333333333329E-2</v>
      </c>
      <c r="AD27" s="407">
        <f t="shared" si="2"/>
        <v>0</v>
      </c>
      <c r="AE27" s="407">
        <f t="shared" si="3"/>
        <v>0</v>
      </c>
      <c r="AF27" s="415">
        <f t="shared" si="4"/>
        <v>0</v>
      </c>
      <c r="AG27" s="407">
        <f t="shared" si="5"/>
        <v>0</v>
      </c>
      <c r="AH27" s="407">
        <v>1</v>
      </c>
      <c r="AI27" s="407">
        <f t="shared" si="6"/>
        <v>25</v>
      </c>
      <c r="AK27" s="407">
        <f t="shared" si="7"/>
        <v>1</v>
      </c>
    </row>
    <row r="28" spans="1:37">
      <c r="A28" s="410">
        <v>45930.875</v>
      </c>
      <c r="C28" s="411" cm="1">
        <f t="array" ref="C28">A28+INDEX($V$3:V$93,$C$1)*INDEX($W$3:$W$93,$C$1)</f>
        <v>45930.875</v>
      </c>
      <c r="E28" s="411"/>
      <c r="P28" s="407">
        <v>26</v>
      </c>
      <c r="Q28" s="407" t="str">
        <f t="shared" si="0"/>
        <v>Inglaterra</v>
      </c>
      <c r="R28" s="407">
        <f t="shared" si="1"/>
        <v>1</v>
      </c>
      <c r="S28" s="415">
        <f t="shared" si="1"/>
        <v>4.1666666666666664E-2</v>
      </c>
      <c r="T28" s="407">
        <f t="shared" si="1"/>
        <v>0</v>
      </c>
      <c r="U28" s="407">
        <f t="shared" si="1"/>
        <v>-1</v>
      </c>
      <c r="V28" s="415">
        <f t="shared" si="1"/>
        <v>4.1666666666666664E-2</v>
      </c>
      <c r="W28" s="407">
        <f t="shared" si="1"/>
        <v>-1</v>
      </c>
      <c r="Z28" s="407">
        <v>26</v>
      </c>
      <c r="AA28" s="407" t="str">
        <f>Idiomas!D145</f>
        <v>Inglaterra</v>
      </c>
      <c r="AB28" s="407">
        <v>1</v>
      </c>
      <c r="AC28" s="415">
        <v>4.1666666666666664E-2</v>
      </c>
      <c r="AD28" s="407">
        <f t="shared" si="2"/>
        <v>0</v>
      </c>
      <c r="AE28" s="407">
        <f t="shared" si="3"/>
        <v>-1</v>
      </c>
      <c r="AF28" s="415">
        <f t="shared" si="4"/>
        <v>4.1666666666666664E-2</v>
      </c>
      <c r="AG28" s="407">
        <f t="shared" si="5"/>
        <v>-1</v>
      </c>
      <c r="AH28" s="407">
        <v>0</v>
      </c>
      <c r="AI28" s="407">
        <f t="shared" si="6"/>
        <v>26</v>
      </c>
      <c r="AK28" s="407">
        <f t="shared" si="7"/>
        <v>1</v>
      </c>
    </row>
    <row r="29" spans="1:37">
      <c r="A29" s="410">
        <v>45931.78125</v>
      </c>
      <c r="C29" s="411" cm="1">
        <f t="array" ref="C29">A29+INDEX($V$3:V$93,$C$1)*INDEX($W$3:$W$93,$C$1)</f>
        <v>45931.78125</v>
      </c>
      <c r="E29" s="411"/>
      <c r="P29" s="407">
        <v>27</v>
      </c>
      <c r="Q29" s="407" t="str">
        <f t="shared" si="0"/>
        <v>Irlanda</v>
      </c>
      <c r="R29" s="407">
        <f t="shared" si="1"/>
        <v>1</v>
      </c>
      <c r="S29" s="415">
        <f t="shared" si="1"/>
        <v>4.1666666666666664E-2</v>
      </c>
      <c r="T29" s="407">
        <f t="shared" si="1"/>
        <v>0</v>
      </c>
      <c r="U29" s="407">
        <f t="shared" si="1"/>
        <v>-1</v>
      </c>
      <c r="V29" s="415">
        <f t="shared" si="1"/>
        <v>4.1666666666666664E-2</v>
      </c>
      <c r="W29" s="407">
        <f t="shared" si="1"/>
        <v>-1</v>
      </c>
      <c r="Z29" s="407">
        <v>27</v>
      </c>
      <c r="AA29" s="407" t="str">
        <f>Idiomas!D146</f>
        <v>Irlanda</v>
      </c>
      <c r="AB29" s="407">
        <v>1</v>
      </c>
      <c r="AC29" s="415">
        <v>4.1666666666666664E-2</v>
      </c>
      <c r="AD29" s="407">
        <f t="shared" si="2"/>
        <v>0</v>
      </c>
      <c r="AE29" s="407">
        <f t="shared" si="3"/>
        <v>-1</v>
      </c>
      <c r="AF29" s="415">
        <f t="shared" si="4"/>
        <v>4.1666666666666664E-2</v>
      </c>
      <c r="AG29" s="407">
        <f t="shared" si="5"/>
        <v>-1</v>
      </c>
      <c r="AH29" s="407">
        <v>0</v>
      </c>
      <c r="AI29" s="407">
        <f t="shared" si="6"/>
        <v>27</v>
      </c>
      <c r="AK29" s="407">
        <f t="shared" si="7"/>
        <v>1</v>
      </c>
    </row>
    <row r="30" spans="1:37">
      <c r="A30" s="410">
        <v>45931.78125</v>
      </c>
      <c r="C30" s="411" cm="1">
        <f t="array" ref="C30">A30+INDEX($V$3:V$93,$C$1)*INDEX($W$3:$W$93,$C$1)</f>
        <v>45931.78125</v>
      </c>
      <c r="E30" s="411"/>
      <c r="P30" s="407">
        <v>28</v>
      </c>
      <c r="Q30" s="407" t="str">
        <f t="shared" si="0"/>
        <v>Irlanda del Norte</v>
      </c>
      <c r="R30" s="407">
        <f t="shared" si="1"/>
        <v>1</v>
      </c>
      <c r="S30" s="415">
        <f t="shared" si="1"/>
        <v>4.1666666666666664E-2</v>
      </c>
      <c r="T30" s="407">
        <f t="shared" si="1"/>
        <v>0</v>
      </c>
      <c r="U30" s="407">
        <f t="shared" si="1"/>
        <v>-1</v>
      </c>
      <c r="V30" s="415">
        <f t="shared" si="1"/>
        <v>4.1666666666666664E-2</v>
      </c>
      <c r="W30" s="407">
        <f t="shared" si="1"/>
        <v>-1</v>
      </c>
      <c r="Z30" s="407">
        <v>28</v>
      </c>
      <c r="AA30" s="407" t="str">
        <f>Idiomas!D147</f>
        <v>Irlanda del Norte</v>
      </c>
      <c r="AB30" s="407">
        <v>1</v>
      </c>
      <c r="AC30" s="415">
        <v>4.1666666666666664E-2</v>
      </c>
      <c r="AD30" s="407">
        <f t="shared" si="2"/>
        <v>0</v>
      </c>
      <c r="AE30" s="407">
        <f t="shared" si="3"/>
        <v>-1</v>
      </c>
      <c r="AF30" s="415">
        <f t="shared" si="4"/>
        <v>4.1666666666666664E-2</v>
      </c>
      <c r="AG30" s="407">
        <f t="shared" si="5"/>
        <v>-1</v>
      </c>
      <c r="AH30" s="407">
        <v>0</v>
      </c>
      <c r="AI30" s="407">
        <f t="shared" si="6"/>
        <v>28</v>
      </c>
      <c r="AK30" s="407">
        <f t="shared" si="7"/>
        <v>1</v>
      </c>
    </row>
    <row r="31" spans="1:37">
      <c r="A31" s="410">
        <v>45931.875</v>
      </c>
      <c r="C31" s="411" cm="1">
        <f t="array" ref="C31">A31+INDEX($V$3:V$93,$C$1)*INDEX($W$3:$W$93,$C$1)</f>
        <v>45931.875</v>
      </c>
      <c r="E31" s="411"/>
      <c r="P31" s="407">
        <v>29</v>
      </c>
      <c r="Q31" s="407" t="str">
        <f t="shared" si="0"/>
        <v>Islandia</v>
      </c>
      <c r="R31" s="407">
        <f t="shared" si="1"/>
        <v>0</v>
      </c>
      <c r="S31" s="415">
        <f t="shared" si="1"/>
        <v>0</v>
      </c>
      <c r="T31" s="407">
        <f t="shared" si="1"/>
        <v>0</v>
      </c>
      <c r="U31" s="407">
        <f t="shared" si="1"/>
        <v>-2</v>
      </c>
      <c r="V31" s="415">
        <f t="shared" si="1"/>
        <v>8.3333333333333329E-2</v>
      </c>
      <c r="W31" s="407">
        <f t="shared" si="1"/>
        <v>-1</v>
      </c>
      <c r="Z31" s="407">
        <v>29</v>
      </c>
      <c r="AA31" s="407" t="str">
        <f>Idiomas!D148</f>
        <v>Islandia</v>
      </c>
      <c r="AB31" s="407">
        <v>0</v>
      </c>
      <c r="AC31" s="415">
        <v>0</v>
      </c>
      <c r="AD31" s="407">
        <f t="shared" si="2"/>
        <v>0</v>
      </c>
      <c r="AE31" s="407">
        <f t="shared" si="3"/>
        <v>-2</v>
      </c>
      <c r="AF31" s="415">
        <f t="shared" si="4"/>
        <v>8.3333333333333329E-2</v>
      </c>
      <c r="AG31" s="407">
        <f t="shared" si="5"/>
        <v>-1</v>
      </c>
      <c r="AH31" s="407">
        <v>0</v>
      </c>
      <c r="AI31" s="407">
        <f t="shared" si="6"/>
        <v>29</v>
      </c>
      <c r="AK31" s="407">
        <f t="shared" si="7"/>
        <v>0</v>
      </c>
    </row>
    <row r="32" spans="1:37">
      <c r="A32" s="410">
        <v>45931.875</v>
      </c>
      <c r="C32" s="411" cm="1">
        <f t="array" ref="C32">A32+INDEX($V$3:V$93,$C$1)*INDEX($W$3:$W$93,$C$1)</f>
        <v>45931.875</v>
      </c>
      <c r="E32" s="411"/>
      <c r="P32" s="407">
        <v>30</v>
      </c>
      <c r="Q32" s="407" t="str">
        <f t="shared" si="0"/>
        <v>Islas Feroe</v>
      </c>
      <c r="R32" s="407">
        <f t="shared" si="1"/>
        <v>1</v>
      </c>
      <c r="S32" s="415">
        <f t="shared" si="1"/>
        <v>4.1666666666666664E-2</v>
      </c>
      <c r="T32" s="407">
        <f t="shared" si="1"/>
        <v>0</v>
      </c>
      <c r="U32" s="407">
        <f t="shared" si="1"/>
        <v>-1</v>
      </c>
      <c r="V32" s="415">
        <f t="shared" si="1"/>
        <v>4.1666666666666664E-2</v>
      </c>
      <c r="W32" s="407">
        <f t="shared" si="1"/>
        <v>-1</v>
      </c>
      <c r="Z32" s="407">
        <v>30</v>
      </c>
      <c r="AA32" s="407" t="str">
        <f>Idiomas!D149</f>
        <v>Islas Feroe</v>
      </c>
      <c r="AB32" s="407">
        <v>1</v>
      </c>
      <c r="AC32" s="415">
        <v>4.1666666666666664E-2</v>
      </c>
      <c r="AD32" s="407">
        <f t="shared" si="2"/>
        <v>0</v>
      </c>
      <c r="AE32" s="407">
        <f t="shared" si="3"/>
        <v>-1</v>
      </c>
      <c r="AF32" s="415">
        <f t="shared" si="4"/>
        <v>4.1666666666666664E-2</v>
      </c>
      <c r="AG32" s="407">
        <f t="shared" si="5"/>
        <v>-1</v>
      </c>
      <c r="AH32" s="407">
        <v>0</v>
      </c>
      <c r="AI32" s="407">
        <f t="shared" si="6"/>
        <v>30</v>
      </c>
      <c r="AK32" s="407">
        <f t="shared" si="7"/>
        <v>1</v>
      </c>
    </row>
    <row r="33" spans="1:37">
      <c r="A33" s="410">
        <v>45931.875</v>
      </c>
      <c r="C33" s="411" cm="1">
        <f t="array" ref="C33">A33+INDEX($V$3:V$93,$C$1)*INDEX($W$3:$W$93,$C$1)</f>
        <v>45931.875</v>
      </c>
      <c r="E33" s="411"/>
      <c r="P33" s="407">
        <v>31</v>
      </c>
      <c r="Q33" s="407" t="str">
        <f t="shared" si="0"/>
        <v>Israel</v>
      </c>
      <c r="R33" s="407">
        <f t="shared" si="1"/>
        <v>3</v>
      </c>
      <c r="S33" s="415">
        <f t="shared" si="1"/>
        <v>0.125</v>
      </c>
      <c r="T33" s="407">
        <f t="shared" si="1"/>
        <v>0</v>
      </c>
      <c r="U33" s="407">
        <f t="shared" si="1"/>
        <v>1</v>
      </c>
      <c r="V33" s="415">
        <f t="shared" si="1"/>
        <v>4.1666666666666664E-2</v>
      </c>
      <c r="W33" s="407">
        <f t="shared" si="1"/>
        <v>1</v>
      </c>
      <c r="Z33" s="407">
        <v>31</v>
      </c>
      <c r="AA33" s="407" t="str">
        <f>Idiomas!D150</f>
        <v>Israel</v>
      </c>
      <c r="AB33" s="407">
        <v>3</v>
      </c>
      <c r="AC33" s="415">
        <v>0.125</v>
      </c>
      <c r="AD33" s="407">
        <f t="shared" si="2"/>
        <v>0</v>
      </c>
      <c r="AE33" s="407">
        <f t="shared" si="3"/>
        <v>1</v>
      </c>
      <c r="AF33" s="415">
        <f t="shared" si="4"/>
        <v>4.1666666666666664E-2</v>
      </c>
      <c r="AG33" s="407">
        <f t="shared" si="5"/>
        <v>1</v>
      </c>
      <c r="AH33" s="407">
        <v>3</v>
      </c>
      <c r="AI33" s="407">
        <f t="shared" si="6"/>
        <v>31</v>
      </c>
      <c r="AK33" s="407">
        <f t="shared" si="7"/>
        <v>0</v>
      </c>
    </row>
    <row r="34" spans="1:37">
      <c r="A34" s="410">
        <v>45931.875</v>
      </c>
      <c r="C34" s="411" cm="1">
        <f t="array" ref="C34">A34+INDEX($V$3:V$93,$C$1)*INDEX($W$3:$W$93,$C$1)</f>
        <v>45931.875</v>
      </c>
      <c r="E34" s="411"/>
      <c r="P34" s="407">
        <v>32</v>
      </c>
      <c r="Q34" s="407" t="str">
        <f t="shared" si="0"/>
        <v>Italia</v>
      </c>
      <c r="R34" s="407">
        <f t="shared" si="1"/>
        <v>2</v>
      </c>
      <c r="S34" s="415">
        <f t="shared" si="1"/>
        <v>8.3333333333333329E-2</v>
      </c>
      <c r="T34" s="407">
        <f t="shared" si="1"/>
        <v>0</v>
      </c>
      <c r="U34" s="407">
        <f t="shared" si="1"/>
        <v>0</v>
      </c>
      <c r="V34" s="415">
        <f t="shared" si="1"/>
        <v>0</v>
      </c>
      <c r="W34" s="407">
        <f t="shared" si="1"/>
        <v>0</v>
      </c>
      <c r="Z34" s="407">
        <v>32</v>
      </c>
      <c r="AA34" s="407" t="str">
        <f>Idiomas!D151</f>
        <v>Italia</v>
      </c>
      <c r="AB34" s="407">
        <v>2</v>
      </c>
      <c r="AC34" s="415">
        <v>8.3333333333333329E-2</v>
      </c>
      <c r="AD34" s="407">
        <f t="shared" si="2"/>
        <v>0</v>
      </c>
      <c r="AE34" s="407">
        <f t="shared" si="3"/>
        <v>0</v>
      </c>
      <c r="AF34" s="415">
        <f t="shared" si="4"/>
        <v>0</v>
      </c>
      <c r="AG34" s="407">
        <f t="shared" si="5"/>
        <v>0</v>
      </c>
      <c r="AH34" s="407">
        <v>1</v>
      </c>
      <c r="AI34" s="407">
        <f t="shared" si="6"/>
        <v>32</v>
      </c>
      <c r="AK34" s="407">
        <f t="shared" si="7"/>
        <v>1</v>
      </c>
    </row>
    <row r="35" spans="1:37">
      <c r="A35" s="410">
        <v>45931.875</v>
      </c>
      <c r="C35" s="411" cm="1">
        <f t="array" ref="C35">A35+INDEX($V$3:V$93,$C$1)*INDEX($W$3:$W$93,$C$1)</f>
        <v>45931.875</v>
      </c>
      <c r="E35" s="411"/>
      <c r="P35" s="407">
        <v>33</v>
      </c>
      <c r="Q35" s="407" t="str">
        <f t="shared" si="0"/>
        <v>Kazajistán</v>
      </c>
      <c r="R35" s="407">
        <f t="shared" ref="R35:W66" si="8">INDEX(AB$3:AB$93,MATCH($Q35,$AA$3:$AA$93,0))</f>
        <v>6</v>
      </c>
      <c r="S35" s="415">
        <f t="shared" si="8"/>
        <v>0.25</v>
      </c>
      <c r="T35" s="407">
        <f t="shared" si="8"/>
        <v>0</v>
      </c>
      <c r="U35" s="407">
        <f t="shared" si="8"/>
        <v>4</v>
      </c>
      <c r="V35" s="415">
        <f t="shared" si="8"/>
        <v>0.16666666666666666</v>
      </c>
      <c r="W35" s="407">
        <f t="shared" si="8"/>
        <v>1</v>
      </c>
      <c r="Z35" s="407">
        <v>33</v>
      </c>
      <c r="AA35" s="407" t="str">
        <f>Idiomas!D152</f>
        <v>Kazajistán</v>
      </c>
      <c r="AB35" s="407">
        <v>6</v>
      </c>
      <c r="AC35" s="415">
        <v>0.25</v>
      </c>
      <c r="AD35" s="407">
        <f t="shared" si="2"/>
        <v>0</v>
      </c>
      <c r="AE35" s="407">
        <f t="shared" si="3"/>
        <v>4</v>
      </c>
      <c r="AF35" s="415">
        <f t="shared" si="4"/>
        <v>0.16666666666666666</v>
      </c>
      <c r="AG35" s="407">
        <f t="shared" si="5"/>
        <v>1</v>
      </c>
      <c r="AH35" s="407">
        <v>6</v>
      </c>
      <c r="AI35" s="407">
        <f t="shared" si="6"/>
        <v>33</v>
      </c>
      <c r="AK35" s="407">
        <f t="shared" si="7"/>
        <v>0</v>
      </c>
    </row>
    <row r="36" spans="1:37">
      <c r="A36" s="410">
        <v>45931.875</v>
      </c>
      <c r="C36" s="411" cm="1">
        <f t="array" ref="C36">A36+INDEX($V$3:V$93,$C$1)*INDEX($W$3:$W$93,$C$1)</f>
        <v>45931.875</v>
      </c>
      <c r="E36" s="411"/>
      <c r="P36" s="407">
        <v>34</v>
      </c>
      <c r="Q36" s="407" t="str">
        <f t="shared" si="0"/>
        <v>Kosovo</v>
      </c>
      <c r="R36" s="407">
        <f t="shared" si="8"/>
        <v>2</v>
      </c>
      <c r="S36" s="415">
        <f t="shared" si="8"/>
        <v>8.3333333333333329E-2</v>
      </c>
      <c r="T36" s="407">
        <f t="shared" si="8"/>
        <v>0</v>
      </c>
      <c r="U36" s="407">
        <f t="shared" si="8"/>
        <v>0</v>
      </c>
      <c r="V36" s="415">
        <f t="shared" si="8"/>
        <v>0</v>
      </c>
      <c r="W36" s="407">
        <f t="shared" si="8"/>
        <v>0</v>
      </c>
      <c r="Z36" s="407">
        <v>34</v>
      </c>
      <c r="AA36" s="407" t="str">
        <f>Idiomas!D153</f>
        <v>Kosovo</v>
      </c>
      <c r="AB36" s="407">
        <v>2</v>
      </c>
      <c r="AC36" s="415">
        <v>8.3333333333333329E-2</v>
      </c>
      <c r="AD36" s="407">
        <f t="shared" si="2"/>
        <v>0</v>
      </c>
      <c r="AE36" s="407">
        <f t="shared" si="3"/>
        <v>0</v>
      </c>
      <c r="AF36" s="415">
        <f t="shared" si="4"/>
        <v>0</v>
      </c>
      <c r="AG36" s="407">
        <f t="shared" si="5"/>
        <v>0</v>
      </c>
      <c r="AH36" s="407">
        <v>1</v>
      </c>
      <c r="AI36" s="407">
        <f t="shared" si="6"/>
        <v>34</v>
      </c>
      <c r="AK36" s="407">
        <f t="shared" si="7"/>
        <v>1</v>
      </c>
    </row>
    <row r="37" spans="1:37" ht="17.100000000000001" thickBot="1">
      <c r="A37" s="416">
        <v>45931.875</v>
      </c>
      <c r="C37" s="411" cm="1">
        <f t="array" ref="C37">A37+INDEX($V$3:V$93,$C$1)*INDEX($W$3:$W$93,$C$1)</f>
        <v>45931.875</v>
      </c>
      <c r="E37" s="411"/>
      <c r="P37" s="407">
        <v>35</v>
      </c>
      <c r="Q37" s="407" t="str">
        <f t="shared" si="0"/>
        <v>Letonia</v>
      </c>
      <c r="R37" s="407">
        <f t="shared" si="8"/>
        <v>3</v>
      </c>
      <c r="S37" s="415">
        <f t="shared" si="8"/>
        <v>0.125</v>
      </c>
      <c r="T37" s="407">
        <f t="shared" si="8"/>
        <v>0</v>
      </c>
      <c r="U37" s="407">
        <f t="shared" si="8"/>
        <v>1</v>
      </c>
      <c r="V37" s="415">
        <f t="shared" si="8"/>
        <v>4.1666666666666664E-2</v>
      </c>
      <c r="W37" s="407">
        <f t="shared" si="8"/>
        <v>1</v>
      </c>
      <c r="Z37" s="407">
        <v>35</v>
      </c>
      <c r="AA37" s="407" t="str">
        <f>Idiomas!D154</f>
        <v>Letonia</v>
      </c>
      <c r="AB37" s="407">
        <v>3</v>
      </c>
      <c r="AC37" s="415">
        <v>0.125</v>
      </c>
      <c r="AD37" s="407">
        <f t="shared" si="2"/>
        <v>0</v>
      </c>
      <c r="AE37" s="407">
        <f t="shared" si="3"/>
        <v>1</v>
      </c>
      <c r="AF37" s="415">
        <f t="shared" si="4"/>
        <v>4.1666666666666664E-2</v>
      </c>
      <c r="AG37" s="407">
        <f t="shared" si="5"/>
        <v>1</v>
      </c>
      <c r="AH37" s="407">
        <v>2</v>
      </c>
      <c r="AI37" s="407">
        <f t="shared" si="6"/>
        <v>35</v>
      </c>
      <c r="AK37" s="407">
        <f t="shared" si="7"/>
        <v>1</v>
      </c>
    </row>
    <row r="38" spans="1:37">
      <c r="A38" s="410">
        <v>45951.78125</v>
      </c>
      <c r="C38" s="411" cm="1">
        <f t="array" ref="C38">A38+INDEX($V$3:V$93,$C$1)*INDEX($W$3:$W$93,$C$1)</f>
        <v>45951.78125</v>
      </c>
      <c r="E38" s="411"/>
      <c r="P38" s="407">
        <v>36</v>
      </c>
      <c r="Q38" s="407" t="str">
        <f t="shared" si="0"/>
        <v>Liechtenstein</v>
      </c>
      <c r="R38" s="407">
        <f t="shared" si="8"/>
        <v>2</v>
      </c>
      <c r="S38" s="415">
        <f t="shared" si="8"/>
        <v>8.3333333333333329E-2</v>
      </c>
      <c r="T38" s="407">
        <f t="shared" si="8"/>
        <v>0</v>
      </c>
      <c r="U38" s="407">
        <f t="shared" si="8"/>
        <v>0</v>
      </c>
      <c r="V38" s="415">
        <f t="shared" si="8"/>
        <v>0</v>
      </c>
      <c r="W38" s="407">
        <f t="shared" si="8"/>
        <v>0</v>
      </c>
      <c r="Z38" s="407">
        <v>36</v>
      </c>
      <c r="AA38" s="407" t="str">
        <f>Idiomas!D155</f>
        <v>Liechtenstein</v>
      </c>
      <c r="AB38" s="407">
        <v>2</v>
      </c>
      <c r="AC38" s="415">
        <v>8.3333333333333329E-2</v>
      </c>
      <c r="AD38" s="407">
        <f t="shared" si="2"/>
        <v>0</v>
      </c>
      <c r="AE38" s="407">
        <f t="shared" si="3"/>
        <v>0</v>
      </c>
      <c r="AF38" s="415">
        <f t="shared" si="4"/>
        <v>0</v>
      </c>
      <c r="AG38" s="407">
        <f t="shared" si="5"/>
        <v>0</v>
      </c>
      <c r="AH38" s="407">
        <v>1</v>
      </c>
      <c r="AI38" s="407">
        <f t="shared" si="6"/>
        <v>36</v>
      </c>
      <c r="AK38" s="407">
        <f t="shared" si="7"/>
        <v>1</v>
      </c>
    </row>
    <row r="39" spans="1:37">
      <c r="A39" s="410">
        <v>45951.78125</v>
      </c>
      <c r="C39" s="411" cm="1">
        <f t="array" ref="C39">A39+INDEX($V$3:V$93,$C$1)*INDEX($W$3:$W$93,$C$1)</f>
        <v>45951.78125</v>
      </c>
      <c r="E39" s="411"/>
      <c r="P39" s="407">
        <v>37</v>
      </c>
      <c r="Q39" s="407" t="str">
        <f t="shared" si="0"/>
        <v>Lituania</v>
      </c>
      <c r="R39" s="407">
        <f t="shared" si="8"/>
        <v>3</v>
      </c>
      <c r="S39" s="415">
        <f t="shared" si="8"/>
        <v>0.125</v>
      </c>
      <c r="T39" s="407">
        <f t="shared" si="8"/>
        <v>0</v>
      </c>
      <c r="U39" s="407">
        <f t="shared" si="8"/>
        <v>1</v>
      </c>
      <c r="V39" s="415">
        <f t="shared" si="8"/>
        <v>4.1666666666666664E-2</v>
      </c>
      <c r="W39" s="407">
        <f t="shared" si="8"/>
        <v>1</v>
      </c>
      <c r="Z39" s="407">
        <v>37</v>
      </c>
      <c r="AA39" s="407" t="str">
        <f>Idiomas!D156</f>
        <v>Lituania</v>
      </c>
      <c r="AB39" s="407">
        <v>3</v>
      </c>
      <c r="AC39" s="415">
        <v>0.125</v>
      </c>
      <c r="AD39" s="407">
        <f t="shared" si="2"/>
        <v>0</v>
      </c>
      <c r="AE39" s="407">
        <f t="shared" si="3"/>
        <v>1</v>
      </c>
      <c r="AF39" s="415">
        <f t="shared" si="4"/>
        <v>4.1666666666666664E-2</v>
      </c>
      <c r="AG39" s="407">
        <f t="shared" si="5"/>
        <v>1</v>
      </c>
      <c r="AH39" s="407">
        <v>2</v>
      </c>
      <c r="AI39" s="407">
        <f t="shared" si="6"/>
        <v>37</v>
      </c>
      <c r="AK39" s="407">
        <f t="shared" si="7"/>
        <v>1</v>
      </c>
    </row>
    <row r="40" spans="1:37">
      <c r="A40" s="410">
        <v>45951.875</v>
      </c>
      <c r="C40" s="411" cm="1">
        <f t="array" ref="C40">A40+INDEX($V$3:V$93,$C$1)*INDEX($W$3:$W$93,$C$1)</f>
        <v>45951.875</v>
      </c>
      <c r="E40" s="411"/>
      <c r="P40" s="407">
        <v>38</v>
      </c>
      <c r="Q40" s="407" t="str">
        <f t="shared" si="0"/>
        <v>Luxemburgo</v>
      </c>
      <c r="R40" s="407">
        <f t="shared" si="8"/>
        <v>2</v>
      </c>
      <c r="S40" s="415">
        <f t="shared" si="8"/>
        <v>8.3333333333333329E-2</v>
      </c>
      <c r="T40" s="407">
        <f t="shared" si="8"/>
        <v>0</v>
      </c>
      <c r="U40" s="407">
        <f t="shared" si="8"/>
        <v>0</v>
      </c>
      <c r="V40" s="415">
        <f t="shared" si="8"/>
        <v>0</v>
      </c>
      <c r="W40" s="407">
        <f t="shared" si="8"/>
        <v>0</v>
      </c>
      <c r="Z40" s="407">
        <v>38</v>
      </c>
      <c r="AA40" s="407" t="str">
        <f>Idiomas!D157</f>
        <v>Luxemburgo</v>
      </c>
      <c r="AB40" s="407">
        <v>2</v>
      </c>
      <c r="AC40" s="415">
        <v>8.3333333333333329E-2</v>
      </c>
      <c r="AD40" s="407">
        <f t="shared" si="2"/>
        <v>0</v>
      </c>
      <c r="AE40" s="407">
        <f t="shared" si="3"/>
        <v>0</v>
      </c>
      <c r="AF40" s="415">
        <f t="shared" si="4"/>
        <v>0</v>
      </c>
      <c r="AG40" s="407">
        <f t="shared" si="5"/>
        <v>0</v>
      </c>
      <c r="AH40" s="407">
        <v>1</v>
      </c>
      <c r="AI40" s="407">
        <f t="shared" si="6"/>
        <v>38</v>
      </c>
      <c r="AK40" s="407">
        <f t="shared" si="7"/>
        <v>1</v>
      </c>
    </row>
    <row r="41" spans="1:37">
      <c r="A41" s="410">
        <v>45951.875</v>
      </c>
      <c r="C41" s="411" cm="1">
        <f t="array" ref="C41">A41+INDEX($V$3:V$93,$C$1)*INDEX($W$3:$W$93,$C$1)</f>
        <v>45951.875</v>
      </c>
      <c r="E41" s="411"/>
      <c r="P41" s="407">
        <v>39</v>
      </c>
      <c r="Q41" s="407" t="str">
        <f t="shared" si="0"/>
        <v>Macedonia del Norte</v>
      </c>
      <c r="R41" s="407">
        <f t="shared" si="8"/>
        <v>2</v>
      </c>
      <c r="S41" s="415">
        <f t="shared" si="8"/>
        <v>8.3333333333333329E-2</v>
      </c>
      <c r="T41" s="407">
        <f t="shared" si="8"/>
        <v>0</v>
      </c>
      <c r="U41" s="407">
        <f t="shared" si="8"/>
        <v>0</v>
      </c>
      <c r="V41" s="415">
        <f t="shared" si="8"/>
        <v>0</v>
      </c>
      <c r="W41" s="407">
        <f t="shared" si="8"/>
        <v>0</v>
      </c>
      <c r="Z41" s="407">
        <v>39</v>
      </c>
      <c r="AA41" s="407" t="str">
        <f>Idiomas!D158</f>
        <v>Macedonia del Norte</v>
      </c>
      <c r="AB41" s="407">
        <v>2</v>
      </c>
      <c r="AC41" s="415">
        <v>8.3333333333333329E-2</v>
      </c>
      <c r="AD41" s="407">
        <f t="shared" si="2"/>
        <v>0</v>
      </c>
      <c r="AE41" s="407">
        <f t="shared" si="3"/>
        <v>0</v>
      </c>
      <c r="AF41" s="415">
        <f t="shared" si="4"/>
        <v>0</v>
      </c>
      <c r="AG41" s="407">
        <f t="shared" si="5"/>
        <v>0</v>
      </c>
      <c r="AH41" s="407">
        <v>1</v>
      </c>
      <c r="AI41" s="407">
        <f t="shared" si="6"/>
        <v>39</v>
      </c>
      <c r="AK41" s="407">
        <f t="shared" si="7"/>
        <v>1</v>
      </c>
    </row>
    <row r="42" spans="1:37">
      <c r="A42" s="410">
        <v>45951.875</v>
      </c>
      <c r="C42" s="411" cm="1">
        <f t="array" ref="C42">A42+INDEX($V$3:V$93,$C$1)*INDEX($W$3:$W$93,$C$1)</f>
        <v>45951.875</v>
      </c>
      <c r="E42" s="411"/>
      <c r="P42" s="407">
        <v>40</v>
      </c>
      <c r="Q42" s="407" t="str">
        <f t="shared" si="0"/>
        <v>Malta</v>
      </c>
      <c r="R42" s="407">
        <f t="shared" si="8"/>
        <v>2</v>
      </c>
      <c r="S42" s="415">
        <f t="shared" si="8"/>
        <v>8.3333333333333329E-2</v>
      </c>
      <c r="T42" s="407">
        <f t="shared" si="8"/>
        <v>0</v>
      </c>
      <c r="U42" s="407">
        <f t="shared" si="8"/>
        <v>0</v>
      </c>
      <c r="V42" s="415">
        <f t="shared" si="8"/>
        <v>0</v>
      </c>
      <c r="W42" s="407">
        <f t="shared" si="8"/>
        <v>0</v>
      </c>
      <c r="Z42" s="407">
        <v>40</v>
      </c>
      <c r="AA42" s="407" t="str">
        <f>Idiomas!D159</f>
        <v>Malta</v>
      </c>
      <c r="AB42" s="407">
        <v>2</v>
      </c>
      <c r="AC42" s="415">
        <v>8.3333333333333329E-2</v>
      </c>
      <c r="AD42" s="407">
        <f t="shared" si="2"/>
        <v>0</v>
      </c>
      <c r="AE42" s="407">
        <f t="shared" si="3"/>
        <v>0</v>
      </c>
      <c r="AF42" s="415">
        <f t="shared" si="4"/>
        <v>0</v>
      </c>
      <c r="AG42" s="407">
        <f t="shared" si="5"/>
        <v>0</v>
      </c>
      <c r="AH42" s="407">
        <v>1</v>
      </c>
      <c r="AI42" s="407">
        <f t="shared" si="6"/>
        <v>40</v>
      </c>
      <c r="AK42" s="407">
        <f t="shared" si="7"/>
        <v>1</v>
      </c>
    </row>
    <row r="43" spans="1:37">
      <c r="A43" s="410">
        <v>45951.875</v>
      </c>
      <c r="C43" s="411" cm="1">
        <f t="array" ref="C43">A43+INDEX($V$3:V$93,$C$1)*INDEX($W$3:$W$93,$C$1)</f>
        <v>45951.875</v>
      </c>
      <c r="E43" s="411"/>
      <c r="P43" s="407">
        <v>41</v>
      </c>
      <c r="Q43" s="407" t="str">
        <f t="shared" si="0"/>
        <v>Moldavia</v>
      </c>
      <c r="R43" s="407">
        <f t="shared" si="8"/>
        <v>3</v>
      </c>
      <c r="S43" s="415">
        <f t="shared" si="8"/>
        <v>0.125</v>
      </c>
      <c r="T43" s="407">
        <f t="shared" si="8"/>
        <v>0</v>
      </c>
      <c r="U43" s="407">
        <f t="shared" si="8"/>
        <v>1</v>
      </c>
      <c r="V43" s="415">
        <f t="shared" si="8"/>
        <v>4.1666666666666664E-2</v>
      </c>
      <c r="W43" s="407">
        <f t="shared" si="8"/>
        <v>1</v>
      </c>
      <c r="Z43" s="407">
        <v>41</v>
      </c>
      <c r="AA43" s="407" t="str">
        <f>Idiomas!D160</f>
        <v>Moldavia</v>
      </c>
      <c r="AB43" s="407">
        <v>3</v>
      </c>
      <c r="AC43" s="415">
        <v>0.125</v>
      </c>
      <c r="AD43" s="407">
        <f t="shared" si="2"/>
        <v>0</v>
      </c>
      <c r="AE43" s="407">
        <f t="shared" si="3"/>
        <v>1</v>
      </c>
      <c r="AF43" s="415">
        <f t="shared" si="4"/>
        <v>4.1666666666666664E-2</v>
      </c>
      <c r="AG43" s="407">
        <f t="shared" si="5"/>
        <v>1</v>
      </c>
      <c r="AH43" s="407">
        <v>2</v>
      </c>
      <c r="AI43" s="407">
        <f t="shared" si="6"/>
        <v>41</v>
      </c>
      <c r="AK43" s="407">
        <f t="shared" si="7"/>
        <v>1</v>
      </c>
    </row>
    <row r="44" spans="1:37">
      <c r="A44" s="410">
        <v>45951.875</v>
      </c>
      <c r="C44" s="411" cm="1">
        <f t="array" ref="C44">A44+INDEX($V$3:V$93,$C$1)*INDEX($W$3:$W$93,$C$1)</f>
        <v>45951.875</v>
      </c>
      <c r="E44" s="411"/>
      <c r="P44" s="407">
        <v>42</v>
      </c>
      <c r="Q44" s="407" t="str">
        <f t="shared" si="0"/>
        <v>Montenegro</v>
      </c>
      <c r="R44" s="407">
        <f t="shared" si="8"/>
        <v>2</v>
      </c>
      <c r="S44" s="415">
        <f t="shared" si="8"/>
        <v>8.3333333333333329E-2</v>
      </c>
      <c r="T44" s="407">
        <f t="shared" si="8"/>
        <v>0</v>
      </c>
      <c r="U44" s="407">
        <f t="shared" si="8"/>
        <v>0</v>
      </c>
      <c r="V44" s="415">
        <f t="shared" si="8"/>
        <v>0</v>
      </c>
      <c r="W44" s="407">
        <f t="shared" si="8"/>
        <v>0</v>
      </c>
      <c r="Z44" s="407">
        <v>42</v>
      </c>
      <c r="AA44" s="407" t="str">
        <f>Idiomas!D161</f>
        <v>Montenegro</v>
      </c>
      <c r="AB44" s="407">
        <v>2</v>
      </c>
      <c r="AC44" s="415">
        <v>8.3333333333333329E-2</v>
      </c>
      <c r="AD44" s="407">
        <f t="shared" si="2"/>
        <v>0</v>
      </c>
      <c r="AE44" s="407">
        <f t="shared" si="3"/>
        <v>0</v>
      </c>
      <c r="AF44" s="415">
        <f t="shared" si="4"/>
        <v>0</v>
      </c>
      <c r="AG44" s="407">
        <f t="shared" si="5"/>
        <v>0</v>
      </c>
      <c r="AH44" s="407">
        <v>1</v>
      </c>
      <c r="AI44" s="407">
        <f t="shared" si="6"/>
        <v>42</v>
      </c>
      <c r="AK44" s="407">
        <f t="shared" si="7"/>
        <v>1</v>
      </c>
    </row>
    <row r="45" spans="1:37">
      <c r="A45" s="410">
        <v>45951.875</v>
      </c>
      <c r="C45" s="411" cm="1">
        <f t="array" ref="C45">A45+INDEX($V$3:V$93,$C$1)*INDEX($W$3:$W$93,$C$1)</f>
        <v>45951.875</v>
      </c>
      <c r="E45" s="411"/>
      <c r="P45" s="407">
        <v>43</v>
      </c>
      <c r="Q45" s="407" t="str">
        <f t="shared" si="0"/>
        <v>Noruega</v>
      </c>
      <c r="R45" s="407">
        <f t="shared" si="8"/>
        <v>2</v>
      </c>
      <c r="S45" s="415">
        <f t="shared" si="8"/>
        <v>8.3333333333333329E-2</v>
      </c>
      <c r="T45" s="407">
        <f t="shared" si="8"/>
        <v>0</v>
      </c>
      <c r="U45" s="407">
        <f t="shared" si="8"/>
        <v>0</v>
      </c>
      <c r="V45" s="415">
        <f t="shared" si="8"/>
        <v>0</v>
      </c>
      <c r="W45" s="407">
        <f t="shared" si="8"/>
        <v>0</v>
      </c>
      <c r="Z45" s="407">
        <v>43</v>
      </c>
      <c r="AA45" s="407" t="str">
        <f>Idiomas!D162</f>
        <v>Noruega</v>
      </c>
      <c r="AB45" s="407">
        <v>2</v>
      </c>
      <c r="AC45" s="415">
        <v>8.3333333333333329E-2</v>
      </c>
      <c r="AD45" s="407">
        <f t="shared" si="2"/>
        <v>0</v>
      </c>
      <c r="AE45" s="407">
        <f t="shared" si="3"/>
        <v>0</v>
      </c>
      <c r="AF45" s="415">
        <f t="shared" si="4"/>
        <v>0</v>
      </c>
      <c r="AG45" s="407">
        <f t="shared" si="5"/>
        <v>0</v>
      </c>
      <c r="AH45" s="407">
        <v>1</v>
      </c>
      <c r="AI45" s="407">
        <f t="shared" si="6"/>
        <v>43</v>
      </c>
      <c r="AK45" s="407">
        <f t="shared" si="7"/>
        <v>1</v>
      </c>
    </row>
    <row r="46" spans="1:37">
      <c r="A46" s="410">
        <v>45951.875</v>
      </c>
      <c r="C46" s="411" cm="1">
        <f t="array" ref="C46">A46+INDEX($V$3:V$93,$C$1)*INDEX($W$3:$W$93,$C$1)</f>
        <v>45951.875</v>
      </c>
      <c r="E46" s="411"/>
      <c r="P46" s="407">
        <v>44</v>
      </c>
      <c r="Q46" s="407" t="str">
        <f t="shared" si="0"/>
        <v>Países Bajos</v>
      </c>
      <c r="R46" s="407">
        <f t="shared" si="8"/>
        <v>2</v>
      </c>
      <c r="S46" s="415">
        <f t="shared" si="8"/>
        <v>8.3333333333333329E-2</v>
      </c>
      <c r="T46" s="407">
        <f t="shared" si="8"/>
        <v>0</v>
      </c>
      <c r="U46" s="407">
        <f t="shared" si="8"/>
        <v>0</v>
      </c>
      <c r="V46" s="415">
        <f t="shared" si="8"/>
        <v>0</v>
      </c>
      <c r="W46" s="407">
        <f t="shared" si="8"/>
        <v>0</v>
      </c>
      <c r="Z46" s="407">
        <v>44</v>
      </c>
      <c r="AA46" s="407" t="str">
        <f>Idiomas!D163</f>
        <v>Países Bajos</v>
      </c>
      <c r="AB46" s="407">
        <v>2</v>
      </c>
      <c r="AC46" s="415">
        <v>8.3333333333333329E-2</v>
      </c>
      <c r="AD46" s="407">
        <f t="shared" si="2"/>
        <v>0</v>
      </c>
      <c r="AE46" s="407">
        <f t="shared" si="3"/>
        <v>0</v>
      </c>
      <c r="AF46" s="415">
        <f t="shared" si="4"/>
        <v>0</v>
      </c>
      <c r="AG46" s="407">
        <f t="shared" si="5"/>
        <v>0</v>
      </c>
      <c r="AH46" s="407">
        <v>1</v>
      </c>
      <c r="AI46" s="407">
        <f t="shared" si="6"/>
        <v>44</v>
      </c>
      <c r="AK46" s="407">
        <f t="shared" si="7"/>
        <v>1</v>
      </c>
    </row>
    <row r="47" spans="1:37">
      <c r="A47" s="410">
        <v>45952.78125</v>
      </c>
      <c r="C47" s="411" cm="1">
        <f t="array" ref="C47">A47+INDEX($V$3:V$93,$C$1)*INDEX($W$3:$W$93,$C$1)</f>
        <v>45952.78125</v>
      </c>
      <c r="E47" s="411"/>
      <c r="P47" s="407">
        <v>45</v>
      </c>
      <c r="Q47" s="407" t="str">
        <f t="shared" si="0"/>
        <v>Polonia</v>
      </c>
      <c r="R47" s="407">
        <f t="shared" si="8"/>
        <v>2</v>
      </c>
      <c r="S47" s="415">
        <f t="shared" si="8"/>
        <v>8.3333333333333329E-2</v>
      </c>
      <c r="T47" s="407">
        <f t="shared" si="8"/>
        <v>0</v>
      </c>
      <c r="U47" s="407">
        <f t="shared" si="8"/>
        <v>0</v>
      </c>
      <c r="V47" s="415">
        <f t="shared" si="8"/>
        <v>0</v>
      </c>
      <c r="W47" s="407">
        <f t="shared" si="8"/>
        <v>0</v>
      </c>
      <c r="Z47" s="407">
        <v>45</v>
      </c>
      <c r="AA47" s="407" t="str">
        <f>Idiomas!D164</f>
        <v>Polonia</v>
      </c>
      <c r="AB47" s="407">
        <v>2</v>
      </c>
      <c r="AC47" s="415">
        <v>8.3333333333333329E-2</v>
      </c>
      <c r="AD47" s="407">
        <f t="shared" si="2"/>
        <v>0</v>
      </c>
      <c r="AE47" s="407">
        <f t="shared" si="3"/>
        <v>0</v>
      </c>
      <c r="AF47" s="415">
        <f t="shared" si="4"/>
        <v>0</v>
      </c>
      <c r="AG47" s="407">
        <f t="shared" si="5"/>
        <v>0</v>
      </c>
      <c r="AH47" s="407">
        <v>1</v>
      </c>
      <c r="AI47" s="407">
        <f t="shared" si="6"/>
        <v>45</v>
      </c>
      <c r="AK47" s="407">
        <f t="shared" si="7"/>
        <v>1</v>
      </c>
    </row>
    <row r="48" spans="1:37">
      <c r="A48" s="410">
        <v>45952.78125</v>
      </c>
      <c r="C48" s="411" cm="1">
        <f t="array" ref="C48">A48+INDEX($V$3:V$93,$C$1)*INDEX($W$3:$W$93,$C$1)</f>
        <v>45952.78125</v>
      </c>
      <c r="E48" s="411"/>
      <c r="P48" s="407">
        <v>46</v>
      </c>
      <c r="Q48" s="407" t="str">
        <f t="shared" si="0"/>
        <v>Portugal</v>
      </c>
      <c r="R48" s="407">
        <f t="shared" si="8"/>
        <v>1</v>
      </c>
      <c r="S48" s="415">
        <f t="shared" si="8"/>
        <v>4.1666666666666664E-2</v>
      </c>
      <c r="T48" s="407">
        <f t="shared" si="8"/>
        <v>0</v>
      </c>
      <c r="U48" s="407">
        <f t="shared" si="8"/>
        <v>-1</v>
      </c>
      <c r="V48" s="415">
        <f t="shared" si="8"/>
        <v>4.1666666666666664E-2</v>
      </c>
      <c r="W48" s="407">
        <f t="shared" si="8"/>
        <v>-1</v>
      </c>
      <c r="Z48" s="407">
        <v>46</v>
      </c>
      <c r="AA48" s="407" t="str">
        <f>Idiomas!D165</f>
        <v>Portugal</v>
      </c>
      <c r="AB48" s="407">
        <v>1</v>
      </c>
      <c r="AC48" s="415">
        <v>4.1666666666666664E-2</v>
      </c>
      <c r="AD48" s="407">
        <f t="shared" si="2"/>
        <v>0</v>
      </c>
      <c r="AE48" s="407">
        <f t="shared" si="3"/>
        <v>-1</v>
      </c>
      <c r="AF48" s="415">
        <f t="shared" si="4"/>
        <v>4.1666666666666664E-2</v>
      </c>
      <c r="AG48" s="407">
        <f t="shared" si="5"/>
        <v>-1</v>
      </c>
      <c r="AH48" s="407">
        <v>0</v>
      </c>
      <c r="AI48" s="407">
        <f t="shared" si="6"/>
        <v>46</v>
      </c>
      <c r="AK48" s="407">
        <f t="shared" si="7"/>
        <v>1</v>
      </c>
    </row>
    <row r="49" spans="1:37">
      <c r="A49" s="410">
        <v>45952.875</v>
      </c>
      <c r="C49" s="411" cm="1">
        <f t="array" ref="C49">A49+INDEX($V$3:V$93,$C$1)*INDEX($W$3:$W$93,$C$1)</f>
        <v>45952.875</v>
      </c>
      <c r="E49" s="411"/>
      <c r="P49" s="407">
        <v>47</v>
      </c>
      <c r="Q49" s="407" t="str">
        <f t="shared" si="0"/>
        <v>República Checa</v>
      </c>
      <c r="R49" s="407">
        <f t="shared" si="8"/>
        <v>2</v>
      </c>
      <c r="S49" s="415">
        <f t="shared" si="8"/>
        <v>8.3333333333333329E-2</v>
      </c>
      <c r="T49" s="407">
        <f t="shared" si="8"/>
        <v>0</v>
      </c>
      <c r="U49" s="407">
        <f t="shared" si="8"/>
        <v>0</v>
      </c>
      <c r="V49" s="415">
        <f t="shared" si="8"/>
        <v>0</v>
      </c>
      <c r="W49" s="407">
        <f t="shared" si="8"/>
        <v>0</v>
      </c>
      <c r="Z49" s="407">
        <v>47</v>
      </c>
      <c r="AA49" s="407" t="str">
        <f>Idiomas!D166</f>
        <v>República Checa</v>
      </c>
      <c r="AB49" s="407">
        <v>2</v>
      </c>
      <c r="AC49" s="415">
        <v>8.3333333333333329E-2</v>
      </c>
      <c r="AD49" s="407">
        <f t="shared" si="2"/>
        <v>0</v>
      </c>
      <c r="AE49" s="407">
        <f t="shared" si="3"/>
        <v>0</v>
      </c>
      <c r="AF49" s="415">
        <f t="shared" si="4"/>
        <v>0</v>
      </c>
      <c r="AG49" s="407">
        <f t="shared" si="5"/>
        <v>0</v>
      </c>
      <c r="AH49" s="407">
        <v>1</v>
      </c>
      <c r="AI49" s="407">
        <f t="shared" si="6"/>
        <v>47</v>
      </c>
      <c r="AK49" s="407">
        <f t="shared" si="7"/>
        <v>1</v>
      </c>
    </row>
    <row r="50" spans="1:37">
      <c r="A50" s="410">
        <v>45952.875</v>
      </c>
      <c r="C50" s="411" cm="1">
        <f t="array" ref="C50">A50+INDEX($V$3:V$93,$C$1)*INDEX($W$3:$W$93,$C$1)</f>
        <v>45952.875</v>
      </c>
      <c r="E50" s="411"/>
      <c r="P50" s="407">
        <v>48</v>
      </c>
      <c r="Q50" s="407" t="str">
        <f t="shared" si="0"/>
        <v>Rumanía</v>
      </c>
      <c r="R50" s="407">
        <f t="shared" si="8"/>
        <v>3</v>
      </c>
      <c r="S50" s="415">
        <f t="shared" si="8"/>
        <v>0.125</v>
      </c>
      <c r="T50" s="407">
        <f t="shared" si="8"/>
        <v>0</v>
      </c>
      <c r="U50" s="407">
        <f t="shared" si="8"/>
        <v>1</v>
      </c>
      <c r="V50" s="415">
        <f t="shared" si="8"/>
        <v>4.1666666666666664E-2</v>
      </c>
      <c r="W50" s="407">
        <f t="shared" si="8"/>
        <v>1</v>
      </c>
      <c r="Z50" s="407">
        <v>48</v>
      </c>
      <c r="AA50" s="407" t="str">
        <f>Idiomas!D167</f>
        <v>Rumanía</v>
      </c>
      <c r="AB50" s="407">
        <v>3</v>
      </c>
      <c r="AC50" s="415">
        <v>0.125</v>
      </c>
      <c r="AD50" s="407">
        <f t="shared" si="2"/>
        <v>0</v>
      </c>
      <c r="AE50" s="407">
        <f t="shared" si="3"/>
        <v>1</v>
      </c>
      <c r="AF50" s="415">
        <f t="shared" si="4"/>
        <v>4.1666666666666664E-2</v>
      </c>
      <c r="AG50" s="407">
        <f t="shared" si="5"/>
        <v>1</v>
      </c>
      <c r="AH50" s="407">
        <v>2</v>
      </c>
      <c r="AI50" s="407">
        <f t="shared" si="6"/>
        <v>48</v>
      </c>
      <c r="AK50" s="407">
        <f t="shared" si="7"/>
        <v>1</v>
      </c>
    </row>
    <row r="51" spans="1:37">
      <c r="A51" s="410">
        <v>45952.875</v>
      </c>
      <c r="C51" s="411" cm="1">
        <f t="array" ref="C51">A51+INDEX($V$3:V$93,$C$1)*INDEX($W$3:$W$93,$C$1)</f>
        <v>45952.875</v>
      </c>
      <c r="E51" s="411"/>
      <c r="P51" s="407">
        <v>49</v>
      </c>
      <c r="Q51" s="407" t="str">
        <f t="shared" si="0"/>
        <v>Rusia</v>
      </c>
      <c r="R51" s="407">
        <f t="shared" si="8"/>
        <v>3</v>
      </c>
      <c r="S51" s="415">
        <f t="shared" si="8"/>
        <v>0.125</v>
      </c>
      <c r="T51" s="407">
        <f t="shared" si="8"/>
        <v>0</v>
      </c>
      <c r="U51" s="407">
        <f t="shared" si="8"/>
        <v>1</v>
      </c>
      <c r="V51" s="415">
        <f t="shared" si="8"/>
        <v>4.1666666666666664E-2</v>
      </c>
      <c r="W51" s="407">
        <f t="shared" si="8"/>
        <v>1</v>
      </c>
      <c r="Z51" s="407">
        <v>49</v>
      </c>
      <c r="AA51" s="407" t="str">
        <f>Idiomas!D168</f>
        <v>Rusia</v>
      </c>
      <c r="AB51" s="407">
        <v>3</v>
      </c>
      <c r="AC51" s="415">
        <v>0.125</v>
      </c>
      <c r="AD51" s="407">
        <f t="shared" si="2"/>
        <v>0</v>
      </c>
      <c r="AE51" s="407">
        <f t="shared" si="3"/>
        <v>1</v>
      </c>
      <c r="AF51" s="415">
        <f t="shared" si="4"/>
        <v>4.1666666666666664E-2</v>
      </c>
      <c r="AG51" s="407">
        <f t="shared" si="5"/>
        <v>1</v>
      </c>
      <c r="AH51" s="407">
        <v>3</v>
      </c>
      <c r="AI51" s="407">
        <f t="shared" si="6"/>
        <v>49</v>
      </c>
      <c r="AK51" s="407">
        <f t="shared" si="7"/>
        <v>0</v>
      </c>
    </row>
    <row r="52" spans="1:37">
      <c r="A52" s="410">
        <v>45952.875</v>
      </c>
      <c r="C52" s="411" cm="1">
        <f t="array" ref="C52">A52+INDEX($V$3:V$93,$C$1)*INDEX($W$3:$W$93,$C$1)</f>
        <v>45952.875</v>
      </c>
      <c r="E52" s="411"/>
      <c r="P52" s="407">
        <v>50</v>
      </c>
      <c r="Q52" s="407" t="str">
        <f t="shared" si="0"/>
        <v>San Marino</v>
      </c>
      <c r="R52" s="407">
        <f t="shared" si="8"/>
        <v>2</v>
      </c>
      <c r="S52" s="415">
        <f t="shared" si="8"/>
        <v>8.3333333333333329E-2</v>
      </c>
      <c r="T52" s="407">
        <f t="shared" si="8"/>
        <v>0</v>
      </c>
      <c r="U52" s="407">
        <f t="shared" si="8"/>
        <v>0</v>
      </c>
      <c r="V52" s="415">
        <f t="shared" si="8"/>
        <v>0</v>
      </c>
      <c r="W52" s="407">
        <f t="shared" si="8"/>
        <v>0</v>
      </c>
      <c r="Z52" s="407">
        <v>50</v>
      </c>
      <c r="AA52" s="407" t="str">
        <f>Idiomas!D169</f>
        <v>San Marino</v>
      </c>
      <c r="AB52" s="407">
        <v>2</v>
      </c>
      <c r="AC52" s="415">
        <v>8.3333333333333329E-2</v>
      </c>
      <c r="AD52" s="407">
        <f t="shared" si="2"/>
        <v>0</v>
      </c>
      <c r="AE52" s="407">
        <f t="shared" si="3"/>
        <v>0</v>
      </c>
      <c r="AF52" s="415">
        <f t="shared" si="4"/>
        <v>0</v>
      </c>
      <c r="AG52" s="407">
        <f t="shared" si="5"/>
        <v>0</v>
      </c>
      <c r="AH52" s="407">
        <v>1</v>
      </c>
      <c r="AI52" s="407">
        <f t="shared" si="6"/>
        <v>50</v>
      </c>
      <c r="AK52" s="407">
        <f t="shared" si="7"/>
        <v>1</v>
      </c>
    </row>
    <row r="53" spans="1:37">
      <c r="A53" s="410">
        <v>45952.875</v>
      </c>
      <c r="C53" s="411" cm="1">
        <f t="array" ref="C53">A53+INDEX($V$3:V$93,$C$1)*INDEX($W$3:$W$93,$C$1)</f>
        <v>45952.875</v>
      </c>
      <c r="E53" s="411"/>
      <c r="P53" s="407">
        <v>51</v>
      </c>
      <c r="Q53" s="407" t="str">
        <f t="shared" si="0"/>
        <v>Serbia</v>
      </c>
      <c r="R53" s="407">
        <f t="shared" si="8"/>
        <v>2</v>
      </c>
      <c r="S53" s="415">
        <f t="shared" si="8"/>
        <v>8.3333333333333329E-2</v>
      </c>
      <c r="T53" s="407">
        <f t="shared" si="8"/>
        <v>0</v>
      </c>
      <c r="U53" s="407">
        <f t="shared" si="8"/>
        <v>0</v>
      </c>
      <c r="V53" s="415">
        <f t="shared" si="8"/>
        <v>0</v>
      </c>
      <c r="W53" s="407">
        <f t="shared" si="8"/>
        <v>0</v>
      </c>
      <c r="Z53" s="407">
        <v>51</v>
      </c>
      <c r="AA53" s="407" t="str">
        <f>Idiomas!D170</f>
        <v>Serbia</v>
      </c>
      <c r="AB53" s="407">
        <v>2</v>
      </c>
      <c r="AC53" s="415">
        <v>8.3333333333333329E-2</v>
      </c>
      <c r="AD53" s="407">
        <f t="shared" si="2"/>
        <v>0</v>
      </c>
      <c r="AE53" s="407">
        <f t="shared" si="3"/>
        <v>0</v>
      </c>
      <c r="AF53" s="415">
        <f t="shared" si="4"/>
        <v>0</v>
      </c>
      <c r="AG53" s="407">
        <f t="shared" si="5"/>
        <v>0</v>
      </c>
      <c r="AH53" s="407">
        <v>1</v>
      </c>
      <c r="AI53" s="407">
        <f t="shared" si="6"/>
        <v>51</v>
      </c>
      <c r="AK53" s="407">
        <f t="shared" si="7"/>
        <v>1</v>
      </c>
    </row>
    <row r="54" spans="1:37">
      <c r="A54" s="410">
        <v>45952.875</v>
      </c>
      <c r="C54" s="411" cm="1">
        <f t="array" ref="C54">A54+INDEX($V$3:V$93,$C$1)*INDEX($W$3:$W$93,$C$1)</f>
        <v>45952.875</v>
      </c>
      <c r="E54" s="411"/>
      <c r="P54" s="407">
        <v>52</v>
      </c>
      <c r="Q54" s="407" t="str">
        <f t="shared" si="0"/>
        <v>Suecia</v>
      </c>
      <c r="R54" s="407">
        <f t="shared" si="8"/>
        <v>2</v>
      </c>
      <c r="S54" s="415">
        <f t="shared" si="8"/>
        <v>8.3333333333333329E-2</v>
      </c>
      <c r="T54" s="407">
        <f t="shared" si="8"/>
        <v>0</v>
      </c>
      <c r="U54" s="407">
        <f t="shared" si="8"/>
        <v>0</v>
      </c>
      <c r="V54" s="415">
        <f t="shared" si="8"/>
        <v>0</v>
      </c>
      <c r="W54" s="407">
        <f t="shared" si="8"/>
        <v>0</v>
      </c>
      <c r="Z54" s="407">
        <v>52</v>
      </c>
      <c r="AA54" s="407" t="str">
        <f>Idiomas!D171</f>
        <v>Suecia</v>
      </c>
      <c r="AB54" s="407">
        <v>2</v>
      </c>
      <c r="AC54" s="415">
        <v>8.3333333333333329E-2</v>
      </c>
      <c r="AD54" s="407">
        <f t="shared" si="2"/>
        <v>0</v>
      </c>
      <c r="AE54" s="407">
        <f t="shared" si="3"/>
        <v>0</v>
      </c>
      <c r="AF54" s="415">
        <f t="shared" si="4"/>
        <v>0</v>
      </c>
      <c r="AG54" s="407">
        <f t="shared" si="5"/>
        <v>0</v>
      </c>
      <c r="AH54" s="407">
        <v>1</v>
      </c>
      <c r="AI54" s="407">
        <f t="shared" si="6"/>
        <v>52</v>
      </c>
      <c r="AK54" s="407">
        <f t="shared" si="7"/>
        <v>1</v>
      </c>
    </row>
    <row r="55" spans="1:37" ht="17.100000000000001" thickBot="1">
      <c r="A55" s="416">
        <v>45952.875</v>
      </c>
      <c r="C55" s="411" cm="1">
        <f t="array" ref="C55">A55+INDEX($V$3:V$93,$C$1)*INDEX($W$3:$W$93,$C$1)</f>
        <v>45952.875</v>
      </c>
      <c r="E55" s="411"/>
      <c r="P55" s="407">
        <v>53</v>
      </c>
      <c r="Q55" s="407" t="str">
        <f t="shared" si="0"/>
        <v>Suiza</v>
      </c>
      <c r="R55" s="407">
        <f t="shared" si="8"/>
        <v>2</v>
      </c>
      <c r="S55" s="415">
        <f t="shared" si="8"/>
        <v>8.3333333333333329E-2</v>
      </c>
      <c r="T55" s="407">
        <f t="shared" si="8"/>
        <v>0</v>
      </c>
      <c r="U55" s="407">
        <f t="shared" si="8"/>
        <v>0</v>
      </c>
      <c r="V55" s="415">
        <f t="shared" si="8"/>
        <v>0</v>
      </c>
      <c r="W55" s="407">
        <f t="shared" si="8"/>
        <v>0</v>
      </c>
      <c r="Z55" s="407">
        <v>53</v>
      </c>
      <c r="AA55" s="407" t="str">
        <f>Idiomas!D172</f>
        <v>Suiza</v>
      </c>
      <c r="AB55" s="407">
        <v>2</v>
      </c>
      <c r="AC55" s="415">
        <v>8.3333333333333329E-2</v>
      </c>
      <c r="AD55" s="407">
        <f t="shared" si="2"/>
        <v>0</v>
      </c>
      <c r="AE55" s="407">
        <f t="shared" si="3"/>
        <v>0</v>
      </c>
      <c r="AF55" s="415">
        <f t="shared" si="4"/>
        <v>0</v>
      </c>
      <c r="AG55" s="407">
        <f t="shared" si="5"/>
        <v>0</v>
      </c>
      <c r="AH55" s="407">
        <v>1</v>
      </c>
      <c r="AI55" s="407">
        <f t="shared" si="6"/>
        <v>53</v>
      </c>
      <c r="AK55" s="407">
        <f t="shared" si="7"/>
        <v>1</v>
      </c>
    </row>
    <row r="56" spans="1:37">
      <c r="A56" s="410">
        <v>45965.78125</v>
      </c>
      <c r="C56" s="411" cm="1">
        <f t="array" ref="C56">A56+INDEX($V$3:V$93,$C$1)*INDEX($W$3:$W$93,$C$1)</f>
        <v>45965.78125</v>
      </c>
      <c r="E56" s="411"/>
      <c r="P56" s="407">
        <v>54</v>
      </c>
      <c r="Q56" s="407" t="str">
        <f t="shared" si="0"/>
        <v>Turquía</v>
      </c>
      <c r="R56" s="407">
        <f t="shared" si="8"/>
        <v>3</v>
      </c>
      <c r="S56" s="415">
        <f t="shared" si="8"/>
        <v>0.125</v>
      </c>
      <c r="T56" s="407">
        <f t="shared" si="8"/>
        <v>0</v>
      </c>
      <c r="U56" s="407">
        <f t="shared" si="8"/>
        <v>1</v>
      </c>
      <c r="V56" s="415">
        <f t="shared" si="8"/>
        <v>4.1666666666666664E-2</v>
      </c>
      <c r="W56" s="407">
        <f t="shared" si="8"/>
        <v>1</v>
      </c>
      <c r="Z56" s="407">
        <v>54</v>
      </c>
      <c r="AA56" s="407" t="str">
        <f>Idiomas!D173</f>
        <v>Turquía</v>
      </c>
      <c r="AB56" s="407">
        <v>3</v>
      </c>
      <c r="AC56" s="415">
        <v>0.125</v>
      </c>
      <c r="AD56" s="407">
        <f t="shared" si="2"/>
        <v>0</v>
      </c>
      <c r="AE56" s="407">
        <f t="shared" si="3"/>
        <v>1</v>
      </c>
      <c r="AF56" s="415">
        <f t="shared" si="4"/>
        <v>4.1666666666666664E-2</v>
      </c>
      <c r="AG56" s="407">
        <f t="shared" si="5"/>
        <v>1</v>
      </c>
      <c r="AH56" s="407">
        <v>3</v>
      </c>
      <c r="AI56" s="407">
        <f t="shared" si="6"/>
        <v>54</v>
      </c>
      <c r="AK56" s="407">
        <f t="shared" si="7"/>
        <v>0</v>
      </c>
    </row>
    <row r="57" spans="1:37">
      <c r="A57" s="410">
        <v>45965.78125</v>
      </c>
      <c r="C57" s="411" cm="1">
        <f t="array" ref="C57">A57+INDEX($V$3:V$93,$C$1)*INDEX($W$3:$W$93,$C$1)</f>
        <v>45965.78125</v>
      </c>
      <c r="E57" s="411"/>
      <c r="P57" s="407">
        <v>55</v>
      </c>
      <c r="Q57" s="407" t="str">
        <f t="shared" si="0"/>
        <v>Ucrania</v>
      </c>
      <c r="R57" s="407">
        <f t="shared" si="8"/>
        <v>3</v>
      </c>
      <c r="S57" s="415">
        <f t="shared" si="8"/>
        <v>0.125</v>
      </c>
      <c r="T57" s="407">
        <f t="shared" si="8"/>
        <v>0</v>
      </c>
      <c r="U57" s="407">
        <f t="shared" si="8"/>
        <v>1</v>
      </c>
      <c r="V57" s="415">
        <f t="shared" si="8"/>
        <v>4.1666666666666664E-2</v>
      </c>
      <c r="W57" s="407">
        <f t="shared" si="8"/>
        <v>1</v>
      </c>
      <c r="Z57" s="407">
        <v>55</v>
      </c>
      <c r="AA57" s="407" t="str">
        <f>Idiomas!D174</f>
        <v>Ucrania</v>
      </c>
      <c r="AB57" s="407">
        <v>3</v>
      </c>
      <c r="AC57" s="415">
        <v>0.125</v>
      </c>
      <c r="AD57" s="407">
        <f t="shared" si="2"/>
        <v>0</v>
      </c>
      <c r="AE57" s="407">
        <f t="shared" si="3"/>
        <v>1</v>
      </c>
      <c r="AF57" s="415">
        <f t="shared" si="4"/>
        <v>4.1666666666666664E-2</v>
      </c>
      <c r="AG57" s="407">
        <f t="shared" si="5"/>
        <v>1</v>
      </c>
      <c r="AH57" s="407">
        <v>2</v>
      </c>
      <c r="AI57" s="407">
        <f t="shared" si="6"/>
        <v>55</v>
      </c>
      <c r="AK57" s="407">
        <f t="shared" si="7"/>
        <v>1</v>
      </c>
    </row>
    <row r="58" spans="1:37">
      <c r="A58" s="410">
        <v>45965.875</v>
      </c>
      <c r="C58" s="411" cm="1">
        <f t="array" ref="C58">A58+INDEX($V$3:V$93,$C$1)*INDEX($W$3:$W$93,$C$1)</f>
        <v>45965.875</v>
      </c>
      <c r="E58" s="411"/>
      <c r="P58" s="407">
        <v>56</v>
      </c>
      <c r="Q58" s="407" t="s">
        <v>256</v>
      </c>
      <c r="R58" s="407">
        <f t="shared" si="8"/>
        <v>-12</v>
      </c>
      <c r="S58" s="415">
        <f t="shared" si="8"/>
        <v>0.5</v>
      </c>
      <c r="T58" s="407">
        <f t="shared" si="8"/>
        <v>0</v>
      </c>
      <c r="U58" s="407">
        <f t="shared" si="8"/>
        <v>-14</v>
      </c>
      <c r="V58" s="415">
        <f t="shared" si="8"/>
        <v>0.58333333333333337</v>
      </c>
      <c r="W58" s="407">
        <f t="shared" si="8"/>
        <v>-1</v>
      </c>
      <c r="Z58" s="407">
        <v>56</v>
      </c>
      <c r="AA58" s="407" t="s">
        <v>256</v>
      </c>
      <c r="AB58" s="407">
        <v>-12</v>
      </c>
      <c r="AC58" s="415">
        <v>0.5</v>
      </c>
      <c r="AD58" s="407">
        <f t="shared" si="2"/>
        <v>0</v>
      </c>
      <c r="AE58" s="407">
        <f t="shared" si="3"/>
        <v>-14</v>
      </c>
      <c r="AF58" s="415">
        <f t="shared" si="4"/>
        <v>0.58333333333333337</v>
      </c>
      <c r="AG58" s="407">
        <f t="shared" si="5"/>
        <v>-1</v>
      </c>
    </row>
    <row r="59" spans="1:37">
      <c r="A59" s="410">
        <v>45965.875</v>
      </c>
      <c r="C59" s="411" cm="1">
        <f t="array" ref="C59">A59+INDEX($V$3:V$93,$C$1)*INDEX($W$3:$W$93,$C$1)</f>
        <v>45965.875</v>
      </c>
      <c r="E59" s="411"/>
      <c r="P59" s="407">
        <v>57</v>
      </c>
      <c r="Q59" s="407" t="s">
        <v>257</v>
      </c>
      <c r="R59" s="407">
        <f t="shared" si="8"/>
        <v>-11</v>
      </c>
      <c r="S59" s="415">
        <f t="shared" si="8"/>
        <v>0.45833333333333331</v>
      </c>
      <c r="T59" s="407">
        <f t="shared" si="8"/>
        <v>0</v>
      </c>
      <c r="U59" s="407">
        <f t="shared" si="8"/>
        <v>-13</v>
      </c>
      <c r="V59" s="415">
        <f t="shared" si="8"/>
        <v>0.54166666666666663</v>
      </c>
      <c r="W59" s="407">
        <f t="shared" si="8"/>
        <v>-1</v>
      </c>
      <c r="Z59" s="407">
        <v>57</v>
      </c>
      <c r="AA59" s="407" t="s">
        <v>257</v>
      </c>
      <c r="AB59" s="407">
        <v>-11</v>
      </c>
      <c r="AC59" s="415">
        <v>0.45833333333333331</v>
      </c>
      <c r="AD59" s="407">
        <f t="shared" si="2"/>
        <v>0</v>
      </c>
      <c r="AE59" s="407">
        <f t="shared" si="3"/>
        <v>-13</v>
      </c>
      <c r="AF59" s="415">
        <f t="shared" si="4"/>
        <v>0.54166666666666663</v>
      </c>
      <c r="AG59" s="407">
        <f t="shared" si="5"/>
        <v>-1</v>
      </c>
    </row>
    <row r="60" spans="1:37">
      <c r="A60" s="410">
        <v>45965.875</v>
      </c>
      <c r="C60" s="411" cm="1">
        <f t="array" ref="C60">A60+INDEX($V$3:V$93,$C$1)*INDEX($W$3:$W$93,$C$1)</f>
        <v>45965.875</v>
      </c>
      <c r="E60" s="411"/>
      <c r="P60" s="407">
        <v>58</v>
      </c>
      <c r="Q60" s="407" t="s">
        <v>258</v>
      </c>
      <c r="R60" s="407">
        <f t="shared" si="8"/>
        <v>-10</v>
      </c>
      <c r="S60" s="415">
        <f t="shared" si="8"/>
        <v>0.41666666666666702</v>
      </c>
      <c r="T60" s="407">
        <f t="shared" si="8"/>
        <v>0</v>
      </c>
      <c r="U60" s="407">
        <f t="shared" si="8"/>
        <v>-12</v>
      </c>
      <c r="V60" s="415">
        <f t="shared" si="8"/>
        <v>0.5</v>
      </c>
      <c r="W60" s="407">
        <f t="shared" si="8"/>
        <v>-1</v>
      </c>
      <c r="Z60" s="407">
        <v>58</v>
      </c>
      <c r="AA60" s="407" t="s">
        <v>258</v>
      </c>
      <c r="AB60" s="407">
        <v>-10</v>
      </c>
      <c r="AC60" s="415">
        <v>0.41666666666666702</v>
      </c>
      <c r="AD60" s="407">
        <f t="shared" si="2"/>
        <v>0</v>
      </c>
      <c r="AE60" s="407">
        <f t="shared" si="3"/>
        <v>-12</v>
      </c>
      <c r="AF60" s="415">
        <f t="shared" si="4"/>
        <v>0.5</v>
      </c>
      <c r="AG60" s="407">
        <f t="shared" si="5"/>
        <v>-1</v>
      </c>
    </row>
    <row r="61" spans="1:37">
      <c r="A61" s="410">
        <v>45965.875</v>
      </c>
      <c r="C61" s="411" cm="1">
        <f t="array" ref="C61">A61+INDEX($V$3:V$93,$C$1)*INDEX($W$3:$W$93,$C$1)</f>
        <v>45965.875</v>
      </c>
      <c r="E61" s="411"/>
      <c r="P61" s="407">
        <v>59</v>
      </c>
      <c r="Q61" s="407" t="s">
        <v>259</v>
      </c>
      <c r="R61" s="407">
        <f t="shared" si="8"/>
        <v>-9</v>
      </c>
      <c r="S61" s="415">
        <f t="shared" si="8"/>
        <v>0.375</v>
      </c>
      <c r="T61" s="407">
        <f t="shared" si="8"/>
        <v>0</v>
      </c>
      <c r="U61" s="407">
        <f t="shared" si="8"/>
        <v>-11</v>
      </c>
      <c r="V61" s="415">
        <f t="shared" si="8"/>
        <v>0.45833333333333331</v>
      </c>
      <c r="W61" s="407">
        <f t="shared" si="8"/>
        <v>-1</v>
      </c>
      <c r="Z61" s="407">
        <v>59</v>
      </c>
      <c r="AA61" s="407" t="s">
        <v>259</v>
      </c>
      <c r="AB61" s="407">
        <v>-9</v>
      </c>
      <c r="AC61" s="415">
        <v>0.375</v>
      </c>
      <c r="AD61" s="407">
        <f t="shared" si="2"/>
        <v>0</v>
      </c>
      <c r="AE61" s="407">
        <f t="shared" si="3"/>
        <v>-11</v>
      </c>
      <c r="AF61" s="415">
        <f t="shared" si="4"/>
        <v>0.45833333333333331</v>
      </c>
      <c r="AG61" s="407">
        <f t="shared" si="5"/>
        <v>-1</v>
      </c>
    </row>
    <row r="62" spans="1:37">
      <c r="A62" s="410">
        <v>45965.875</v>
      </c>
      <c r="C62" s="411" cm="1">
        <f t="array" ref="C62">A62+INDEX($V$3:V$93,$C$1)*INDEX($W$3:$W$93,$C$1)</f>
        <v>45965.875</v>
      </c>
      <c r="E62" s="411"/>
      <c r="P62" s="407">
        <v>60</v>
      </c>
      <c r="Q62" s="407" t="s">
        <v>260</v>
      </c>
      <c r="R62" s="407">
        <f t="shared" si="8"/>
        <v>-8</v>
      </c>
      <c r="S62" s="415">
        <f t="shared" si="8"/>
        <v>0.33333333333333298</v>
      </c>
      <c r="T62" s="407">
        <f t="shared" si="8"/>
        <v>0</v>
      </c>
      <c r="U62" s="407">
        <f t="shared" si="8"/>
        <v>-10</v>
      </c>
      <c r="V62" s="415">
        <f t="shared" si="8"/>
        <v>0.41666666666666669</v>
      </c>
      <c r="W62" s="407">
        <f t="shared" si="8"/>
        <v>-1</v>
      </c>
      <c r="Z62" s="407">
        <v>60</v>
      </c>
      <c r="AA62" s="407" t="s">
        <v>260</v>
      </c>
      <c r="AB62" s="407">
        <v>-8</v>
      </c>
      <c r="AC62" s="415">
        <v>0.33333333333333298</v>
      </c>
      <c r="AD62" s="407">
        <f t="shared" si="2"/>
        <v>0</v>
      </c>
      <c r="AE62" s="407">
        <f t="shared" si="3"/>
        <v>-10</v>
      </c>
      <c r="AF62" s="415">
        <f t="shared" si="4"/>
        <v>0.41666666666666669</v>
      </c>
      <c r="AG62" s="407">
        <f t="shared" si="5"/>
        <v>-1</v>
      </c>
    </row>
    <row r="63" spans="1:37">
      <c r="A63" s="410">
        <v>45965.875</v>
      </c>
      <c r="C63" s="411" cm="1">
        <f t="array" ref="C63">A63+INDEX($V$3:V$93,$C$1)*INDEX($W$3:$W$93,$C$1)</f>
        <v>45965.875</v>
      </c>
      <c r="E63" s="411"/>
      <c r="P63" s="407">
        <v>61</v>
      </c>
      <c r="Q63" s="407" t="s">
        <v>261</v>
      </c>
      <c r="R63" s="407">
        <f t="shared" si="8"/>
        <v>-7</v>
      </c>
      <c r="S63" s="415">
        <f t="shared" si="8"/>
        <v>0.29166666666666702</v>
      </c>
      <c r="T63" s="407">
        <f t="shared" si="8"/>
        <v>0</v>
      </c>
      <c r="U63" s="407">
        <f t="shared" si="8"/>
        <v>-9</v>
      </c>
      <c r="V63" s="415">
        <f t="shared" si="8"/>
        <v>0.375</v>
      </c>
      <c r="W63" s="407">
        <f t="shared" si="8"/>
        <v>-1</v>
      </c>
      <c r="Z63" s="407">
        <v>61</v>
      </c>
      <c r="AA63" s="407" t="s">
        <v>261</v>
      </c>
      <c r="AB63" s="407">
        <v>-7</v>
      </c>
      <c r="AC63" s="415">
        <v>0.29166666666666702</v>
      </c>
      <c r="AD63" s="407">
        <f t="shared" si="2"/>
        <v>0</v>
      </c>
      <c r="AE63" s="407">
        <f t="shared" si="3"/>
        <v>-9</v>
      </c>
      <c r="AF63" s="415">
        <f t="shared" si="4"/>
        <v>0.375</v>
      </c>
      <c r="AG63" s="407">
        <f t="shared" si="5"/>
        <v>-1</v>
      </c>
    </row>
    <row r="64" spans="1:37">
      <c r="A64" s="410">
        <v>45965.875</v>
      </c>
      <c r="C64" s="411" cm="1">
        <f t="array" ref="C64">A64+INDEX($V$3:V$93,$C$1)*INDEX($W$3:$W$93,$C$1)</f>
        <v>45965.875</v>
      </c>
      <c r="E64" s="411"/>
      <c r="P64" s="407">
        <v>62</v>
      </c>
      <c r="Q64" s="407" t="s">
        <v>262</v>
      </c>
      <c r="R64" s="407">
        <f t="shared" si="8"/>
        <v>-6</v>
      </c>
      <c r="S64" s="415">
        <f t="shared" si="8"/>
        <v>0.25</v>
      </c>
      <c r="T64" s="407">
        <f t="shared" si="8"/>
        <v>0</v>
      </c>
      <c r="U64" s="407">
        <f t="shared" si="8"/>
        <v>-8</v>
      </c>
      <c r="V64" s="415">
        <f t="shared" si="8"/>
        <v>0.33333333333333331</v>
      </c>
      <c r="W64" s="407">
        <f t="shared" si="8"/>
        <v>-1</v>
      </c>
      <c r="Z64" s="407">
        <v>62</v>
      </c>
      <c r="AA64" s="407" t="s">
        <v>262</v>
      </c>
      <c r="AB64" s="407">
        <v>-6</v>
      </c>
      <c r="AC64" s="415">
        <v>0.25</v>
      </c>
      <c r="AD64" s="407">
        <f t="shared" si="2"/>
        <v>0</v>
      </c>
      <c r="AE64" s="407">
        <f t="shared" si="3"/>
        <v>-8</v>
      </c>
      <c r="AF64" s="415">
        <f t="shared" si="4"/>
        <v>0.33333333333333331</v>
      </c>
      <c r="AG64" s="407">
        <f t="shared" si="5"/>
        <v>-1</v>
      </c>
    </row>
    <row r="65" spans="1:33">
      <c r="A65" s="410">
        <v>45966.78125</v>
      </c>
      <c r="C65" s="411" cm="1">
        <f t="array" ref="C65">A65+INDEX($V$3:V$93,$C$1)*INDEX($W$3:$W$93,$C$1)</f>
        <v>45966.78125</v>
      </c>
      <c r="E65" s="411"/>
      <c r="P65" s="407">
        <v>63</v>
      </c>
      <c r="Q65" s="407" t="s">
        <v>263</v>
      </c>
      <c r="R65" s="407">
        <f t="shared" si="8"/>
        <v>-5</v>
      </c>
      <c r="S65" s="415">
        <f t="shared" si="8"/>
        <v>0.20833333333333301</v>
      </c>
      <c r="T65" s="407">
        <f t="shared" si="8"/>
        <v>0</v>
      </c>
      <c r="U65" s="407">
        <f t="shared" si="8"/>
        <v>-7</v>
      </c>
      <c r="V65" s="415">
        <f t="shared" si="8"/>
        <v>0.29166666666666669</v>
      </c>
      <c r="W65" s="407">
        <f t="shared" si="8"/>
        <v>-1</v>
      </c>
      <c r="Z65" s="407">
        <v>63</v>
      </c>
      <c r="AA65" s="407" t="s">
        <v>263</v>
      </c>
      <c r="AB65" s="407">
        <v>-5</v>
      </c>
      <c r="AC65" s="415">
        <v>0.20833333333333301</v>
      </c>
      <c r="AD65" s="407">
        <f t="shared" si="2"/>
        <v>0</v>
      </c>
      <c r="AE65" s="407">
        <f t="shared" si="3"/>
        <v>-7</v>
      </c>
      <c r="AF65" s="415">
        <f t="shared" si="4"/>
        <v>0.29166666666666669</v>
      </c>
      <c r="AG65" s="407">
        <f t="shared" si="5"/>
        <v>-1</v>
      </c>
    </row>
    <row r="66" spans="1:33">
      <c r="A66" s="410">
        <v>45966.78125</v>
      </c>
      <c r="C66" s="411" cm="1">
        <f t="array" ref="C66">A66+INDEX($V$3:V$93,$C$1)*INDEX($W$3:$W$93,$C$1)</f>
        <v>45966.78125</v>
      </c>
      <c r="E66" s="411"/>
      <c r="P66" s="407">
        <v>64</v>
      </c>
      <c r="Q66" s="407" t="s">
        <v>264</v>
      </c>
      <c r="R66" s="407">
        <f t="shared" si="8"/>
        <v>-4</v>
      </c>
      <c r="S66" s="415">
        <f t="shared" si="8"/>
        <v>0.16666666666666699</v>
      </c>
      <c r="T66" s="407">
        <f t="shared" si="8"/>
        <v>0</v>
      </c>
      <c r="U66" s="407">
        <f t="shared" si="8"/>
        <v>-6</v>
      </c>
      <c r="V66" s="415">
        <f t="shared" si="8"/>
        <v>0.25</v>
      </c>
      <c r="W66" s="407">
        <f t="shared" si="8"/>
        <v>-1</v>
      </c>
      <c r="Z66" s="407">
        <v>64</v>
      </c>
      <c r="AA66" s="407" t="s">
        <v>264</v>
      </c>
      <c r="AB66" s="407">
        <v>-4</v>
      </c>
      <c r="AC66" s="415">
        <v>0.16666666666666699</v>
      </c>
      <c r="AD66" s="407">
        <f t="shared" si="2"/>
        <v>0</v>
      </c>
      <c r="AE66" s="407">
        <f t="shared" si="3"/>
        <v>-6</v>
      </c>
      <c r="AF66" s="415">
        <f t="shared" si="4"/>
        <v>0.25</v>
      </c>
      <c r="AG66" s="407">
        <f t="shared" si="5"/>
        <v>-1</v>
      </c>
    </row>
    <row r="67" spans="1:33">
      <c r="A67" s="410">
        <v>45966.875</v>
      </c>
      <c r="C67" s="411" cm="1">
        <f t="array" ref="C67">A67+INDEX($V$3:V$93,$C$1)*INDEX($W$3:$W$93,$C$1)</f>
        <v>45966.875</v>
      </c>
      <c r="E67" s="411"/>
      <c r="P67" s="407">
        <v>65</v>
      </c>
      <c r="Q67" s="407" t="s">
        <v>265</v>
      </c>
      <c r="R67" s="407">
        <f t="shared" ref="R67:W93" si="9">INDEX(AB$3:AB$93,MATCH($Q67,$AA$3:$AA$93,0))</f>
        <v>-3.5</v>
      </c>
      <c r="S67" s="415">
        <f t="shared" si="9"/>
        <v>0.14583333333333334</v>
      </c>
      <c r="T67" s="407">
        <f t="shared" si="9"/>
        <v>0</v>
      </c>
      <c r="U67" s="407">
        <f t="shared" si="9"/>
        <v>-5.5</v>
      </c>
      <c r="V67" s="415">
        <f t="shared" si="9"/>
        <v>0.22916666666666666</v>
      </c>
      <c r="W67" s="407">
        <f t="shared" si="9"/>
        <v>-1</v>
      </c>
      <c r="Z67" s="407">
        <v>65</v>
      </c>
      <c r="AA67" s="407" t="s">
        <v>265</v>
      </c>
      <c r="AB67" s="407">
        <v>-3.5</v>
      </c>
      <c r="AC67" s="415">
        <v>0.14583333333333334</v>
      </c>
      <c r="AD67" s="407">
        <f t="shared" si="2"/>
        <v>0</v>
      </c>
      <c r="AE67" s="407">
        <f t="shared" si="3"/>
        <v>-5.5</v>
      </c>
      <c r="AF67" s="415">
        <f t="shared" si="4"/>
        <v>0.22916666666666666</v>
      </c>
      <c r="AG67" s="407">
        <f t="shared" si="5"/>
        <v>-1</v>
      </c>
    </row>
    <row r="68" spans="1:33">
      <c r="A68" s="410">
        <v>45966.875</v>
      </c>
      <c r="C68" s="411" cm="1">
        <f t="array" ref="C68">A68+INDEX($V$3:V$93,$C$1)*INDEX($W$3:$W$93,$C$1)</f>
        <v>45966.875</v>
      </c>
      <c r="E68" s="411"/>
      <c r="P68" s="407">
        <v>66</v>
      </c>
      <c r="Q68" s="407" t="s">
        <v>266</v>
      </c>
      <c r="R68" s="407">
        <f t="shared" si="9"/>
        <v>-3</v>
      </c>
      <c r="S68" s="415">
        <f t="shared" si="9"/>
        <v>0.125</v>
      </c>
      <c r="T68" s="407">
        <f t="shared" si="9"/>
        <v>0</v>
      </c>
      <c r="U68" s="407">
        <f t="shared" si="9"/>
        <v>-5</v>
      </c>
      <c r="V68" s="415">
        <f t="shared" si="9"/>
        <v>0.20833333333333334</v>
      </c>
      <c r="W68" s="407">
        <f t="shared" si="9"/>
        <v>-1</v>
      </c>
      <c r="Z68" s="407">
        <v>66</v>
      </c>
      <c r="AA68" s="407" t="s">
        <v>266</v>
      </c>
      <c r="AB68" s="407">
        <v>-3</v>
      </c>
      <c r="AC68" s="415">
        <v>0.125</v>
      </c>
      <c r="AD68" s="407">
        <f t="shared" ref="AD68:AD93" si="10">IF(AA68=$L$2,1,0)</f>
        <v>0</v>
      </c>
      <c r="AE68" s="407">
        <f t="shared" ref="AE68:AE93" si="11">AB68-$M$2</f>
        <v>-5</v>
      </c>
      <c r="AF68" s="415">
        <f t="shared" ref="AF68:AF93" si="12">ABS(AE68/24)</f>
        <v>0.20833333333333334</v>
      </c>
      <c r="AG68" s="407">
        <f t="shared" ref="AG68:AG93" si="13">IF(AB68&gt;$M$2,1,IF(AB68=$M$2,0,-1))</f>
        <v>-1</v>
      </c>
    </row>
    <row r="69" spans="1:33">
      <c r="A69" s="410">
        <v>45966.875</v>
      </c>
      <c r="C69" s="411" cm="1">
        <f t="array" ref="C69">A69+INDEX($V$3:V$93,$C$1)*INDEX($W$3:$W$93,$C$1)</f>
        <v>45966.875</v>
      </c>
      <c r="E69" s="411"/>
      <c r="P69" s="407">
        <v>67</v>
      </c>
      <c r="Q69" s="407" t="s">
        <v>267</v>
      </c>
      <c r="R69" s="407">
        <f t="shared" si="9"/>
        <v>-2</v>
      </c>
      <c r="S69" s="415">
        <f t="shared" si="9"/>
        <v>8.3333333333333329E-2</v>
      </c>
      <c r="T69" s="407">
        <f t="shared" si="9"/>
        <v>0</v>
      </c>
      <c r="U69" s="407">
        <f t="shared" si="9"/>
        <v>-4</v>
      </c>
      <c r="V69" s="415">
        <f t="shared" si="9"/>
        <v>0.16666666666666666</v>
      </c>
      <c r="W69" s="407">
        <f t="shared" si="9"/>
        <v>-1</v>
      </c>
      <c r="Z69" s="407">
        <v>67</v>
      </c>
      <c r="AA69" s="407" t="s">
        <v>267</v>
      </c>
      <c r="AB69" s="407">
        <v>-2</v>
      </c>
      <c r="AC69" s="415">
        <v>8.3333333333333329E-2</v>
      </c>
      <c r="AD69" s="407">
        <f t="shared" si="10"/>
        <v>0</v>
      </c>
      <c r="AE69" s="407">
        <f t="shared" si="11"/>
        <v>-4</v>
      </c>
      <c r="AF69" s="415">
        <f t="shared" si="12"/>
        <v>0.16666666666666666</v>
      </c>
      <c r="AG69" s="407">
        <f t="shared" si="13"/>
        <v>-1</v>
      </c>
    </row>
    <row r="70" spans="1:33">
      <c r="A70" s="410">
        <v>45966.875</v>
      </c>
      <c r="C70" s="411" cm="1">
        <f t="array" ref="C70">A70+INDEX($V$3:V$93,$C$1)*INDEX($W$3:$W$93,$C$1)</f>
        <v>45966.875</v>
      </c>
      <c r="E70" s="411"/>
      <c r="P70" s="407">
        <v>68</v>
      </c>
      <c r="Q70" s="407" t="s">
        <v>268</v>
      </c>
      <c r="R70" s="407">
        <f t="shared" si="9"/>
        <v>-1</v>
      </c>
      <c r="S70" s="415">
        <f t="shared" si="9"/>
        <v>4.1666666666666699E-2</v>
      </c>
      <c r="T70" s="407">
        <f t="shared" si="9"/>
        <v>0</v>
      </c>
      <c r="U70" s="407">
        <f t="shared" si="9"/>
        <v>-3</v>
      </c>
      <c r="V70" s="415">
        <f t="shared" si="9"/>
        <v>0.125</v>
      </c>
      <c r="W70" s="407">
        <f t="shared" si="9"/>
        <v>-1</v>
      </c>
      <c r="Z70" s="407">
        <v>68</v>
      </c>
      <c r="AA70" s="407" t="s">
        <v>268</v>
      </c>
      <c r="AB70" s="407">
        <v>-1</v>
      </c>
      <c r="AC70" s="415">
        <v>4.1666666666666699E-2</v>
      </c>
      <c r="AD70" s="407">
        <f t="shared" si="10"/>
        <v>0</v>
      </c>
      <c r="AE70" s="407">
        <f t="shared" si="11"/>
        <v>-3</v>
      </c>
      <c r="AF70" s="415">
        <f t="shared" si="12"/>
        <v>0.125</v>
      </c>
      <c r="AG70" s="407">
        <f t="shared" si="13"/>
        <v>-1</v>
      </c>
    </row>
    <row r="71" spans="1:33">
      <c r="A71" s="410">
        <v>45966.875</v>
      </c>
      <c r="C71" s="411" cm="1">
        <f t="array" ref="C71">A71+INDEX($V$3:V$93,$C$1)*INDEX($W$3:$W$93,$C$1)</f>
        <v>45966.875</v>
      </c>
      <c r="E71" s="411"/>
      <c r="P71" s="407">
        <v>69</v>
      </c>
      <c r="Q71" s="407" t="s">
        <v>241</v>
      </c>
      <c r="R71" s="407">
        <f t="shared" si="9"/>
        <v>0</v>
      </c>
      <c r="S71" s="415">
        <f t="shared" si="9"/>
        <v>0</v>
      </c>
      <c r="T71" s="407">
        <f t="shared" si="9"/>
        <v>0</v>
      </c>
      <c r="U71" s="407">
        <f t="shared" si="9"/>
        <v>-2</v>
      </c>
      <c r="V71" s="415">
        <f t="shared" si="9"/>
        <v>8.3333333333333329E-2</v>
      </c>
      <c r="W71" s="407">
        <f t="shared" si="9"/>
        <v>-1</v>
      </c>
      <c r="Z71" s="407">
        <v>69</v>
      </c>
      <c r="AA71" s="407" t="s">
        <v>241</v>
      </c>
      <c r="AB71" s="407">
        <v>0</v>
      </c>
      <c r="AC71" s="415">
        <v>0</v>
      </c>
      <c r="AD71" s="407">
        <f t="shared" si="10"/>
        <v>0</v>
      </c>
      <c r="AE71" s="407">
        <f t="shared" si="11"/>
        <v>-2</v>
      </c>
      <c r="AF71" s="415">
        <f t="shared" si="12"/>
        <v>8.3333333333333329E-2</v>
      </c>
      <c r="AG71" s="407">
        <f t="shared" si="13"/>
        <v>-1</v>
      </c>
    </row>
    <row r="72" spans="1:33">
      <c r="A72" s="410">
        <v>45966.875</v>
      </c>
      <c r="C72" s="411" cm="1">
        <f t="array" ref="C72">A72+INDEX($V$3:V$93,$C$1)*INDEX($W$3:$W$93,$C$1)</f>
        <v>45966.875</v>
      </c>
      <c r="E72" s="411"/>
      <c r="P72" s="407">
        <v>70</v>
      </c>
      <c r="Q72" s="407" t="s">
        <v>269</v>
      </c>
      <c r="R72" s="407">
        <f t="shared" si="9"/>
        <v>1</v>
      </c>
      <c r="S72" s="415">
        <f t="shared" si="9"/>
        <v>4.1666666666666699E-2</v>
      </c>
      <c r="T72" s="407">
        <f t="shared" si="9"/>
        <v>0</v>
      </c>
      <c r="U72" s="407">
        <f t="shared" si="9"/>
        <v>-1</v>
      </c>
      <c r="V72" s="415">
        <f t="shared" si="9"/>
        <v>4.1666666666666664E-2</v>
      </c>
      <c r="W72" s="407">
        <f t="shared" si="9"/>
        <v>-1</v>
      </c>
      <c r="Z72" s="407">
        <v>70</v>
      </c>
      <c r="AA72" s="407" t="s">
        <v>269</v>
      </c>
      <c r="AB72" s="407">
        <v>1</v>
      </c>
      <c r="AC72" s="415">
        <v>4.1666666666666699E-2</v>
      </c>
      <c r="AD72" s="407">
        <f t="shared" si="10"/>
        <v>0</v>
      </c>
      <c r="AE72" s="407">
        <f t="shared" si="11"/>
        <v>-1</v>
      </c>
      <c r="AF72" s="415">
        <f t="shared" si="12"/>
        <v>4.1666666666666664E-2</v>
      </c>
      <c r="AG72" s="407">
        <f t="shared" si="13"/>
        <v>-1</v>
      </c>
    </row>
    <row r="73" spans="1:33" ht="17.100000000000001" thickBot="1">
      <c r="A73" s="416">
        <v>45966.875</v>
      </c>
      <c r="C73" s="411" cm="1">
        <f t="array" ref="C73">A73+INDEX($V$3:V$93,$C$1)*INDEX($W$3:$W$93,$C$1)</f>
        <v>45966.875</v>
      </c>
      <c r="E73" s="411"/>
      <c r="P73" s="407">
        <v>71</v>
      </c>
      <c r="Q73" s="407" t="s">
        <v>270</v>
      </c>
      <c r="R73" s="407">
        <f t="shared" si="9"/>
        <v>2</v>
      </c>
      <c r="S73" s="415">
        <f t="shared" si="9"/>
        <v>8.3333333333333329E-2</v>
      </c>
      <c r="T73" s="407">
        <f t="shared" si="9"/>
        <v>0</v>
      </c>
      <c r="U73" s="407">
        <f t="shared" si="9"/>
        <v>0</v>
      </c>
      <c r="V73" s="415">
        <f t="shared" si="9"/>
        <v>0</v>
      </c>
      <c r="W73" s="407">
        <f t="shared" si="9"/>
        <v>0</v>
      </c>
      <c r="Z73" s="407">
        <v>71</v>
      </c>
      <c r="AA73" s="407" t="s">
        <v>270</v>
      </c>
      <c r="AB73" s="407">
        <v>2</v>
      </c>
      <c r="AC73" s="415">
        <v>8.3333333333333329E-2</v>
      </c>
      <c r="AD73" s="407">
        <f t="shared" si="10"/>
        <v>0</v>
      </c>
      <c r="AE73" s="407">
        <f t="shared" si="11"/>
        <v>0</v>
      </c>
      <c r="AF73" s="415">
        <f t="shared" si="12"/>
        <v>0</v>
      </c>
      <c r="AG73" s="407">
        <f t="shared" si="13"/>
        <v>0</v>
      </c>
    </row>
    <row r="74" spans="1:33">
      <c r="A74" s="410">
        <v>45986.78125</v>
      </c>
      <c r="C74" s="411" cm="1">
        <f t="array" ref="C74">A74+INDEX($V$3:V$93,$C$1)*INDEX($W$3:$W$93,$C$1)</f>
        <v>45986.78125</v>
      </c>
      <c r="E74" s="411"/>
      <c r="P74" s="407">
        <v>72</v>
      </c>
      <c r="Q74" s="407" t="s">
        <v>271</v>
      </c>
      <c r="R74" s="407">
        <f t="shared" si="9"/>
        <v>3</v>
      </c>
      <c r="S74" s="415">
        <f t="shared" si="9"/>
        <v>0.125</v>
      </c>
      <c r="T74" s="407">
        <f t="shared" si="9"/>
        <v>0</v>
      </c>
      <c r="U74" s="407">
        <f t="shared" si="9"/>
        <v>1</v>
      </c>
      <c r="V74" s="415">
        <f t="shared" si="9"/>
        <v>4.1666666666666664E-2</v>
      </c>
      <c r="W74" s="407">
        <f t="shared" si="9"/>
        <v>1</v>
      </c>
      <c r="Z74" s="407">
        <v>72</v>
      </c>
      <c r="AA74" s="407" t="s">
        <v>271</v>
      </c>
      <c r="AB74" s="407">
        <v>3</v>
      </c>
      <c r="AC74" s="415">
        <v>0.125</v>
      </c>
      <c r="AD74" s="407">
        <f t="shared" si="10"/>
        <v>0</v>
      </c>
      <c r="AE74" s="407">
        <f t="shared" si="11"/>
        <v>1</v>
      </c>
      <c r="AF74" s="415">
        <f t="shared" si="12"/>
        <v>4.1666666666666664E-2</v>
      </c>
      <c r="AG74" s="407">
        <f t="shared" si="13"/>
        <v>1</v>
      </c>
    </row>
    <row r="75" spans="1:33">
      <c r="A75" s="410">
        <v>45986.78125</v>
      </c>
      <c r="C75" s="411" cm="1">
        <f t="array" ref="C75">A75+INDEX($V$3:V$93,$C$1)*INDEX($W$3:$W$93,$C$1)</f>
        <v>45986.78125</v>
      </c>
      <c r="E75" s="411"/>
      <c r="P75" s="407">
        <v>73</v>
      </c>
      <c r="Q75" s="407" t="s">
        <v>272</v>
      </c>
      <c r="R75" s="407">
        <f t="shared" si="9"/>
        <v>3.5</v>
      </c>
      <c r="S75" s="415">
        <f t="shared" si="9"/>
        <v>0.14583333333333334</v>
      </c>
      <c r="T75" s="407">
        <f t="shared" si="9"/>
        <v>0</v>
      </c>
      <c r="U75" s="407">
        <f t="shared" si="9"/>
        <v>1.5</v>
      </c>
      <c r="V75" s="415">
        <f t="shared" si="9"/>
        <v>6.25E-2</v>
      </c>
      <c r="W75" s="407">
        <f t="shared" si="9"/>
        <v>1</v>
      </c>
      <c r="Z75" s="407">
        <v>73</v>
      </c>
      <c r="AA75" s="407" t="s">
        <v>272</v>
      </c>
      <c r="AB75" s="407">
        <v>3.5</v>
      </c>
      <c r="AC75" s="415">
        <v>0.14583333333333334</v>
      </c>
      <c r="AD75" s="407">
        <f t="shared" si="10"/>
        <v>0</v>
      </c>
      <c r="AE75" s="407">
        <f t="shared" si="11"/>
        <v>1.5</v>
      </c>
      <c r="AF75" s="415">
        <f t="shared" si="12"/>
        <v>6.25E-2</v>
      </c>
      <c r="AG75" s="407">
        <f t="shared" si="13"/>
        <v>1</v>
      </c>
    </row>
    <row r="76" spans="1:33">
      <c r="A76" s="410">
        <v>45986.875</v>
      </c>
      <c r="C76" s="411" cm="1">
        <f t="array" ref="C76">A76+INDEX($V$3:V$93,$C$1)*INDEX($W$3:$W$93,$C$1)</f>
        <v>45986.875</v>
      </c>
      <c r="E76" s="411"/>
      <c r="P76" s="407">
        <v>74</v>
      </c>
      <c r="Q76" s="407" t="s">
        <v>273</v>
      </c>
      <c r="R76" s="407">
        <f t="shared" si="9"/>
        <v>4</v>
      </c>
      <c r="S76" s="415">
        <f t="shared" si="9"/>
        <v>0.16666666666666666</v>
      </c>
      <c r="T76" s="407">
        <f t="shared" si="9"/>
        <v>0</v>
      </c>
      <c r="U76" s="407">
        <f t="shared" si="9"/>
        <v>2</v>
      </c>
      <c r="V76" s="415">
        <f t="shared" si="9"/>
        <v>8.3333333333333329E-2</v>
      </c>
      <c r="W76" s="407">
        <f t="shared" si="9"/>
        <v>1</v>
      </c>
      <c r="Z76" s="407">
        <v>74</v>
      </c>
      <c r="AA76" s="407" t="s">
        <v>273</v>
      </c>
      <c r="AB76" s="407">
        <v>4</v>
      </c>
      <c r="AC76" s="415">
        <v>0.16666666666666666</v>
      </c>
      <c r="AD76" s="407">
        <f t="shared" si="10"/>
        <v>0</v>
      </c>
      <c r="AE76" s="407">
        <f t="shared" si="11"/>
        <v>2</v>
      </c>
      <c r="AF76" s="415">
        <f t="shared" si="12"/>
        <v>8.3333333333333329E-2</v>
      </c>
      <c r="AG76" s="407">
        <f t="shared" si="13"/>
        <v>1</v>
      </c>
    </row>
    <row r="77" spans="1:33">
      <c r="A77" s="410">
        <v>45986.875</v>
      </c>
      <c r="C77" s="411" cm="1">
        <f t="array" ref="C77">A77+INDEX($V$3:V$93,$C$1)*INDEX($W$3:$W$93,$C$1)</f>
        <v>45986.875</v>
      </c>
      <c r="E77" s="411"/>
      <c r="P77" s="407">
        <v>75</v>
      </c>
      <c r="Q77" s="407" t="s">
        <v>274</v>
      </c>
      <c r="R77" s="407">
        <f t="shared" si="9"/>
        <v>4.5</v>
      </c>
      <c r="S77" s="415">
        <f t="shared" si="9"/>
        <v>0.1875</v>
      </c>
      <c r="T77" s="407">
        <f t="shared" si="9"/>
        <v>0</v>
      </c>
      <c r="U77" s="407">
        <f t="shared" si="9"/>
        <v>2.5</v>
      </c>
      <c r="V77" s="415">
        <f t="shared" si="9"/>
        <v>0.10416666666666667</v>
      </c>
      <c r="W77" s="407">
        <f t="shared" si="9"/>
        <v>1</v>
      </c>
      <c r="Z77" s="407">
        <v>75</v>
      </c>
      <c r="AA77" s="407" t="s">
        <v>274</v>
      </c>
      <c r="AB77" s="407">
        <v>4.5</v>
      </c>
      <c r="AC77" s="415">
        <v>0.1875</v>
      </c>
      <c r="AD77" s="407">
        <f t="shared" si="10"/>
        <v>0</v>
      </c>
      <c r="AE77" s="407">
        <f t="shared" si="11"/>
        <v>2.5</v>
      </c>
      <c r="AF77" s="415">
        <f t="shared" si="12"/>
        <v>0.10416666666666667</v>
      </c>
      <c r="AG77" s="407">
        <f t="shared" si="13"/>
        <v>1</v>
      </c>
    </row>
    <row r="78" spans="1:33">
      <c r="A78" s="410">
        <v>45986.875</v>
      </c>
      <c r="C78" s="411" cm="1">
        <f t="array" ref="C78">A78+INDEX($V$3:V$93,$C$1)*INDEX($W$3:$W$93,$C$1)</f>
        <v>45986.875</v>
      </c>
      <c r="E78" s="411"/>
      <c r="P78" s="407">
        <v>76</v>
      </c>
      <c r="Q78" s="407" t="s">
        <v>275</v>
      </c>
      <c r="R78" s="407">
        <f t="shared" si="9"/>
        <v>5</v>
      </c>
      <c r="S78" s="415">
        <f t="shared" si="9"/>
        <v>0.20833333333333334</v>
      </c>
      <c r="T78" s="407">
        <f t="shared" si="9"/>
        <v>0</v>
      </c>
      <c r="U78" s="407">
        <f t="shared" si="9"/>
        <v>3</v>
      </c>
      <c r="V78" s="415">
        <f t="shared" si="9"/>
        <v>0.125</v>
      </c>
      <c r="W78" s="407">
        <f t="shared" si="9"/>
        <v>1</v>
      </c>
      <c r="Z78" s="407">
        <v>76</v>
      </c>
      <c r="AA78" s="407" t="s">
        <v>275</v>
      </c>
      <c r="AB78" s="407">
        <v>5</v>
      </c>
      <c r="AC78" s="415">
        <v>0.20833333333333334</v>
      </c>
      <c r="AD78" s="407">
        <f t="shared" si="10"/>
        <v>0</v>
      </c>
      <c r="AE78" s="407">
        <f t="shared" si="11"/>
        <v>3</v>
      </c>
      <c r="AF78" s="415">
        <f t="shared" si="12"/>
        <v>0.125</v>
      </c>
      <c r="AG78" s="407">
        <f t="shared" si="13"/>
        <v>1</v>
      </c>
    </row>
    <row r="79" spans="1:33">
      <c r="A79" s="410">
        <v>45986.875</v>
      </c>
      <c r="C79" s="411" cm="1">
        <f t="array" ref="C79">A79+INDEX($V$3:V$93,$C$1)*INDEX($W$3:$W$93,$C$1)</f>
        <v>45986.875</v>
      </c>
      <c r="E79" s="411"/>
      <c r="P79" s="407">
        <v>77</v>
      </c>
      <c r="Q79" s="407" t="s">
        <v>276</v>
      </c>
      <c r="R79" s="407">
        <f t="shared" si="9"/>
        <v>5.5</v>
      </c>
      <c r="S79" s="415">
        <f t="shared" si="9"/>
        <v>0.22916666666666666</v>
      </c>
      <c r="T79" s="407">
        <f t="shared" si="9"/>
        <v>0</v>
      </c>
      <c r="U79" s="407">
        <f t="shared" si="9"/>
        <v>3.5</v>
      </c>
      <c r="V79" s="415">
        <f t="shared" si="9"/>
        <v>0.14583333333333334</v>
      </c>
      <c r="W79" s="407">
        <f t="shared" si="9"/>
        <v>1</v>
      </c>
      <c r="Z79" s="407">
        <v>77</v>
      </c>
      <c r="AA79" s="407" t="s">
        <v>276</v>
      </c>
      <c r="AB79" s="407">
        <v>5.5</v>
      </c>
      <c r="AC79" s="415">
        <v>0.22916666666666666</v>
      </c>
      <c r="AD79" s="407">
        <f t="shared" si="10"/>
        <v>0</v>
      </c>
      <c r="AE79" s="407">
        <f t="shared" si="11"/>
        <v>3.5</v>
      </c>
      <c r="AF79" s="415">
        <f t="shared" si="12"/>
        <v>0.14583333333333334</v>
      </c>
      <c r="AG79" s="407">
        <f t="shared" si="13"/>
        <v>1</v>
      </c>
    </row>
    <row r="80" spans="1:33">
      <c r="A80" s="410">
        <v>45986.875</v>
      </c>
      <c r="C80" s="411" cm="1">
        <f t="array" ref="C80">A80+INDEX($V$3:V$93,$C$1)*INDEX($W$3:$W$93,$C$1)</f>
        <v>45986.875</v>
      </c>
      <c r="E80" s="411"/>
      <c r="P80" s="407">
        <v>78</v>
      </c>
      <c r="Q80" s="407" t="s">
        <v>277</v>
      </c>
      <c r="R80" s="407">
        <f t="shared" si="9"/>
        <v>5.75</v>
      </c>
      <c r="S80" s="415">
        <f t="shared" si="9"/>
        <v>0.23958333333333334</v>
      </c>
      <c r="T80" s="407">
        <f t="shared" si="9"/>
        <v>0</v>
      </c>
      <c r="U80" s="407">
        <f t="shared" si="9"/>
        <v>3.75</v>
      </c>
      <c r="V80" s="415">
        <f t="shared" si="9"/>
        <v>0.15625</v>
      </c>
      <c r="W80" s="407">
        <f t="shared" si="9"/>
        <v>1</v>
      </c>
      <c r="Z80" s="407">
        <v>78</v>
      </c>
      <c r="AA80" s="407" t="s">
        <v>277</v>
      </c>
      <c r="AB80" s="407">
        <v>5.75</v>
      </c>
      <c r="AC80" s="415">
        <v>0.23958333333333334</v>
      </c>
      <c r="AD80" s="407">
        <f t="shared" si="10"/>
        <v>0</v>
      </c>
      <c r="AE80" s="407">
        <f t="shared" si="11"/>
        <v>3.75</v>
      </c>
      <c r="AF80" s="415">
        <f t="shared" si="12"/>
        <v>0.15625</v>
      </c>
      <c r="AG80" s="407">
        <f t="shared" si="13"/>
        <v>1</v>
      </c>
    </row>
    <row r="81" spans="1:33">
      <c r="A81" s="410">
        <v>45986.875</v>
      </c>
      <c r="C81" s="411" cm="1">
        <f t="array" ref="C81">A81+INDEX($V$3:V$93,$C$1)*INDEX($W$3:$W$93,$C$1)</f>
        <v>45986.875</v>
      </c>
      <c r="E81" s="411"/>
      <c r="P81" s="407">
        <v>79</v>
      </c>
      <c r="Q81" s="407" t="s">
        <v>278</v>
      </c>
      <c r="R81" s="407">
        <f t="shared" si="9"/>
        <v>6</v>
      </c>
      <c r="S81" s="415">
        <f t="shared" si="9"/>
        <v>0.25</v>
      </c>
      <c r="T81" s="407">
        <f t="shared" si="9"/>
        <v>0</v>
      </c>
      <c r="U81" s="407">
        <f t="shared" si="9"/>
        <v>4</v>
      </c>
      <c r="V81" s="415">
        <f t="shared" si="9"/>
        <v>0.16666666666666666</v>
      </c>
      <c r="W81" s="407">
        <f t="shared" si="9"/>
        <v>1</v>
      </c>
      <c r="Z81" s="407">
        <v>79</v>
      </c>
      <c r="AA81" s="407" t="s">
        <v>278</v>
      </c>
      <c r="AB81" s="407">
        <v>6</v>
      </c>
      <c r="AC81" s="415">
        <v>0.25</v>
      </c>
      <c r="AD81" s="407">
        <f t="shared" si="10"/>
        <v>0</v>
      </c>
      <c r="AE81" s="407">
        <f t="shared" si="11"/>
        <v>4</v>
      </c>
      <c r="AF81" s="415">
        <f t="shared" si="12"/>
        <v>0.16666666666666666</v>
      </c>
      <c r="AG81" s="407">
        <f t="shared" si="13"/>
        <v>1</v>
      </c>
    </row>
    <row r="82" spans="1:33">
      <c r="A82" s="410">
        <v>45986.875</v>
      </c>
      <c r="C82" s="411" cm="1">
        <f t="array" ref="C82">A82+INDEX($V$3:V$93,$C$1)*INDEX($W$3:$W$93,$C$1)</f>
        <v>45986.875</v>
      </c>
      <c r="E82" s="411"/>
      <c r="P82" s="407">
        <v>80</v>
      </c>
      <c r="Q82" s="407" t="s">
        <v>279</v>
      </c>
      <c r="R82" s="407">
        <f t="shared" si="9"/>
        <v>6.5</v>
      </c>
      <c r="S82" s="415">
        <f t="shared" si="9"/>
        <v>0.27083333333333331</v>
      </c>
      <c r="T82" s="407">
        <f t="shared" si="9"/>
        <v>0</v>
      </c>
      <c r="U82" s="407">
        <f t="shared" si="9"/>
        <v>4.5</v>
      </c>
      <c r="V82" s="415">
        <f t="shared" si="9"/>
        <v>0.1875</v>
      </c>
      <c r="W82" s="407">
        <f t="shared" si="9"/>
        <v>1</v>
      </c>
      <c r="Z82" s="407">
        <v>80</v>
      </c>
      <c r="AA82" s="407" t="s">
        <v>279</v>
      </c>
      <c r="AB82" s="407">
        <v>6.5</v>
      </c>
      <c r="AC82" s="415">
        <v>0.27083333333333331</v>
      </c>
      <c r="AD82" s="407">
        <f t="shared" si="10"/>
        <v>0</v>
      </c>
      <c r="AE82" s="407">
        <f t="shared" si="11"/>
        <v>4.5</v>
      </c>
      <c r="AF82" s="415">
        <f t="shared" si="12"/>
        <v>0.1875</v>
      </c>
      <c r="AG82" s="407">
        <f t="shared" si="13"/>
        <v>1</v>
      </c>
    </row>
    <row r="83" spans="1:33">
      <c r="A83" s="410">
        <v>45987.78125</v>
      </c>
      <c r="C83" s="411" cm="1">
        <f t="array" ref="C83">A83+INDEX($V$3:V$93,$C$1)*INDEX($W$3:$W$93,$C$1)</f>
        <v>45987.78125</v>
      </c>
      <c r="E83" s="411"/>
      <c r="P83" s="407">
        <v>81</v>
      </c>
      <c r="Q83" s="407" t="s">
        <v>280</v>
      </c>
      <c r="R83" s="407">
        <f t="shared" si="9"/>
        <v>7</v>
      </c>
      <c r="S83" s="415">
        <f t="shared" si="9"/>
        <v>0.29166666666666669</v>
      </c>
      <c r="T83" s="407">
        <f t="shared" si="9"/>
        <v>0</v>
      </c>
      <c r="U83" s="407">
        <f t="shared" si="9"/>
        <v>5</v>
      </c>
      <c r="V83" s="415">
        <f t="shared" si="9"/>
        <v>0.20833333333333334</v>
      </c>
      <c r="W83" s="407">
        <f t="shared" si="9"/>
        <v>1</v>
      </c>
      <c r="Z83" s="407">
        <v>81</v>
      </c>
      <c r="AA83" s="407" t="s">
        <v>280</v>
      </c>
      <c r="AB83" s="407">
        <v>7</v>
      </c>
      <c r="AC83" s="415">
        <v>0.29166666666666669</v>
      </c>
      <c r="AD83" s="407">
        <f t="shared" si="10"/>
        <v>0</v>
      </c>
      <c r="AE83" s="407">
        <f t="shared" si="11"/>
        <v>5</v>
      </c>
      <c r="AF83" s="415">
        <f t="shared" si="12"/>
        <v>0.20833333333333334</v>
      </c>
      <c r="AG83" s="407">
        <f t="shared" si="13"/>
        <v>1</v>
      </c>
    </row>
    <row r="84" spans="1:33">
      <c r="A84" s="410">
        <v>45987.78125</v>
      </c>
      <c r="C84" s="411" cm="1">
        <f t="array" ref="C84">A84+INDEX($V$3:V$93,$C$1)*INDEX($W$3:$W$93,$C$1)</f>
        <v>45987.78125</v>
      </c>
      <c r="E84" s="411"/>
      <c r="P84" s="407">
        <v>82</v>
      </c>
      <c r="Q84" s="407" t="s">
        <v>281</v>
      </c>
      <c r="R84" s="407">
        <f t="shared" si="9"/>
        <v>8</v>
      </c>
      <c r="S84" s="415">
        <f t="shared" si="9"/>
        <v>0.33333333333333298</v>
      </c>
      <c r="T84" s="407">
        <f t="shared" si="9"/>
        <v>0</v>
      </c>
      <c r="U84" s="407">
        <f t="shared" si="9"/>
        <v>6</v>
      </c>
      <c r="V84" s="415">
        <f t="shared" si="9"/>
        <v>0.25</v>
      </c>
      <c r="W84" s="407">
        <f t="shared" si="9"/>
        <v>1</v>
      </c>
      <c r="Z84" s="407">
        <v>82</v>
      </c>
      <c r="AA84" s="407" t="s">
        <v>281</v>
      </c>
      <c r="AB84" s="407">
        <v>8</v>
      </c>
      <c r="AC84" s="415">
        <v>0.33333333333333298</v>
      </c>
      <c r="AD84" s="407">
        <f t="shared" si="10"/>
        <v>0</v>
      </c>
      <c r="AE84" s="407">
        <f t="shared" si="11"/>
        <v>6</v>
      </c>
      <c r="AF84" s="415">
        <f t="shared" si="12"/>
        <v>0.25</v>
      </c>
      <c r="AG84" s="407">
        <f t="shared" si="13"/>
        <v>1</v>
      </c>
    </row>
    <row r="85" spans="1:33">
      <c r="A85" s="410">
        <v>45987.875</v>
      </c>
      <c r="C85" s="411" cm="1">
        <f t="array" ref="C85">A85+INDEX($V$3:V$93,$C$1)*INDEX($W$3:$W$93,$C$1)</f>
        <v>45987.875</v>
      </c>
      <c r="E85" s="411"/>
      <c r="P85" s="407">
        <v>83</v>
      </c>
      <c r="Q85" s="407" t="s">
        <v>282</v>
      </c>
      <c r="R85" s="407">
        <f t="shared" si="9"/>
        <v>9</v>
      </c>
      <c r="S85" s="415">
        <f t="shared" si="9"/>
        <v>0.375</v>
      </c>
      <c r="T85" s="407">
        <f t="shared" si="9"/>
        <v>0</v>
      </c>
      <c r="U85" s="407">
        <f t="shared" si="9"/>
        <v>7</v>
      </c>
      <c r="V85" s="415">
        <f t="shared" si="9"/>
        <v>0.29166666666666669</v>
      </c>
      <c r="W85" s="407">
        <f t="shared" si="9"/>
        <v>1</v>
      </c>
      <c r="Z85" s="407">
        <v>83</v>
      </c>
      <c r="AA85" s="407" t="s">
        <v>282</v>
      </c>
      <c r="AB85" s="407">
        <v>9</v>
      </c>
      <c r="AC85" s="415">
        <v>0.375</v>
      </c>
      <c r="AD85" s="407">
        <f t="shared" si="10"/>
        <v>0</v>
      </c>
      <c r="AE85" s="407">
        <f t="shared" si="11"/>
        <v>7</v>
      </c>
      <c r="AF85" s="415">
        <f t="shared" si="12"/>
        <v>0.29166666666666669</v>
      </c>
      <c r="AG85" s="407">
        <f t="shared" si="13"/>
        <v>1</v>
      </c>
    </row>
    <row r="86" spans="1:33">
      <c r="A86" s="410">
        <v>45987.875</v>
      </c>
      <c r="C86" s="411" cm="1">
        <f t="array" ref="C86">A86+INDEX($V$3:V$93,$C$1)*INDEX($W$3:$W$93,$C$1)</f>
        <v>45987.875</v>
      </c>
      <c r="E86" s="411"/>
      <c r="P86" s="407">
        <v>84</v>
      </c>
      <c r="Q86" s="407" t="s">
        <v>283</v>
      </c>
      <c r="R86" s="407">
        <f t="shared" si="9"/>
        <v>9.5</v>
      </c>
      <c r="S86" s="415">
        <f t="shared" si="9"/>
        <v>0.39583333333333331</v>
      </c>
      <c r="T86" s="407">
        <f t="shared" si="9"/>
        <v>0</v>
      </c>
      <c r="U86" s="407">
        <f t="shared" si="9"/>
        <v>7.5</v>
      </c>
      <c r="V86" s="415">
        <f t="shared" si="9"/>
        <v>0.3125</v>
      </c>
      <c r="W86" s="407">
        <f t="shared" si="9"/>
        <v>1</v>
      </c>
      <c r="Z86" s="407">
        <v>84</v>
      </c>
      <c r="AA86" s="407" t="s">
        <v>283</v>
      </c>
      <c r="AB86" s="407">
        <v>9.5</v>
      </c>
      <c r="AC86" s="415">
        <v>0.39583333333333331</v>
      </c>
      <c r="AD86" s="407">
        <f t="shared" si="10"/>
        <v>0</v>
      </c>
      <c r="AE86" s="407">
        <f t="shared" si="11"/>
        <v>7.5</v>
      </c>
      <c r="AF86" s="415">
        <f t="shared" si="12"/>
        <v>0.3125</v>
      </c>
      <c r="AG86" s="407">
        <f t="shared" si="13"/>
        <v>1</v>
      </c>
    </row>
    <row r="87" spans="1:33">
      <c r="A87" s="410">
        <v>45987.875</v>
      </c>
      <c r="C87" s="411" cm="1">
        <f t="array" ref="C87">A87+INDEX($V$3:V$93,$C$1)*INDEX($W$3:$W$93,$C$1)</f>
        <v>45987.875</v>
      </c>
      <c r="P87" s="407">
        <v>85</v>
      </c>
      <c r="Q87" s="407" t="s">
        <v>284</v>
      </c>
      <c r="R87" s="407">
        <f t="shared" si="9"/>
        <v>10</v>
      </c>
      <c r="S87" s="415">
        <f t="shared" si="9"/>
        <v>0.41666666666666669</v>
      </c>
      <c r="T87" s="407">
        <f t="shared" si="9"/>
        <v>0</v>
      </c>
      <c r="U87" s="407">
        <f t="shared" si="9"/>
        <v>8</v>
      </c>
      <c r="V87" s="415">
        <f t="shared" si="9"/>
        <v>0.33333333333333331</v>
      </c>
      <c r="W87" s="407">
        <f t="shared" si="9"/>
        <v>1</v>
      </c>
      <c r="Z87" s="407">
        <v>85</v>
      </c>
      <c r="AA87" s="407" t="s">
        <v>284</v>
      </c>
      <c r="AB87" s="407">
        <v>10</v>
      </c>
      <c r="AC87" s="415">
        <v>0.41666666666666669</v>
      </c>
      <c r="AD87" s="407">
        <f t="shared" si="10"/>
        <v>0</v>
      </c>
      <c r="AE87" s="407">
        <f t="shared" si="11"/>
        <v>8</v>
      </c>
      <c r="AF87" s="415">
        <f t="shared" si="12"/>
        <v>0.33333333333333331</v>
      </c>
      <c r="AG87" s="407">
        <f t="shared" si="13"/>
        <v>1</v>
      </c>
    </row>
    <row r="88" spans="1:33">
      <c r="A88" s="410">
        <v>45987.875</v>
      </c>
      <c r="C88" s="411" cm="1">
        <f t="array" ref="C88">A88+INDEX($V$3:V$93,$C$1)*INDEX($W$3:$W$93,$C$1)</f>
        <v>45987.875</v>
      </c>
      <c r="P88" s="407">
        <v>86</v>
      </c>
      <c r="Q88" s="407" t="s">
        <v>285</v>
      </c>
      <c r="R88" s="407">
        <f t="shared" si="9"/>
        <v>10.5</v>
      </c>
      <c r="S88" s="415">
        <f t="shared" si="9"/>
        <v>0.4375</v>
      </c>
      <c r="T88" s="407">
        <f t="shared" si="9"/>
        <v>0</v>
      </c>
      <c r="U88" s="407">
        <f t="shared" si="9"/>
        <v>8.5</v>
      </c>
      <c r="V88" s="415">
        <f t="shared" si="9"/>
        <v>0.35416666666666669</v>
      </c>
      <c r="W88" s="407">
        <f t="shared" si="9"/>
        <v>1</v>
      </c>
      <c r="Z88" s="407">
        <v>86</v>
      </c>
      <c r="AA88" s="407" t="s">
        <v>285</v>
      </c>
      <c r="AB88" s="407">
        <v>10.5</v>
      </c>
      <c r="AC88" s="415">
        <v>0.4375</v>
      </c>
      <c r="AD88" s="407">
        <f t="shared" si="10"/>
        <v>0</v>
      </c>
      <c r="AE88" s="407">
        <f t="shared" si="11"/>
        <v>8.5</v>
      </c>
      <c r="AF88" s="415">
        <f t="shared" si="12"/>
        <v>0.35416666666666669</v>
      </c>
      <c r="AG88" s="407">
        <f t="shared" si="13"/>
        <v>1</v>
      </c>
    </row>
    <row r="89" spans="1:33">
      <c r="A89" s="410">
        <v>45987.875</v>
      </c>
      <c r="C89" s="411" cm="1">
        <f t="array" ref="C89">A89+INDEX($V$3:V$93,$C$1)*INDEX($W$3:$W$93,$C$1)</f>
        <v>45987.875</v>
      </c>
      <c r="P89" s="407">
        <v>87</v>
      </c>
      <c r="Q89" s="407" t="s">
        <v>286</v>
      </c>
      <c r="R89" s="407">
        <f t="shared" si="9"/>
        <v>11</v>
      </c>
      <c r="S89" s="415">
        <f t="shared" si="9"/>
        <v>0.45833333333333331</v>
      </c>
      <c r="T89" s="407">
        <f t="shared" si="9"/>
        <v>0</v>
      </c>
      <c r="U89" s="407">
        <f t="shared" si="9"/>
        <v>9</v>
      </c>
      <c r="V89" s="415">
        <f t="shared" si="9"/>
        <v>0.375</v>
      </c>
      <c r="W89" s="407">
        <f t="shared" si="9"/>
        <v>1</v>
      </c>
      <c r="Z89" s="407">
        <v>87</v>
      </c>
      <c r="AA89" s="407" t="s">
        <v>286</v>
      </c>
      <c r="AB89" s="407">
        <v>11</v>
      </c>
      <c r="AC89" s="415">
        <v>0.45833333333333331</v>
      </c>
      <c r="AD89" s="407">
        <f t="shared" si="10"/>
        <v>0</v>
      </c>
      <c r="AE89" s="407">
        <f t="shared" si="11"/>
        <v>9</v>
      </c>
      <c r="AF89" s="415">
        <f t="shared" si="12"/>
        <v>0.375</v>
      </c>
      <c r="AG89" s="407">
        <f t="shared" si="13"/>
        <v>1</v>
      </c>
    </row>
    <row r="90" spans="1:33">
      <c r="A90" s="410">
        <v>45987.875</v>
      </c>
      <c r="C90" s="411" cm="1">
        <f t="array" ref="C90">A90+INDEX($V$3:V$93,$C$1)*INDEX($W$3:$W$93,$C$1)</f>
        <v>45987.875</v>
      </c>
      <c r="P90" s="407">
        <v>88</v>
      </c>
      <c r="Q90" s="407" t="s">
        <v>287</v>
      </c>
      <c r="R90" s="407">
        <f t="shared" si="9"/>
        <v>12</v>
      </c>
      <c r="S90" s="415">
        <f t="shared" si="9"/>
        <v>0.5</v>
      </c>
      <c r="T90" s="407">
        <f t="shared" si="9"/>
        <v>0</v>
      </c>
      <c r="U90" s="407">
        <f t="shared" si="9"/>
        <v>10</v>
      </c>
      <c r="V90" s="415">
        <f t="shared" si="9"/>
        <v>0.41666666666666669</v>
      </c>
      <c r="W90" s="407">
        <f t="shared" si="9"/>
        <v>1</v>
      </c>
      <c r="Z90" s="407">
        <v>88</v>
      </c>
      <c r="AA90" s="407" t="s">
        <v>287</v>
      </c>
      <c r="AB90" s="407">
        <v>12</v>
      </c>
      <c r="AC90" s="415">
        <v>0.5</v>
      </c>
      <c r="AD90" s="407">
        <f t="shared" si="10"/>
        <v>0</v>
      </c>
      <c r="AE90" s="407">
        <f t="shared" si="11"/>
        <v>10</v>
      </c>
      <c r="AF90" s="415">
        <f t="shared" si="12"/>
        <v>0.41666666666666669</v>
      </c>
      <c r="AG90" s="407">
        <f t="shared" si="13"/>
        <v>1</v>
      </c>
    </row>
    <row r="91" spans="1:33" ht="17.100000000000001" thickBot="1">
      <c r="A91" s="416">
        <v>45987.875</v>
      </c>
      <c r="C91" s="411" cm="1">
        <f t="array" ref="C91">A91+INDEX($V$3:V$93,$C$1)*INDEX($W$3:$W$93,$C$1)</f>
        <v>45987.875</v>
      </c>
      <c r="P91" s="407">
        <v>89</v>
      </c>
      <c r="Q91" s="407" t="s">
        <v>288</v>
      </c>
      <c r="R91" s="407">
        <f t="shared" si="9"/>
        <v>12.75</v>
      </c>
      <c r="S91" s="415">
        <f t="shared" si="9"/>
        <v>0.53125</v>
      </c>
      <c r="T91" s="407">
        <f t="shared" si="9"/>
        <v>0</v>
      </c>
      <c r="U91" s="407">
        <f t="shared" si="9"/>
        <v>10.75</v>
      </c>
      <c r="V91" s="415">
        <f t="shared" si="9"/>
        <v>0.44791666666666669</v>
      </c>
      <c r="W91" s="407">
        <f t="shared" si="9"/>
        <v>1</v>
      </c>
      <c r="Z91" s="407">
        <v>89</v>
      </c>
      <c r="AA91" s="407" t="s">
        <v>288</v>
      </c>
      <c r="AB91" s="407">
        <v>12.75</v>
      </c>
      <c r="AC91" s="415">
        <v>0.53125</v>
      </c>
      <c r="AD91" s="407">
        <f t="shared" si="10"/>
        <v>0</v>
      </c>
      <c r="AE91" s="407">
        <f t="shared" si="11"/>
        <v>10.75</v>
      </c>
      <c r="AF91" s="415">
        <f t="shared" si="12"/>
        <v>0.44791666666666669</v>
      </c>
      <c r="AG91" s="407">
        <f t="shared" si="13"/>
        <v>1</v>
      </c>
    </row>
    <row r="92" spans="1:33">
      <c r="A92" s="410">
        <v>46000.6875</v>
      </c>
      <c r="C92" s="411" cm="1">
        <f t="array" ref="C92">A92+INDEX($V$3:V$93,$C$1)*INDEX($W$3:$W$93,$C$1)</f>
        <v>46000.6875</v>
      </c>
      <c r="P92" s="407">
        <v>90</v>
      </c>
      <c r="Q92" s="407" t="s">
        <v>289</v>
      </c>
      <c r="R92" s="407">
        <f t="shared" si="9"/>
        <v>13</v>
      </c>
      <c r="S92" s="415">
        <f t="shared" si="9"/>
        <v>0.54166666666666663</v>
      </c>
      <c r="T92" s="407">
        <f t="shared" si="9"/>
        <v>0</v>
      </c>
      <c r="U92" s="407">
        <f t="shared" si="9"/>
        <v>11</v>
      </c>
      <c r="V92" s="415">
        <f t="shared" si="9"/>
        <v>0.45833333333333331</v>
      </c>
      <c r="W92" s="407">
        <f t="shared" si="9"/>
        <v>1</v>
      </c>
      <c r="Z92" s="407">
        <v>90</v>
      </c>
      <c r="AA92" s="407" t="s">
        <v>289</v>
      </c>
      <c r="AB92" s="407">
        <v>13</v>
      </c>
      <c r="AC92" s="415">
        <v>0.54166666666666663</v>
      </c>
      <c r="AD92" s="407">
        <f t="shared" si="10"/>
        <v>0</v>
      </c>
      <c r="AE92" s="407">
        <f t="shared" si="11"/>
        <v>11</v>
      </c>
      <c r="AF92" s="415">
        <f t="shared" si="12"/>
        <v>0.45833333333333331</v>
      </c>
      <c r="AG92" s="407">
        <f t="shared" si="13"/>
        <v>1</v>
      </c>
    </row>
    <row r="93" spans="1:33">
      <c r="A93" s="410">
        <v>46000.78125</v>
      </c>
      <c r="C93" s="411" cm="1">
        <f t="array" ref="C93">A93+INDEX($V$3:V$93,$C$1)*INDEX($W$3:$W$93,$C$1)</f>
        <v>46000.78125</v>
      </c>
      <c r="P93" s="407">
        <v>91</v>
      </c>
      <c r="Q93" s="407" t="s">
        <v>290</v>
      </c>
      <c r="R93" s="407">
        <f t="shared" si="9"/>
        <v>14</v>
      </c>
      <c r="S93" s="415">
        <f t="shared" si="9"/>
        <v>0.58333333333333337</v>
      </c>
      <c r="T93" s="407">
        <f t="shared" si="9"/>
        <v>0</v>
      </c>
      <c r="U93" s="407">
        <f t="shared" si="9"/>
        <v>12</v>
      </c>
      <c r="V93" s="415">
        <f t="shared" si="9"/>
        <v>0.5</v>
      </c>
      <c r="W93" s="407">
        <f t="shared" si="9"/>
        <v>1</v>
      </c>
      <c r="Z93" s="407">
        <v>91</v>
      </c>
      <c r="AA93" s="407" t="s">
        <v>290</v>
      </c>
      <c r="AB93" s="407">
        <v>14</v>
      </c>
      <c r="AC93" s="415">
        <v>0.58333333333333337</v>
      </c>
      <c r="AD93" s="407">
        <f t="shared" si="10"/>
        <v>0</v>
      </c>
      <c r="AE93" s="407">
        <f t="shared" si="11"/>
        <v>12</v>
      </c>
      <c r="AF93" s="415">
        <f t="shared" si="12"/>
        <v>0.5</v>
      </c>
      <c r="AG93" s="407">
        <f t="shared" si="13"/>
        <v>1</v>
      </c>
    </row>
    <row r="94" spans="1:33">
      <c r="A94" s="410">
        <v>46000.875</v>
      </c>
      <c r="C94" s="411" cm="1">
        <f t="array" ref="C94">A94+INDEX($V$3:V$93,$C$1)*INDEX($W$3:$W$93,$C$1)</f>
        <v>46000.875</v>
      </c>
    </row>
    <row r="95" spans="1:33">
      <c r="A95" s="410">
        <v>46000.875</v>
      </c>
      <c r="C95" s="411" cm="1">
        <f t="array" ref="C95">A95+INDEX($V$3:V$93,$C$1)*INDEX($W$3:$W$93,$C$1)</f>
        <v>46000.875</v>
      </c>
    </row>
    <row r="96" spans="1:33">
      <c r="A96" s="410">
        <v>46000.875</v>
      </c>
      <c r="C96" s="411" cm="1">
        <f t="array" ref="C96">A96+INDEX($V$3:V$93,$C$1)*INDEX($W$3:$W$93,$C$1)</f>
        <v>46000.875</v>
      </c>
    </row>
    <row r="97" spans="1:3">
      <c r="A97" s="410">
        <v>46000.875</v>
      </c>
      <c r="C97" s="411" cm="1">
        <f t="array" ref="C97">A97+INDEX($V$3:V$93,$C$1)*INDEX($W$3:$W$93,$C$1)</f>
        <v>46000.875</v>
      </c>
    </row>
    <row r="98" spans="1:3">
      <c r="A98" s="410">
        <v>46000.875</v>
      </c>
      <c r="C98" s="411" cm="1">
        <f t="array" ref="C98">A98+INDEX($V$3:V$93,$C$1)*INDEX($W$3:$W$93,$C$1)</f>
        <v>46000.875</v>
      </c>
    </row>
    <row r="99" spans="1:3">
      <c r="A99" s="410">
        <v>46000.875</v>
      </c>
      <c r="C99" s="411" cm="1">
        <f t="array" ref="C99">A99+INDEX($V$3:V$93,$C$1)*INDEX($W$3:$W$93,$C$1)</f>
        <v>46000.875</v>
      </c>
    </row>
    <row r="100" spans="1:3">
      <c r="A100" s="410">
        <v>46000.875</v>
      </c>
      <c r="C100" s="411" cm="1">
        <f t="array" ref="C100">A100+INDEX($V$3:V$93,$C$1)*INDEX($W$3:$W$93,$C$1)</f>
        <v>46000.875</v>
      </c>
    </row>
    <row r="101" spans="1:3">
      <c r="A101" s="410">
        <v>46001.78125</v>
      </c>
      <c r="C101" s="411" cm="1">
        <f t="array" ref="C101">A101+INDEX($V$3:V$93,$C$1)*INDEX($W$3:$W$93,$C$1)</f>
        <v>46001.78125</v>
      </c>
    </row>
    <row r="102" spans="1:3">
      <c r="A102" s="410">
        <v>46001.78125</v>
      </c>
      <c r="C102" s="411" cm="1">
        <f t="array" ref="C102">A102+INDEX($V$3:V$93,$C$1)*INDEX($W$3:$W$93,$C$1)</f>
        <v>46001.78125</v>
      </c>
    </row>
    <row r="103" spans="1:3">
      <c r="A103" s="410">
        <v>46001.875</v>
      </c>
      <c r="C103" s="411" cm="1">
        <f t="array" ref="C103">A103+INDEX($V$3:V$93,$C$1)*INDEX($W$3:$W$93,$C$1)</f>
        <v>46001.875</v>
      </c>
    </row>
    <row r="104" spans="1:3">
      <c r="A104" s="410">
        <v>46001.875</v>
      </c>
      <c r="C104" s="411" cm="1">
        <f t="array" ref="C104">A104+INDEX($V$3:V$93,$C$1)*INDEX($W$3:$W$93,$C$1)</f>
        <v>46001.875</v>
      </c>
    </row>
    <row r="105" spans="1:3">
      <c r="A105" s="410">
        <v>46001.875</v>
      </c>
      <c r="C105" s="411" cm="1">
        <f t="array" ref="C105">A105+INDEX($V$3:V$93,$C$1)*INDEX($W$3:$W$93,$C$1)</f>
        <v>46001.875</v>
      </c>
    </row>
    <row r="106" spans="1:3">
      <c r="A106" s="410">
        <v>46001.875</v>
      </c>
      <c r="C106" s="411" cm="1">
        <f t="array" ref="C106">A106+INDEX($V$3:V$93,$C$1)*INDEX($W$3:$W$93,$C$1)</f>
        <v>46001.875</v>
      </c>
    </row>
    <row r="107" spans="1:3">
      <c r="A107" s="410">
        <v>46001.875</v>
      </c>
      <c r="C107" s="411" cm="1">
        <f t="array" ref="C107">A107+INDEX($V$3:V$93,$C$1)*INDEX($W$3:$W$93,$C$1)</f>
        <v>46001.875</v>
      </c>
    </row>
    <row r="108" spans="1:3">
      <c r="A108" s="410">
        <v>46001.875</v>
      </c>
      <c r="C108" s="411" cm="1">
        <f t="array" ref="C108">A108+INDEX($V$3:V$93,$C$1)*INDEX($W$3:$W$93,$C$1)</f>
        <v>46001.875</v>
      </c>
    </row>
    <row r="109" spans="1:3" ht="17.100000000000001" thickBot="1">
      <c r="A109" s="416">
        <v>46001.875</v>
      </c>
      <c r="C109" s="411" cm="1">
        <f t="array" ref="C109">A109+INDEX($V$3:V$93,$C$1)*INDEX($W$3:$W$93,$C$1)</f>
        <v>46001.875</v>
      </c>
    </row>
    <row r="110" spans="1:3">
      <c r="A110" s="410">
        <v>46042.6875</v>
      </c>
      <c r="C110" s="411" cm="1">
        <f t="array" ref="C110">A110+INDEX($V$3:V$93,$C$1)*INDEX($W$3:$W$93,$C$1)</f>
        <v>46042.6875</v>
      </c>
    </row>
    <row r="111" spans="1:3">
      <c r="A111" s="410">
        <v>46042.78125</v>
      </c>
      <c r="C111" s="411" cm="1">
        <f t="array" ref="C111">A111+INDEX($V$3:V$93,$C$1)*INDEX($W$3:$W$93,$C$1)</f>
        <v>46042.78125</v>
      </c>
    </row>
    <row r="112" spans="1:3">
      <c r="A112" s="410">
        <v>46042.875</v>
      </c>
      <c r="C112" s="411" cm="1">
        <f t="array" ref="C112">A112+INDEX($V$3:V$93,$C$1)*INDEX($W$3:$W$93,$C$1)</f>
        <v>46042.875</v>
      </c>
    </row>
    <row r="113" spans="1:3">
      <c r="A113" s="410">
        <v>46042.875</v>
      </c>
      <c r="C113" s="411" cm="1">
        <f t="array" ref="C113">A113+INDEX($V$3:V$93,$C$1)*INDEX($W$3:$W$93,$C$1)</f>
        <v>46042.875</v>
      </c>
    </row>
    <row r="114" spans="1:3">
      <c r="A114" s="410">
        <v>46042.875</v>
      </c>
      <c r="C114" s="411" cm="1">
        <f t="array" ref="C114">A114+INDEX($V$3:V$93,$C$1)*INDEX($W$3:$W$93,$C$1)</f>
        <v>46042.875</v>
      </c>
    </row>
    <row r="115" spans="1:3">
      <c r="A115" s="410">
        <v>46042.875</v>
      </c>
      <c r="C115" s="411" cm="1">
        <f t="array" ref="C115">A115+INDEX($V$3:V$93,$C$1)*INDEX($W$3:$W$93,$C$1)</f>
        <v>46042.875</v>
      </c>
    </row>
    <row r="116" spans="1:3">
      <c r="A116" s="410">
        <v>46042.875</v>
      </c>
      <c r="C116" s="411" cm="1">
        <f t="array" ref="C116">A116+INDEX($V$3:V$93,$C$1)*INDEX($W$3:$W$93,$C$1)</f>
        <v>46042.875</v>
      </c>
    </row>
    <row r="117" spans="1:3">
      <c r="A117" s="410">
        <v>46042.875</v>
      </c>
      <c r="C117" s="411" cm="1">
        <f t="array" ref="C117">A117+INDEX($V$3:V$93,$C$1)*INDEX($W$3:$W$93,$C$1)</f>
        <v>46042.875</v>
      </c>
    </row>
    <row r="118" spans="1:3">
      <c r="A118" s="410">
        <v>46042.875</v>
      </c>
      <c r="C118" s="411" cm="1">
        <f t="array" ref="C118">A118+INDEX($V$3:V$93,$C$1)*INDEX($W$3:$W$93,$C$1)</f>
        <v>46042.875</v>
      </c>
    </row>
    <row r="119" spans="1:3">
      <c r="A119" s="410">
        <v>46043.78125</v>
      </c>
      <c r="C119" s="411" cm="1">
        <f t="array" ref="C119">A119+INDEX($V$3:V$93,$C$1)*INDEX($W$3:$W$93,$C$1)</f>
        <v>46043.78125</v>
      </c>
    </row>
    <row r="120" spans="1:3">
      <c r="A120" s="410">
        <v>46043.78125</v>
      </c>
      <c r="C120" s="411" cm="1">
        <f t="array" ref="C120">A120+INDEX($V$3:V$93,$C$1)*INDEX($W$3:$W$93,$C$1)</f>
        <v>46043.78125</v>
      </c>
    </row>
    <row r="121" spans="1:3">
      <c r="A121" s="410">
        <v>46043.875</v>
      </c>
      <c r="C121" s="411" cm="1">
        <f t="array" ref="C121">A121+INDEX($V$3:V$93,$C$1)*INDEX($W$3:$W$93,$C$1)</f>
        <v>46043.875</v>
      </c>
    </row>
    <row r="122" spans="1:3">
      <c r="A122" s="410">
        <v>46043.875</v>
      </c>
      <c r="C122" s="411" cm="1">
        <f t="array" ref="C122">A122+INDEX($V$3:V$93,$C$1)*INDEX($W$3:$W$93,$C$1)</f>
        <v>46043.875</v>
      </c>
    </row>
    <row r="123" spans="1:3">
      <c r="A123" s="410">
        <v>46043.875</v>
      </c>
      <c r="C123" s="411" cm="1">
        <f t="array" ref="C123">A123+INDEX($V$3:V$93,$C$1)*INDEX($W$3:$W$93,$C$1)</f>
        <v>46043.875</v>
      </c>
    </row>
    <row r="124" spans="1:3">
      <c r="A124" s="410">
        <v>46043.875</v>
      </c>
      <c r="C124" s="411" cm="1">
        <f t="array" ref="C124">A124+INDEX($V$3:V$93,$C$1)*INDEX($W$3:$W$93,$C$1)</f>
        <v>46043.875</v>
      </c>
    </row>
    <row r="125" spans="1:3">
      <c r="A125" s="410">
        <v>46043.875</v>
      </c>
      <c r="C125" s="411" cm="1">
        <f t="array" ref="C125">A125+INDEX($V$3:V$93,$C$1)*INDEX($W$3:$W$93,$C$1)</f>
        <v>46043.875</v>
      </c>
    </row>
    <row r="126" spans="1:3">
      <c r="A126" s="410">
        <v>46043.875</v>
      </c>
      <c r="C126" s="411" cm="1">
        <f t="array" ref="C126">A126+INDEX($V$3:V$93,$C$1)*INDEX($W$3:$W$93,$C$1)</f>
        <v>46043.875</v>
      </c>
    </row>
    <row r="127" spans="1:3" ht="17.100000000000001" thickBot="1">
      <c r="A127" s="416">
        <v>46043.875</v>
      </c>
      <c r="C127" s="411" cm="1">
        <f t="array" ref="C127">A127+INDEX($V$3:V$93,$C$1)*INDEX($W$3:$W$93,$C$1)</f>
        <v>46043.875</v>
      </c>
    </row>
    <row r="128" spans="1:3">
      <c r="A128" s="410">
        <v>46050.875</v>
      </c>
      <c r="C128" s="411" cm="1">
        <f t="array" ref="C128">A128+INDEX($V$3:V$93,$C$1)*INDEX($W$3:$W$93,$C$1)</f>
        <v>46050.875</v>
      </c>
    </row>
    <row r="129" spans="1:3">
      <c r="A129" s="410">
        <v>46050.875</v>
      </c>
      <c r="C129" s="411" cm="1">
        <f t="array" ref="C129">A129+INDEX($V$3:V$93,$C$1)*INDEX($W$3:$W$93,$C$1)</f>
        <v>46050.875</v>
      </c>
    </row>
    <row r="130" spans="1:3">
      <c r="A130" s="410">
        <v>46050.875</v>
      </c>
      <c r="C130" s="411" cm="1">
        <f t="array" ref="C130">A130+INDEX($V$3:V$93,$C$1)*INDEX($W$3:$W$93,$C$1)</f>
        <v>46050.875</v>
      </c>
    </row>
    <row r="131" spans="1:3">
      <c r="A131" s="410">
        <v>46050.875</v>
      </c>
      <c r="C131" s="411" cm="1">
        <f t="array" ref="C131">A131+INDEX($V$3:V$93,$C$1)*INDEX($W$3:$W$93,$C$1)</f>
        <v>46050.875</v>
      </c>
    </row>
    <row r="132" spans="1:3">
      <c r="A132" s="410">
        <v>46050.875</v>
      </c>
      <c r="C132" s="411" cm="1">
        <f t="array" ref="C132">A132+INDEX($V$3:V$93,$C$1)*INDEX($W$3:$W$93,$C$1)</f>
        <v>46050.875</v>
      </c>
    </row>
    <row r="133" spans="1:3">
      <c r="A133" s="410">
        <v>46050.875</v>
      </c>
      <c r="C133" s="411" cm="1">
        <f t="array" ref="C133">A133+INDEX($V$3:V$93,$C$1)*INDEX($W$3:$W$93,$C$1)</f>
        <v>46050.875</v>
      </c>
    </row>
    <row r="134" spans="1:3">
      <c r="A134" s="410">
        <v>46050.875</v>
      </c>
      <c r="C134" s="411" cm="1">
        <f t="array" ref="C134">A134+INDEX($V$3:V$93,$C$1)*INDEX($W$3:$W$93,$C$1)</f>
        <v>46050.875</v>
      </c>
    </row>
    <row r="135" spans="1:3">
      <c r="A135" s="410">
        <v>46050.875</v>
      </c>
      <c r="C135" s="411" cm="1">
        <f t="array" ref="C135">A135+INDEX($V$3:V$93,$C$1)*INDEX($W$3:$W$93,$C$1)</f>
        <v>46050.875</v>
      </c>
    </row>
    <row r="136" spans="1:3">
      <c r="A136" s="410">
        <v>46050.875</v>
      </c>
      <c r="C136" s="411" cm="1">
        <f t="array" ref="C136">A136+INDEX($V$3:V$93,$C$1)*INDEX($W$3:$W$93,$C$1)</f>
        <v>46050.875</v>
      </c>
    </row>
    <row r="137" spans="1:3">
      <c r="A137" s="410">
        <v>46050.875</v>
      </c>
      <c r="C137" s="411" cm="1">
        <f t="array" ref="C137">A137+INDEX($V$3:V$93,$C$1)*INDEX($W$3:$W$93,$C$1)</f>
        <v>46050.875</v>
      </c>
    </row>
    <row r="138" spans="1:3">
      <c r="A138" s="410">
        <v>46050.875</v>
      </c>
      <c r="C138" s="411" cm="1">
        <f t="array" ref="C138">A138+INDEX($V$3:V$93,$C$1)*INDEX($W$3:$W$93,$C$1)</f>
        <v>46050.875</v>
      </c>
    </row>
    <row r="139" spans="1:3">
      <c r="A139" s="410">
        <v>46050.875</v>
      </c>
      <c r="C139" s="411" cm="1">
        <f t="array" ref="C139">A139+INDEX($V$3:V$93,$C$1)*INDEX($W$3:$W$93,$C$1)</f>
        <v>46050.875</v>
      </c>
    </row>
    <row r="140" spans="1:3">
      <c r="A140" s="410">
        <v>46050.875</v>
      </c>
      <c r="C140" s="411" cm="1">
        <f t="array" ref="C140">A140+INDEX($V$3:V$93,$C$1)*INDEX($W$3:$W$93,$C$1)</f>
        <v>46050.875</v>
      </c>
    </row>
    <row r="141" spans="1:3">
      <c r="A141" s="410">
        <v>46050.875</v>
      </c>
      <c r="C141" s="411" cm="1">
        <f t="array" ref="C141">A141+INDEX($V$3:V$93,$C$1)*INDEX($W$3:$W$93,$C$1)</f>
        <v>46050.875</v>
      </c>
    </row>
    <row r="142" spans="1:3">
      <c r="A142" s="410">
        <v>46050.875</v>
      </c>
      <c r="C142" s="411" cm="1">
        <f t="array" ref="C142">A142+INDEX($V$3:V$93,$C$1)*INDEX($W$3:$W$93,$C$1)</f>
        <v>46050.875</v>
      </c>
    </row>
    <row r="143" spans="1:3">
      <c r="A143" s="410">
        <v>46050.875</v>
      </c>
      <c r="C143" s="411" cm="1">
        <f t="array" ref="C143">A143+INDEX($V$3:V$93,$C$1)*INDEX($W$3:$W$93,$C$1)</f>
        <v>46050.875</v>
      </c>
    </row>
    <row r="144" spans="1:3">
      <c r="A144" s="410">
        <v>46050.875</v>
      </c>
      <c r="C144" s="411" cm="1">
        <f t="array" ref="C144">A144+INDEX($V$3:V$93,$C$1)*INDEX($W$3:$W$93,$C$1)</f>
        <v>46050.875</v>
      </c>
    </row>
    <row r="145" spans="1:3">
      <c r="A145" s="410">
        <v>46050.875</v>
      </c>
      <c r="C145" s="411" cm="1">
        <f t="array" ref="C145">A145+INDEX($V$3:V$93,$C$1)*INDEX($W$3:$W$93,$C$1)</f>
        <v>46050.875</v>
      </c>
    </row>
    <row r="146" spans="1:3">
      <c r="A146" s="410"/>
      <c r="C146" s="411"/>
    </row>
    <row r="147" spans="1:3" ht="15">
      <c r="A147" s="417"/>
      <c r="B147" s="417"/>
      <c r="C147" s="417"/>
    </row>
    <row r="148" spans="1:3">
      <c r="A148" s="410">
        <f>+CHL[[#This Row],[FechaHora]]</f>
        <v>46070.875</v>
      </c>
      <c r="C148" s="411" cm="1">
        <f t="array" ref="C148">A148+INDEX($V$3:V$93,$C$1)*INDEX($W$3:$W$93,$C$1)</f>
        <v>46070.875</v>
      </c>
    </row>
    <row r="149" spans="1:3">
      <c r="A149" s="410">
        <f>+CHL[[#This Row],[FechaHora]]</f>
        <v>46078.875</v>
      </c>
      <c r="C149" s="411" cm="1">
        <f t="array" ref="C149">A149+INDEX($V$3:V$93,$C$1)*INDEX($W$3:$W$93,$C$1)</f>
        <v>46078.875</v>
      </c>
    </row>
    <row r="150" spans="1:3">
      <c r="A150" s="410">
        <f>+CHL[[#This Row],[FechaHora]]</f>
        <v>46070.875</v>
      </c>
      <c r="C150" s="411" cm="1">
        <f t="array" ref="C150">A150+INDEX($V$3:V$93,$C$1)*INDEX($W$3:$W$93,$C$1)</f>
        <v>46070.875</v>
      </c>
    </row>
    <row r="151" spans="1:3">
      <c r="A151" s="410">
        <f>+CHL[[#This Row],[FechaHora]]</f>
        <v>46078.875</v>
      </c>
      <c r="C151" s="411" cm="1">
        <f t="array" ref="C151">A151+INDEX($V$3:V$93,$C$1)*INDEX($W$3:$W$93,$C$1)</f>
        <v>46078.875</v>
      </c>
    </row>
    <row r="152" spans="1:3">
      <c r="A152" s="410">
        <f>+CHL[[#This Row],[FechaHora]]</f>
        <v>46070.875</v>
      </c>
      <c r="C152" s="411" cm="1">
        <f t="array" ref="C152">A152+INDEX($V$3:V$93,$C$1)*INDEX($W$3:$W$93,$C$1)</f>
        <v>46070.875</v>
      </c>
    </row>
    <row r="153" spans="1:3">
      <c r="A153" s="410">
        <f>+CHL[[#This Row],[FechaHora]]</f>
        <v>46078.875</v>
      </c>
      <c r="C153" s="411" cm="1">
        <f t="array" ref="C153">A153+INDEX($V$3:V$93,$C$1)*INDEX($W$3:$W$93,$C$1)</f>
        <v>46078.875</v>
      </c>
    </row>
    <row r="154" spans="1:3">
      <c r="A154" s="410">
        <f>+CHL[[#This Row],[FechaHora]]</f>
        <v>46070.875</v>
      </c>
      <c r="C154" s="411" cm="1">
        <f t="array" ref="C154">A154+INDEX($V$3:V$93,$C$1)*INDEX($W$3:$W$93,$C$1)</f>
        <v>46070.875</v>
      </c>
    </row>
    <row r="155" spans="1:3">
      <c r="A155" s="410">
        <f>+CHL[[#This Row],[FechaHora]]</f>
        <v>46078.875</v>
      </c>
      <c r="C155" s="411" cm="1">
        <f t="array" ref="C155">A155+INDEX($V$3:V$93,$C$1)*INDEX($W$3:$W$93,$C$1)</f>
        <v>46078.875</v>
      </c>
    </row>
    <row r="156" spans="1:3">
      <c r="A156" s="410">
        <f>+CHL[[#This Row],[FechaHora]]</f>
        <v>46071.875</v>
      </c>
      <c r="C156" s="411" cm="1">
        <f t="array" ref="C156">A156+INDEX($V$3:V$93,$C$1)*INDEX($W$3:$W$93,$C$1)</f>
        <v>46071.875</v>
      </c>
    </row>
    <row r="157" spans="1:3">
      <c r="A157" s="410">
        <f>+CHL[[#This Row],[FechaHora]]</f>
        <v>46077.875</v>
      </c>
      <c r="C157" s="411" cm="1">
        <f t="array" ref="C157">A157+INDEX($V$3:V$93,$C$1)*INDEX($W$3:$W$93,$C$1)</f>
        <v>46077.875</v>
      </c>
    </row>
    <row r="158" spans="1:3">
      <c r="A158" s="410">
        <f>+CHL[[#This Row],[FechaHora]]</f>
        <v>46071.875</v>
      </c>
      <c r="C158" s="411" cm="1">
        <f t="array" ref="C158">A158+INDEX($V$3:V$93,$C$1)*INDEX($W$3:$W$93,$C$1)</f>
        <v>46071.875</v>
      </c>
    </row>
    <row r="159" spans="1:3">
      <c r="A159" s="410">
        <f>+CHL[[#This Row],[FechaHora]]</f>
        <v>46077.875</v>
      </c>
      <c r="C159" s="411" cm="1">
        <f t="array" ref="C159">A159+INDEX($V$3:V$93,$C$1)*INDEX($W$3:$W$93,$C$1)</f>
        <v>46077.875</v>
      </c>
    </row>
    <row r="160" spans="1:3">
      <c r="A160" s="410">
        <f>+CHL[[#This Row],[FechaHora]]</f>
        <v>46071.875</v>
      </c>
      <c r="C160" s="411" cm="1">
        <f t="array" ref="C160">A160+INDEX($V$3:V$93,$C$1)*INDEX($W$3:$W$93,$C$1)</f>
        <v>46071.875</v>
      </c>
    </row>
    <row r="161" spans="1:3">
      <c r="A161" s="410">
        <f>+CHL[[#This Row],[FechaHora]]</f>
        <v>46077.875</v>
      </c>
      <c r="C161" s="411" cm="1">
        <f t="array" ref="C161">A161+INDEX($V$3:V$93,$C$1)*INDEX($W$3:$W$93,$C$1)</f>
        <v>46077.875</v>
      </c>
    </row>
    <row r="162" spans="1:3">
      <c r="A162" s="410">
        <f>+CHL[[#This Row],[FechaHora]]</f>
        <v>46071.875</v>
      </c>
      <c r="C162" s="411" cm="1">
        <f t="array" ref="C162">A162+INDEX($V$3:V$93,$C$1)*INDEX($W$3:$W$93,$C$1)</f>
        <v>46071.875</v>
      </c>
    </row>
    <row r="163" spans="1:3" ht="17.100000000000001" thickBot="1">
      <c r="A163" s="416">
        <f>+CHL[[#This Row],[FechaHora]]</f>
        <v>46077.875</v>
      </c>
      <c r="C163" s="411" cm="1">
        <f t="array" ref="C163">A163+INDEX($V$3:V$93,$C$1)*INDEX($W$3:$W$93,$C$1)</f>
        <v>46077.875</v>
      </c>
    </row>
    <row r="164" spans="1:3">
      <c r="A164" s="410"/>
      <c r="C164" s="411"/>
    </row>
    <row r="165" spans="1:3" ht="15">
      <c r="A165" s="418"/>
      <c r="B165" s="417"/>
      <c r="C165" s="417"/>
    </row>
    <row r="166" spans="1:3">
      <c r="A166" s="410">
        <f>+CHL[[#This Row],[FechaHora]]</f>
        <v>46091.875</v>
      </c>
      <c r="C166" s="411" cm="1">
        <f t="array" ref="C166">A166+INDEX($V$3:V$93,$C$1)*INDEX($W$3:$W$93,$C$1)</f>
        <v>46091.875</v>
      </c>
    </row>
    <row r="167" spans="1:3">
      <c r="A167" s="410">
        <f>+CHL[[#This Row],[FechaHora]]</f>
        <v>46099.875</v>
      </c>
      <c r="C167" s="411" cm="1">
        <f t="array" ref="C167">A167+INDEX($V$3:V$93,$C$1)*INDEX($W$3:$W$93,$C$1)</f>
        <v>46099.875</v>
      </c>
    </row>
    <row r="168" spans="1:3">
      <c r="A168" s="410">
        <f>+CHL[[#This Row],[FechaHora]]</f>
        <v>46091.875</v>
      </c>
      <c r="C168" s="411" cm="1">
        <f t="array" ref="C168">A168+INDEX($V$3:V$93,$C$1)*INDEX($W$3:$W$93,$C$1)</f>
        <v>46091.875</v>
      </c>
    </row>
    <row r="169" spans="1:3">
      <c r="A169" s="410">
        <f>+CHL[[#This Row],[FechaHora]]</f>
        <v>46099.875</v>
      </c>
      <c r="C169" s="411" cm="1">
        <f t="array" ref="C169">A169+INDEX($V$3:V$93,$C$1)*INDEX($W$3:$W$93,$C$1)</f>
        <v>46099.875</v>
      </c>
    </row>
    <row r="170" spans="1:3">
      <c r="A170" s="410">
        <f>+CHL[[#This Row],[FechaHora]]</f>
        <v>46091.875</v>
      </c>
      <c r="C170" s="411" cm="1">
        <f t="array" ref="C170">A170+INDEX($V$3:V$93,$C$1)*INDEX($W$3:$W$93,$C$1)</f>
        <v>46091.875</v>
      </c>
    </row>
    <row r="171" spans="1:3">
      <c r="A171" s="410">
        <f>+CHL[[#This Row],[FechaHora]]</f>
        <v>46099.875</v>
      </c>
      <c r="C171" s="411" cm="1">
        <f t="array" ref="C171">A171+INDEX($V$3:V$93,$C$1)*INDEX($W$3:$W$93,$C$1)</f>
        <v>46099.875</v>
      </c>
    </row>
    <row r="172" spans="1:3">
      <c r="A172" s="410">
        <f>+CHL[[#This Row],[FechaHora]]</f>
        <v>46091.875</v>
      </c>
      <c r="C172" s="411" cm="1">
        <f t="array" ref="C172">A172+INDEX($V$3:V$93,$C$1)*INDEX($W$3:$W$93,$C$1)</f>
        <v>46091.875</v>
      </c>
    </row>
    <row r="173" spans="1:3">
      <c r="A173" s="410">
        <f>+CHL[[#This Row],[FechaHora]]</f>
        <v>46099.875</v>
      </c>
      <c r="C173" s="411" cm="1">
        <f t="array" ref="C173">A173+INDEX($V$3:V$93,$C$1)*INDEX($W$3:$W$93,$C$1)</f>
        <v>46099.875</v>
      </c>
    </row>
    <row r="174" spans="1:3">
      <c r="A174" s="410">
        <f>+CHL[[#This Row],[FechaHora]]</f>
        <v>46092.875</v>
      </c>
      <c r="C174" s="411" cm="1">
        <f t="array" ref="C174">A174+INDEX($V$3:V$93,$C$1)*INDEX($W$3:$W$93,$C$1)</f>
        <v>46092.875</v>
      </c>
    </row>
    <row r="175" spans="1:3">
      <c r="A175" s="410">
        <f>+CHL[[#This Row],[FechaHora]]</f>
        <v>46098.875</v>
      </c>
      <c r="C175" s="411" cm="1">
        <f t="array" ref="C175">A175+INDEX($V$3:V$93,$C$1)*INDEX($W$3:$W$93,$C$1)</f>
        <v>46098.875</v>
      </c>
    </row>
    <row r="176" spans="1:3">
      <c r="A176" s="410">
        <f>+CHL[[#This Row],[FechaHora]]</f>
        <v>46092.875</v>
      </c>
      <c r="C176" s="411" cm="1">
        <f t="array" ref="C176">A176+INDEX($V$3:V$93,$C$1)*INDEX($W$3:$W$93,$C$1)</f>
        <v>46092.875</v>
      </c>
    </row>
    <row r="177" spans="1:3">
      <c r="A177" s="410">
        <f>+CHL[[#This Row],[FechaHora]]</f>
        <v>46098.875</v>
      </c>
      <c r="C177" s="411" cm="1">
        <f t="array" ref="C177">A177+INDEX($V$3:V$93,$C$1)*INDEX($W$3:$W$93,$C$1)</f>
        <v>46098.875</v>
      </c>
    </row>
    <row r="178" spans="1:3">
      <c r="A178" s="410">
        <f>+CHL[[#This Row],[FechaHora]]</f>
        <v>46092.875</v>
      </c>
      <c r="C178" s="411" cm="1">
        <f t="array" ref="C178">A178+INDEX($V$3:V$93,$C$1)*INDEX($W$3:$W$93,$C$1)</f>
        <v>46092.875</v>
      </c>
    </row>
    <row r="179" spans="1:3">
      <c r="A179" s="410">
        <f>+CHL[[#This Row],[FechaHora]]</f>
        <v>46098.875</v>
      </c>
      <c r="C179" s="411" cm="1">
        <f t="array" ref="C179">A179+INDEX($V$3:V$93,$C$1)*INDEX($W$3:$W$93,$C$1)</f>
        <v>46098.875</v>
      </c>
    </row>
    <row r="180" spans="1:3">
      <c r="A180" s="410">
        <f>+CHL[[#This Row],[FechaHora]]</f>
        <v>46092.875</v>
      </c>
      <c r="C180" s="411" cm="1">
        <f t="array" ref="C180">A180+INDEX($V$3:V$93,$C$1)*INDEX($W$3:$W$93,$C$1)</f>
        <v>46092.875</v>
      </c>
    </row>
    <row r="181" spans="1:3" ht="17.100000000000001" thickBot="1">
      <c r="A181" s="416">
        <f>+CHL[[#This Row],[FechaHora]]</f>
        <v>46098.875</v>
      </c>
      <c r="C181" s="411" cm="1">
        <f t="array" ref="C181">A181+INDEX($V$3:V$93,$C$1)*INDEX($W$3:$W$93,$C$1)</f>
        <v>46098.875</v>
      </c>
    </row>
    <row r="182" spans="1:3">
      <c r="A182" s="410"/>
      <c r="C182" s="411"/>
    </row>
    <row r="183" spans="1:3" ht="15">
      <c r="A183" s="418"/>
      <c r="B183" s="417"/>
      <c r="C183" s="417"/>
    </row>
    <row r="184" spans="1:3">
      <c r="A184" s="410">
        <f>+CHL[[#This Row],[FechaHora]]</f>
        <v>46119.875</v>
      </c>
      <c r="C184" s="411" cm="1">
        <f t="array" ref="C184">A184+INDEX($V$3:V$93,$C$1)*INDEX($W$3:$W$93,$C$1)</f>
        <v>46119.875</v>
      </c>
    </row>
    <row r="185" spans="1:3">
      <c r="A185" s="410">
        <f>+CHL[[#This Row],[FechaHora]]</f>
        <v>46127.875</v>
      </c>
      <c r="C185" s="411" cm="1">
        <f t="array" ref="C185">A185+INDEX($V$3:V$93,$C$1)*INDEX($W$3:$W$93,$C$1)</f>
        <v>46127.875</v>
      </c>
    </row>
    <row r="186" spans="1:3">
      <c r="A186" s="410">
        <f>+CHL[[#This Row],[FechaHora]]</f>
        <v>46119.875</v>
      </c>
      <c r="C186" s="411" cm="1">
        <f t="array" ref="C186">A186+INDEX($V$3:V$93,$C$1)*INDEX($W$3:$W$93,$C$1)</f>
        <v>46119.875</v>
      </c>
    </row>
    <row r="187" spans="1:3">
      <c r="A187" s="410">
        <f>+CHL[[#This Row],[FechaHora]]</f>
        <v>46127.875</v>
      </c>
      <c r="C187" s="411" cm="1">
        <f t="array" ref="C187">A187+INDEX($V$3:V$93,$C$1)*INDEX($W$3:$W$93,$C$1)</f>
        <v>46127.875</v>
      </c>
    </row>
    <row r="188" spans="1:3">
      <c r="A188" s="410">
        <f>+CHL[[#This Row],[FechaHora]]</f>
        <v>46120.875</v>
      </c>
      <c r="C188" s="411" cm="1">
        <f t="array" ref="C188">A188+INDEX($V$3:V$93,$C$1)*INDEX($W$3:$W$93,$C$1)</f>
        <v>46120.875</v>
      </c>
    </row>
    <row r="189" spans="1:3">
      <c r="A189" s="410">
        <f>+CHL[[#This Row],[FechaHora]]</f>
        <v>46126.875</v>
      </c>
      <c r="C189" s="411" cm="1">
        <f t="array" ref="C189">A189+INDEX($V$3:V$93,$C$1)*INDEX($W$3:$W$93,$C$1)</f>
        <v>46126.875</v>
      </c>
    </row>
    <row r="190" spans="1:3">
      <c r="A190" s="410">
        <f>+CHL[[#This Row],[FechaHora]]</f>
        <v>46120.875</v>
      </c>
      <c r="C190" s="411" cm="1">
        <f t="array" ref="C190">A190+INDEX($V$3:V$93,$C$1)*INDEX($W$3:$W$93,$C$1)</f>
        <v>46120.875</v>
      </c>
    </row>
    <row r="191" spans="1:3" ht="17.100000000000001" thickBot="1">
      <c r="A191" s="416">
        <f>+CHL[[#This Row],[FechaHora]]</f>
        <v>46126.875</v>
      </c>
      <c r="C191" s="411" cm="1">
        <f t="array" ref="C191">A191+INDEX($V$3:V$93,$C$1)*INDEX($W$3:$W$93,$C$1)</f>
        <v>46126.875</v>
      </c>
    </row>
    <row r="192" spans="1:3">
      <c r="A192" s="410"/>
      <c r="C192" s="411"/>
    </row>
    <row r="193" spans="1:3" ht="15">
      <c r="A193" s="418"/>
      <c r="B193" s="417"/>
      <c r="C193" s="417"/>
    </row>
    <row r="194" spans="1:3">
      <c r="A194" s="410">
        <f>+CHL[[#This Row],[FechaHora]]</f>
        <v>46140.875</v>
      </c>
      <c r="C194" s="411" cm="1">
        <f t="array" ref="C194">A194+INDEX($V$3:V$93,$C$1)*INDEX($W$3:$W$93,$C$1)</f>
        <v>46140.875</v>
      </c>
    </row>
    <row r="195" spans="1:3">
      <c r="A195" s="410">
        <f>+CHL[[#This Row],[FechaHora]]</f>
        <v>46148.875</v>
      </c>
      <c r="C195" s="411" cm="1">
        <f t="array" ref="C195">A195+INDEX($V$3:V$93,$C$1)*INDEX($W$3:$W$93,$C$1)</f>
        <v>46148.875</v>
      </c>
    </row>
    <row r="196" spans="1:3">
      <c r="A196" s="410">
        <f>+CHL[[#This Row],[FechaHora]]</f>
        <v>46141.875</v>
      </c>
      <c r="C196" s="411" cm="1">
        <f t="array" ref="C196">A196+INDEX($V$3:V$93,$C$1)*INDEX($W$3:$W$93,$C$1)</f>
        <v>46141.875</v>
      </c>
    </row>
    <row r="197" spans="1:3" ht="17.100000000000001" thickBot="1">
      <c r="A197" s="416">
        <f>+CHL[[#This Row],[FechaHora]]</f>
        <v>46147.875</v>
      </c>
      <c r="C197" s="411" cm="1">
        <f t="array" ref="C197">A197+INDEX($V$3:V$93,$C$1)*INDEX($W$3:$W$93,$C$1)</f>
        <v>46147.875</v>
      </c>
    </row>
    <row r="198" spans="1:3">
      <c r="A198" s="410"/>
      <c r="C198" s="411"/>
    </row>
    <row r="199" spans="1:3" ht="15">
      <c r="A199" s="418"/>
      <c r="B199" s="417"/>
      <c r="C199" s="417"/>
    </row>
    <row r="200" spans="1:3" ht="17.100000000000001" thickBot="1">
      <c r="A200" s="416">
        <f>+CHL[[#This Row],[FechaHora]]</f>
        <v>46172.875</v>
      </c>
      <c r="C200" s="411" cm="1">
        <f t="array" ref="C200">A200+INDEX($V$3:V$93,$C$1)*INDEX($W$3:$W$93,$C$1)</f>
        <v>46172.875</v>
      </c>
    </row>
  </sheetData>
  <sheetProtection algorithmName="SHA-512" hashValue="mZKtTFazTymEQ+09uvHYHWqX/3P0k3SUsERV0IE9PPhYPMueg+jOakZpGzC1dfeWXAvsghwJnRWo4Hjt8jlG6Q==" saltValue="29rtoY9py+GyLWiiISMlKw==" spinCount="100000" sheet="1" objects="1" scenarios="1" selectLockedCells="1" selectUnlockedCells="1"/>
  <conditionalFormatting sqref="F4:F27">
    <cfRule type="duplicateValues" dxfId="11"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B4EB2-8746-B647-82B3-65D9B5DB1D69}">
  <sheetPr codeName="Hoja10"/>
  <dimension ref="A2:P422"/>
  <sheetViews>
    <sheetView showGridLines="0" showRowColHeaders="0" topLeftCell="A391" workbookViewId="0">
      <selection activeCell="G346" sqref="G346"/>
      <extLst>
        <ext xmlns:xlsdti="http://schemas.microsoft.com/office/spreadsheetml/2023/showDataTypeIcons" uri="{77bfe23e-c014-4d31-8a63-9c772dbf06b6}">
          <xlsdti:showDataTypeIcons visible="0"/>
        </ext>
      </extLst>
    </sheetView>
  </sheetViews>
  <sheetFormatPr defaultColWidth="10.875" defaultRowHeight="15"/>
  <cols>
    <col min="1" max="3" width="10.875" style="419"/>
    <col min="4" max="4" width="17.375" style="419" bestFit="1" customWidth="1"/>
    <col min="5" max="6" width="10.875" style="419"/>
    <col min="7" max="7" width="17.375" style="419" bestFit="1" customWidth="1"/>
    <col min="8" max="16384" width="10.875" style="419"/>
  </cols>
  <sheetData>
    <row r="2" spans="1:8">
      <c r="A2" s="419" t="s">
        <v>2</v>
      </c>
      <c r="B2" s="419">
        <f>IF(Home!$C$7=Idiomas!A2,1,0)</f>
        <v>1</v>
      </c>
    </row>
    <row r="3" spans="1:8" ht="15.95" thickBot="1">
      <c r="A3" s="419" t="s">
        <v>291</v>
      </c>
      <c r="B3" s="419">
        <f>IF(Home!$C$7=Idiomas!A3,1,0)</f>
        <v>0</v>
      </c>
      <c r="E3" s="420" t="s">
        <v>292</v>
      </c>
      <c r="F3" s="420" t="s">
        <v>293</v>
      </c>
      <c r="G3" s="420" t="s">
        <v>2</v>
      </c>
      <c r="H3" s="420" t="s">
        <v>4</v>
      </c>
    </row>
    <row r="4" spans="1:8">
      <c r="D4" s="421" t="str">
        <f>IF($B$2,G4,H4)</f>
        <v>Introducir resultados Fase de Liga</v>
      </c>
      <c r="E4" s="422" t="s">
        <v>294</v>
      </c>
      <c r="F4" s="422" t="s">
        <v>295</v>
      </c>
      <c r="G4" s="422" t="s">
        <v>296</v>
      </c>
      <c r="H4" s="423" t="s">
        <v>297</v>
      </c>
    </row>
    <row r="5" spans="1:8">
      <c r="D5" s="424" t="str">
        <f>IF($B$2,G5,H5)</f>
        <v>Introducir resultados Fase KO</v>
      </c>
      <c r="E5" s="419" t="s">
        <v>294</v>
      </c>
      <c r="F5" s="419" t="s">
        <v>295</v>
      </c>
      <c r="G5" s="419" t="s">
        <v>298</v>
      </c>
      <c r="H5" s="425" t="s">
        <v>299</v>
      </c>
    </row>
    <row r="6" spans="1:8">
      <c r="D6" s="424" t="str">
        <f>IF($B$2,G6,H6)</f>
        <v>Predictor Equipos</v>
      </c>
      <c r="E6" s="419" t="s">
        <v>294</v>
      </c>
      <c r="F6" s="419" t="s">
        <v>295</v>
      </c>
      <c r="G6" s="419" t="s">
        <v>300</v>
      </c>
      <c r="H6" s="425" t="s">
        <v>301</v>
      </c>
    </row>
    <row r="7" spans="1:8">
      <c r="D7" s="424" t="str">
        <f t="shared" ref="D7:D16" si="0">IF($B$2,G7,H7)</f>
        <v>Si quieres organizar una porra (quiniela) con tu grupo puedes descargar el archivo para administrarla desde aquí.</v>
      </c>
      <c r="E7" s="419" t="s">
        <v>294</v>
      </c>
      <c r="F7" s="419" t="s">
        <v>302</v>
      </c>
      <c r="G7" s="419" t="s">
        <v>303</v>
      </c>
      <c r="H7" s="425" t="s">
        <v>304</v>
      </c>
    </row>
    <row r="8" spans="1:8">
      <c r="D8" s="424" t="str">
        <f t="shared" si="0"/>
        <v>Selecciona idioma -&gt;</v>
      </c>
      <c r="E8" s="419" t="s">
        <v>294</v>
      </c>
      <c r="F8" s="419" t="s">
        <v>305</v>
      </c>
      <c r="G8" s="419" t="s">
        <v>306</v>
      </c>
      <c r="H8" s="425" t="s">
        <v>307</v>
      </c>
    </row>
    <row r="9" spans="1:8">
      <c r="D9" s="424" t="str">
        <f t="shared" si="0"/>
        <v>LXXI
Champions League
2025-2026</v>
      </c>
      <c r="E9" s="419" t="s">
        <v>294</v>
      </c>
      <c r="F9" s="419" t="s">
        <v>308</v>
      </c>
      <c r="G9" s="419" t="str">
        <f>"LXXI"&amp;CHAR(10)&amp;"Champions League"&amp;CHAR(10)&amp;"2025-2026"</f>
        <v>LXXI
Champions League
2025-2026</v>
      </c>
      <c r="H9" s="419" t="str">
        <f>"LXX"&amp;CHAR(10)&amp;"Champions League"&amp;CHAR(10)&amp;"2025-2026"</f>
        <v>LXX
Champions League
2025-2026</v>
      </c>
    </row>
    <row r="10" spans="1:8">
      <c r="D10" s="424" t="str">
        <f t="shared" si="0"/>
        <v>Versiones para más participantes</v>
      </c>
      <c r="E10" s="419" t="s">
        <v>294</v>
      </c>
      <c r="F10" s="419" t="s">
        <v>309</v>
      </c>
      <c r="G10" s="419" t="s">
        <v>310</v>
      </c>
      <c r="H10" s="425" t="s">
        <v>311</v>
      </c>
    </row>
    <row r="11" spans="1:8">
      <c r="C11" s="426" t="s">
        <v>312</v>
      </c>
      <c r="D11" s="424" t="str">
        <f t="shared" si="0"/>
        <v>https://matejero.es/excel-champions-league/</v>
      </c>
      <c r="E11" s="419" t="s">
        <v>294</v>
      </c>
      <c r="F11" s="419" t="s">
        <v>309</v>
      </c>
      <c r="G11" s="419" t="s">
        <v>313</v>
      </c>
      <c r="H11" s="425" t="s">
        <v>314</v>
      </c>
    </row>
    <row r="12" spans="1:8">
      <c r="C12" s="426" t="s">
        <v>315</v>
      </c>
      <c r="D12" s="424" t="str">
        <f t="shared" si="0"/>
        <v>Esta versión para un máximo de 500 participantes</v>
      </c>
      <c r="E12" s="419" t="s">
        <v>294</v>
      </c>
      <c r="G12" s="419" t="s">
        <v>316</v>
      </c>
      <c r="H12" s="419" t="s">
        <v>317</v>
      </c>
    </row>
    <row r="13" spans="1:8">
      <c r="C13" s="426"/>
      <c r="D13" s="424" t="str">
        <f t="shared" si="0"/>
        <v xml:space="preserve">Si en la hoja League, no ves los escudos de los equipos </v>
      </c>
      <c r="G13" s="419" t="s">
        <v>318</v>
      </c>
      <c r="H13" s="425" t="s">
        <v>319</v>
      </c>
    </row>
    <row r="14" spans="1:8">
      <c r="C14" s="426"/>
      <c r="D14" s="424" t="str">
        <f t="shared" si="0"/>
        <v>utiliza el otro archivo que venia en el archivo .zip</v>
      </c>
      <c r="G14" s="419" t="s">
        <v>320</v>
      </c>
      <c r="H14" s="425" t="s">
        <v>321</v>
      </c>
    </row>
    <row r="15" spans="1:8" ht="15.95" thickBot="1">
      <c r="D15" s="427" t="str">
        <f t="shared" si="0"/>
        <v>Clasificación</v>
      </c>
      <c r="E15" s="428"/>
      <c r="F15" s="428"/>
      <c r="G15" s="429" t="s">
        <v>322</v>
      </c>
      <c r="H15" s="430" t="s">
        <v>323</v>
      </c>
    </row>
    <row r="16" spans="1:8" ht="15.95" thickBot="1">
      <c r="D16" s="427" t="str">
        <f t="shared" si="0"/>
        <v>Excel Mundial 2026</v>
      </c>
      <c r="G16" s="431" t="s">
        <v>208</v>
      </c>
      <c r="H16" s="431" t="s">
        <v>324</v>
      </c>
    </row>
    <row r="17" spans="1:8" ht="15.95" thickBot="1"/>
    <row r="18" spans="1:8">
      <c r="D18" s="421" t="str">
        <f t="shared" ref="D18:D63" si="1">IF($B$2,G18,H18)</f>
        <v>Selecciona Horario -&gt;</v>
      </c>
      <c r="E18" s="422" t="s">
        <v>325</v>
      </c>
      <c r="F18" s="422" t="s">
        <v>326</v>
      </c>
      <c r="G18" s="422" t="s">
        <v>327</v>
      </c>
      <c r="H18" s="423" t="s">
        <v>328</v>
      </c>
    </row>
    <row r="19" spans="1:8">
      <c r="D19" s="424" t="str">
        <f t="shared" si="1"/>
        <v>Rellenar los cuadros grises</v>
      </c>
      <c r="E19" s="419" t="s">
        <v>325</v>
      </c>
      <c r="F19" s="419" t="s">
        <v>329</v>
      </c>
      <c r="G19" s="419" t="s">
        <v>330</v>
      </c>
      <c r="H19" s="425" t="s">
        <v>331</v>
      </c>
    </row>
    <row r="20" spans="1:8">
      <c r="D20" s="424" t="str">
        <f t="shared" si="1"/>
        <v>Fecha</v>
      </c>
      <c r="E20" s="419" t="s">
        <v>325</v>
      </c>
      <c r="F20" s="419" t="s">
        <v>332</v>
      </c>
      <c r="G20" s="419" t="s">
        <v>333</v>
      </c>
      <c r="H20" s="425" t="s">
        <v>334</v>
      </c>
    </row>
    <row r="21" spans="1:8">
      <c r="D21" s="424" t="str">
        <f t="shared" si="1"/>
        <v>Hora</v>
      </c>
      <c r="E21" s="419" t="s">
        <v>325</v>
      </c>
      <c r="F21" s="419" t="s">
        <v>335</v>
      </c>
      <c r="G21" s="419" t="s">
        <v>336</v>
      </c>
      <c r="H21" s="425" t="s">
        <v>337</v>
      </c>
    </row>
    <row r="22" spans="1:8">
      <c r="A22" s="432"/>
      <c r="D22" s="424" t="str">
        <f t="shared" si="1"/>
        <v>Jor.</v>
      </c>
      <c r="E22" s="419" t="s">
        <v>325</v>
      </c>
      <c r="F22" s="419" t="s">
        <v>338</v>
      </c>
      <c r="G22" s="419" t="s">
        <v>339</v>
      </c>
      <c r="H22" s="425" t="s">
        <v>340</v>
      </c>
    </row>
    <row r="23" spans="1:8">
      <c r="A23" s="433"/>
      <c r="D23" s="424" t="str">
        <f t="shared" si="1"/>
        <v>Equipo Local</v>
      </c>
      <c r="E23" s="419" t="s">
        <v>325</v>
      </c>
      <c r="F23" s="419" t="s">
        <v>341</v>
      </c>
      <c r="G23" s="419" t="s">
        <v>342</v>
      </c>
      <c r="H23" s="425" t="s">
        <v>343</v>
      </c>
    </row>
    <row r="24" spans="1:8">
      <c r="A24" s="433"/>
      <c r="D24" s="424" t="str">
        <f t="shared" si="1"/>
        <v>Gol</v>
      </c>
      <c r="E24" s="419" t="s">
        <v>325</v>
      </c>
      <c r="F24" s="419" t="s">
        <v>344</v>
      </c>
      <c r="G24" s="419" t="s">
        <v>345</v>
      </c>
      <c r="H24" s="425" t="s">
        <v>346</v>
      </c>
    </row>
    <row r="25" spans="1:8">
      <c r="A25" s="433"/>
      <c r="D25" s="424" t="str">
        <f t="shared" si="1"/>
        <v>Gol</v>
      </c>
      <c r="G25" s="419" t="s">
        <v>345</v>
      </c>
      <c r="H25" s="425" t="s">
        <v>346</v>
      </c>
    </row>
    <row r="26" spans="1:8">
      <c r="A26" s="433"/>
      <c r="D26" s="424" t="str">
        <f t="shared" si="1"/>
        <v>Equipo Visitante</v>
      </c>
      <c r="E26" s="419" t="s">
        <v>325</v>
      </c>
      <c r="F26" s="419" t="s">
        <v>347</v>
      </c>
      <c r="G26" s="419" t="s">
        <v>348</v>
      </c>
      <c r="H26" s="425" t="s">
        <v>349</v>
      </c>
    </row>
    <row r="27" spans="1:8">
      <c r="A27" s="433"/>
      <c r="D27" s="424" t="str">
        <f t="shared" si="1"/>
        <v>CAMPEÓN CHAMPIONS 25-26:</v>
      </c>
      <c r="G27" s="419" t="s">
        <v>350</v>
      </c>
      <c r="H27" s="425" t="s">
        <v>351</v>
      </c>
    </row>
    <row r="28" spans="1:8">
      <c r="A28" s="434"/>
      <c r="D28" s="435" t="str">
        <f t="shared" si="1"/>
        <v>Grupo</v>
      </c>
      <c r="E28" s="436" t="s">
        <v>325</v>
      </c>
      <c r="F28" s="436" t="s">
        <v>352</v>
      </c>
      <c r="G28" s="436" t="s">
        <v>353</v>
      </c>
      <c r="H28" s="437" t="s">
        <v>354</v>
      </c>
    </row>
    <row r="29" spans="1:8">
      <c r="A29" s="433"/>
      <c r="D29" s="435" t="str">
        <f t="shared" si="1"/>
        <v>¡EMPATE! Puedes seleccionar el orden de los empatados.</v>
      </c>
      <c r="E29" s="436" t="s">
        <v>325</v>
      </c>
      <c r="F29" s="436" t="s">
        <v>355</v>
      </c>
      <c r="G29" s="436" t="s">
        <v>356</v>
      </c>
      <c r="H29" s="437" t="s">
        <v>357</v>
      </c>
    </row>
    <row r="30" spans="1:8">
      <c r="A30" s="433"/>
      <c r="D30" s="435" t="str">
        <f t="shared" si="1"/>
        <v>¡EMPATE! Puedes seleccionar el orden de los empatados entre los terceros.</v>
      </c>
      <c r="E30" s="436" t="s">
        <v>325</v>
      </c>
      <c r="F30" s="436" t="s">
        <v>358</v>
      </c>
      <c r="G30" s="436" t="s">
        <v>359</v>
      </c>
      <c r="H30" s="437" t="s">
        <v>360</v>
      </c>
    </row>
    <row r="31" spans="1:8">
      <c r="A31" s="433"/>
      <c r="D31" s="424" t="str">
        <f t="shared" si="1"/>
        <v>Playoffs</v>
      </c>
      <c r="E31" s="419" t="s">
        <v>325</v>
      </c>
      <c r="F31" s="419" t="s">
        <v>361</v>
      </c>
      <c r="G31" s="419" t="s">
        <v>198</v>
      </c>
      <c r="H31" s="425" t="s">
        <v>198</v>
      </c>
    </row>
    <row r="32" spans="1:8">
      <c r="A32" s="433"/>
      <c r="D32" s="424" t="str">
        <f t="shared" si="1"/>
        <v>Octavos de final</v>
      </c>
      <c r="E32" s="419" t="s">
        <v>325</v>
      </c>
      <c r="F32" s="419" t="s">
        <v>362</v>
      </c>
      <c r="G32" s="419" t="s">
        <v>363</v>
      </c>
      <c r="H32" s="425" t="s">
        <v>364</v>
      </c>
    </row>
    <row r="33" spans="1:8">
      <c r="A33" s="433"/>
      <c r="D33" s="424" t="str">
        <f t="shared" si="1"/>
        <v>Cuartos de final</v>
      </c>
      <c r="E33" s="419" t="s">
        <v>325</v>
      </c>
      <c r="F33" s="419" t="s">
        <v>365</v>
      </c>
      <c r="G33" s="419" t="s">
        <v>366</v>
      </c>
      <c r="H33" s="425" t="s">
        <v>367</v>
      </c>
    </row>
    <row r="34" spans="1:8">
      <c r="A34" s="433"/>
      <c r="D34" s="424" t="str">
        <f t="shared" si="1"/>
        <v>Semifinales</v>
      </c>
      <c r="E34" s="419" t="s">
        <v>325</v>
      </c>
      <c r="F34" s="419" t="s">
        <v>368</v>
      </c>
      <c r="G34" s="419" t="s">
        <v>369</v>
      </c>
      <c r="H34" s="425" t="s">
        <v>370</v>
      </c>
    </row>
    <row r="35" spans="1:8">
      <c r="D35" s="424" t="str">
        <f t="shared" si="1"/>
        <v>Final</v>
      </c>
      <c r="E35" s="419" t="s">
        <v>325</v>
      </c>
      <c r="F35" s="419" t="s">
        <v>371</v>
      </c>
      <c r="G35" s="419" t="s">
        <v>372</v>
      </c>
      <c r="H35" s="425" t="s">
        <v>372</v>
      </c>
    </row>
    <row r="36" spans="1:8">
      <c r="D36" s="424" t="str">
        <f t="shared" si="1"/>
        <v>CUADRO DE HONOR</v>
      </c>
      <c r="E36" s="419" t="s">
        <v>325</v>
      </c>
      <c r="F36" s="419" t="s">
        <v>373</v>
      </c>
      <c r="G36" s="419" t="s">
        <v>374</v>
      </c>
      <c r="H36" s="425" t="s">
        <v>375</v>
      </c>
    </row>
    <row r="37" spans="1:8">
      <c r="D37" s="424" t="str">
        <f t="shared" si="1"/>
        <v>Campeón</v>
      </c>
      <c r="E37" s="419" t="s">
        <v>325</v>
      </c>
      <c r="F37" s="419" t="s">
        <v>376</v>
      </c>
      <c r="G37" s="419" t="s">
        <v>377</v>
      </c>
      <c r="H37" s="425" t="s">
        <v>21</v>
      </c>
    </row>
    <row r="38" spans="1:8">
      <c r="D38" s="424" t="str">
        <f t="shared" si="1"/>
        <v>Subcampeón</v>
      </c>
      <c r="E38" s="419" t="s">
        <v>325</v>
      </c>
      <c r="F38" s="419" t="s">
        <v>378</v>
      </c>
      <c r="G38" s="419" t="s">
        <v>379</v>
      </c>
      <c r="H38" s="425" t="s">
        <v>380</v>
      </c>
    </row>
    <row r="39" spans="1:8">
      <c r="D39" s="424" t="str">
        <f t="shared" si="1"/>
        <v>Goleador del torneo</v>
      </c>
      <c r="E39" s="419" t="s">
        <v>325</v>
      </c>
      <c r="F39" s="419" t="s">
        <v>381</v>
      </c>
      <c r="G39" s="419" t="s">
        <v>382</v>
      </c>
      <c r="H39" s="425" t="s">
        <v>383</v>
      </c>
    </row>
    <row r="40" spans="1:8">
      <c r="D40" s="424" t="str">
        <f t="shared" si="1"/>
        <v>Mejor jugador del torneo</v>
      </c>
      <c r="E40" s="419" t="s">
        <v>325</v>
      </c>
      <c r="F40" s="419" t="s">
        <v>384</v>
      </c>
      <c r="G40" s="419" t="s">
        <v>385</v>
      </c>
      <c r="H40" s="425" t="s">
        <v>386</v>
      </c>
    </row>
    <row r="41" spans="1:8">
      <c r="C41" s="419" t="s">
        <v>387</v>
      </c>
      <c r="D41" s="424" t="str">
        <f t="shared" si="1"/>
        <v>Escribe el nombre máximo goleador</v>
      </c>
      <c r="E41" s="419" t="s">
        <v>325</v>
      </c>
      <c r="F41" s="419" t="s">
        <v>388</v>
      </c>
      <c r="G41" s="419" t="s">
        <v>389</v>
      </c>
      <c r="H41" s="425" t="s">
        <v>390</v>
      </c>
    </row>
    <row r="42" spans="1:8">
      <c r="C42" s="419" t="s">
        <v>387</v>
      </c>
      <c r="D42" s="424" t="str">
        <f t="shared" si="1"/>
        <v>Escribe el nombre del mejor jugador</v>
      </c>
      <c r="E42" s="419" t="s">
        <v>325</v>
      </c>
      <c r="F42" s="419" t="s">
        <v>391</v>
      </c>
      <c r="G42" s="419" t="s">
        <v>392</v>
      </c>
      <c r="H42" s="425" t="s">
        <v>393</v>
      </c>
    </row>
    <row r="43" spans="1:8">
      <c r="D43" s="424" t="str">
        <f t="shared" si="1"/>
        <v>Escribe tu nombre -&gt;</v>
      </c>
      <c r="E43" s="419" t="s">
        <v>325</v>
      </c>
      <c r="F43" s="419" t="s">
        <v>394</v>
      </c>
      <c r="G43" s="419" t="s">
        <v>395</v>
      </c>
      <c r="H43" s="425" t="s">
        <v>396</v>
      </c>
    </row>
    <row r="44" spans="1:8">
      <c r="C44" s="419" t="s">
        <v>387</v>
      </c>
      <c r="D44" s="424" t="str">
        <f t="shared" si="1"/>
        <v>ADMINISTRADOR</v>
      </c>
      <c r="E44" s="419" t="s">
        <v>325</v>
      </c>
      <c r="F44" s="419" t="s">
        <v>397</v>
      </c>
      <c r="G44" s="419" t="s">
        <v>398</v>
      </c>
      <c r="H44" s="425" t="s">
        <v>399</v>
      </c>
    </row>
    <row r="45" spans="1:8">
      <c r="C45" s="419" t="s">
        <v>387</v>
      </c>
      <c r="D45" s="424" t="str">
        <f t="shared" si="1"/>
        <v>CHAMPIONS EN PROCESO</v>
      </c>
      <c r="E45" s="419" t="s">
        <v>325</v>
      </c>
      <c r="F45" s="419" t="s">
        <v>400</v>
      </c>
      <c r="G45" s="419" t="s">
        <v>401</v>
      </c>
      <c r="H45" s="425" t="s">
        <v>402</v>
      </c>
    </row>
    <row r="46" spans="1:8">
      <c r="C46" s="419" t="s">
        <v>387</v>
      </c>
      <c r="D46" s="424" t="str">
        <f t="shared" si="1"/>
        <v>Todavía queda torneo</v>
      </c>
      <c r="E46" s="419" t="s">
        <v>325</v>
      </c>
      <c r="F46" s="419" t="s">
        <v>403</v>
      </c>
      <c r="G46" s="419" t="s">
        <v>404</v>
      </c>
      <c r="H46" s="425" t="s">
        <v>405</v>
      </c>
    </row>
    <row r="47" spans="1:8">
      <c r="C47" s="419" t="s">
        <v>387</v>
      </c>
      <c r="D47" s="424" t="str">
        <f t="shared" si="1"/>
        <v>CHAMPIONS FINALIZADA</v>
      </c>
      <c r="E47" s="419" t="s">
        <v>325</v>
      </c>
      <c r="F47" s="419" t="s">
        <v>406</v>
      </c>
      <c r="G47" s="419" t="s">
        <v>407</v>
      </c>
      <c r="H47" s="425" t="s">
        <v>408</v>
      </c>
    </row>
    <row r="48" spans="1:8">
      <c r="C48" s="419" t="s">
        <v>387</v>
      </c>
      <c r="D48" s="424" t="str">
        <f t="shared" si="1"/>
        <v>¿Quién habrá ganado?</v>
      </c>
      <c r="E48" s="419" t="s">
        <v>325</v>
      </c>
      <c r="F48" s="419" t="s">
        <v>409</v>
      </c>
      <c r="G48" s="419" t="s">
        <v>410</v>
      </c>
      <c r="H48" s="425" t="s">
        <v>411</v>
      </c>
    </row>
    <row r="49" spans="4:8">
      <c r="D49" s="424" t="str">
        <f t="shared" si="1"/>
        <v>Selecciona un primero</v>
      </c>
      <c r="G49" s="419" t="s">
        <v>412</v>
      </c>
      <c r="H49" s="425" t="s">
        <v>413</v>
      </c>
    </row>
    <row r="50" spans="4:8">
      <c r="D50" s="424" t="str">
        <f t="shared" si="1"/>
        <v>Selecciona un Playoff</v>
      </c>
      <c r="G50" s="419" t="s">
        <v>414</v>
      </c>
      <c r="H50" s="425" t="s">
        <v>415</v>
      </c>
    </row>
    <row r="51" spans="4:8">
      <c r="D51" s="424" t="str">
        <f t="shared" si="1"/>
        <v>Pos</v>
      </c>
      <c r="E51" s="419" t="s">
        <v>416</v>
      </c>
      <c r="F51" s="419" t="s">
        <v>417</v>
      </c>
      <c r="G51" s="419" t="s">
        <v>418</v>
      </c>
      <c r="H51" s="425" t="s">
        <v>418</v>
      </c>
    </row>
    <row r="52" spans="4:8">
      <c r="D52" s="424" t="str">
        <f t="shared" si="1"/>
        <v>Equipo</v>
      </c>
      <c r="E52" s="419" t="s">
        <v>416</v>
      </c>
      <c r="F52" s="419" t="s">
        <v>419</v>
      </c>
      <c r="G52" s="419" t="s">
        <v>420</v>
      </c>
      <c r="H52" s="425" t="s">
        <v>238</v>
      </c>
    </row>
    <row r="53" spans="4:8">
      <c r="D53" s="424" t="str">
        <f t="shared" si="1"/>
        <v>Pts</v>
      </c>
      <c r="E53" s="419" t="s">
        <v>416</v>
      </c>
      <c r="F53" s="419" t="s">
        <v>421</v>
      </c>
      <c r="G53" s="419" t="s">
        <v>422</v>
      </c>
      <c r="H53" s="425" t="s">
        <v>422</v>
      </c>
    </row>
    <row r="54" spans="4:8">
      <c r="D54" s="424" t="str">
        <f t="shared" si="1"/>
        <v>J</v>
      </c>
      <c r="E54" s="419" t="s">
        <v>416</v>
      </c>
      <c r="F54" s="419" t="s">
        <v>423</v>
      </c>
      <c r="G54" s="419" t="s">
        <v>424</v>
      </c>
      <c r="H54" s="425" t="s">
        <v>17</v>
      </c>
    </row>
    <row r="55" spans="4:8">
      <c r="D55" s="424" t="str">
        <f t="shared" si="1"/>
        <v>G</v>
      </c>
      <c r="E55" s="419" t="s">
        <v>416</v>
      </c>
      <c r="F55" s="419" t="s">
        <v>425</v>
      </c>
      <c r="G55" s="419" t="s">
        <v>112</v>
      </c>
      <c r="H55" s="425" t="s">
        <v>203</v>
      </c>
    </row>
    <row r="56" spans="4:8">
      <c r="D56" s="424" t="str">
        <f t="shared" si="1"/>
        <v>E</v>
      </c>
      <c r="E56" s="419" t="s">
        <v>416</v>
      </c>
      <c r="F56" s="419" t="s">
        <v>426</v>
      </c>
      <c r="G56" s="419" t="s">
        <v>427</v>
      </c>
      <c r="H56" s="425" t="s">
        <v>428</v>
      </c>
    </row>
    <row r="57" spans="4:8">
      <c r="D57" s="424" t="str">
        <f t="shared" si="1"/>
        <v>P</v>
      </c>
      <c r="E57" s="419" t="s">
        <v>416</v>
      </c>
      <c r="F57" s="419" t="s">
        <v>429</v>
      </c>
      <c r="G57" s="419" t="s">
        <v>17</v>
      </c>
      <c r="H57" s="425" t="s">
        <v>430</v>
      </c>
    </row>
    <row r="58" spans="4:8">
      <c r="D58" s="424" t="str">
        <f t="shared" si="1"/>
        <v>GF</v>
      </c>
      <c r="E58" s="419" t="s">
        <v>416</v>
      </c>
      <c r="F58" s="419" t="s">
        <v>431</v>
      </c>
      <c r="G58" s="419" t="s">
        <v>63</v>
      </c>
      <c r="H58" s="425" t="s">
        <v>100</v>
      </c>
    </row>
    <row r="59" spans="4:8">
      <c r="D59" s="424" t="str">
        <f t="shared" si="1"/>
        <v>GC</v>
      </c>
      <c r="E59" s="419" t="s">
        <v>416</v>
      </c>
      <c r="F59" s="419" t="s">
        <v>432</v>
      </c>
      <c r="G59" s="419" t="s">
        <v>433</v>
      </c>
      <c r="H59" s="425" t="s">
        <v>434</v>
      </c>
    </row>
    <row r="60" spans="4:8" ht="15.95" thickBot="1">
      <c r="D60" s="427" t="str">
        <f t="shared" si="1"/>
        <v>DG</v>
      </c>
      <c r="E60" s="419" t="s">
        <v>416</v>
      </c>
      <c r="F60" s="428" t="s">
        <v>435</v>
      </c>
      <c r="G60" s="428" t="s">
        <v>60</v>
      </c>
      <c r="H60" s="438" t="s">
        <v>436</v>
      </c>
    </row>
    <row r="61" spans="4:8">
      <c r="D61" s="419" t="str">
        <f t="shared" si="1"/>
        <v>C</v>
      </c>
      <c r="E61" s="419" t="s">
        <v>416</v>
      </c>
      <c r="G61" s="419" t="s">
        <v>437</v>
      </c>
      <c r="H61" s="419" t="s">
        <v>438</v>
      </c>
    </row>
    <row r="62" spans="4:8">
      <c r="D62" s="419" t="str">
        <f t="shared" si="1"/>
        <v>F</v>
      </c>
      <c r="E62" s="419" t="s">
        <v>416</v>
      </c>
      <c r="G62" s="419" t="s">
        <v>100</v>
      </c>
      <c r="H62" s="419" t="s">
        <v>434</v>
      </c>
    </row>
    <row r="63" spans="4:8">
      <c r="D63" s="419" t="str">
        <f t="shared" si="1"/>
        <v>Puntos penalizados</v>
      </c>
      <c r="E63" s="419" t="s">
        <v>416</v>
      </c>
      <c r="G63" s="419" t="s">
        <v>439</v>
      </c>
      <c r="H63" s="419" t="s">
        <v>440</v>
      </c>
    </row>
    <row r="64" spans="4:8">
      <c r="D64" s="419" t="str">
        <f>IF($B$2,G64,H64)</f>
        <v>Seleccionar el orden de los empatados.</v>
      </c>
      <c r="E64" s="419" t="s">
        <v>416</v>
      </c>
      <c r="G64" s="419" t="s">
        <v>441</v>
      </c>
      <c r="H64" s="425" t="s">
        <v>442</v>
      </c>
    </row>
    <row r="65" spans="3:16">
      <c r="D65" s="419" t="str">
        <f>IF($B$2,G65,H65)</f>
        <v>Clasificado</v>
      </c>
      <c r="G65" s="419" t="s">
        <v>443</v>
      </c>
      <c r="H65" s="419" t="s">
        <v>444</v>
      </c>
    </row>
    <row r="66" spans="3:16" ht="15.95">
      <c r="D66" s="419" t="str">
        <f>IF($B$2,G66,H66)</f>
        <v>Para ver los enfrentamientos de las eliminatorias tendrás que ir a la pestaña Datos → Actualizar todo cada vez que se realice el sorteo o finalice una ronda.</v>
      </c>
      <c r="G66" s="9" t="s">
        <v>445</v>
      </c>
      <c r="H66" s="9" t="s">
        <v>446</v>
      </c>
    </row>
    <row r="67" spans="3:16" ht="15.95" thickBot="1"/>
    <row r="68" spans="3:16" ht="15" customHeight="1">
      <c r="D68" s="421" t="str">
        <f>IF($B$2,G68,H68)</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68" s="422" t="s">
        <v>447</v>
      </c>
      <c r="F68" s="422" t="s">
        <v>448</v>
      </c>
      <c r="G68" s="422" t="s">
        <v>449</v>
      </c>
      <c r="H68" s="439" t="s">
        <v>450</v>
      </c>
    </row>
    <row r="69" spans="3:16">
      <c r="D69" s="424" t="str">
        <f>IF($B$2,G69,H69)</f>
        <v>Autor:</v>
      </c>
      <c r="E69" s="419" t="s">
        <v>447</v>
      </c>
      <c r="F69" s="419" t="s">
        <v>451</v>
      </c>
      <c r="G69" s="419" t="s">
        <v>452</v>
      </c>
      <c r="H69" s="425" t="s">
        <v>453</v>
      </c>
    </row>
    <row r="70" spans="3:16">
      <c r="D70" s="424" t="str">
        <f>IF($B$2,G70,H70)</f>
        <v>Útima versión</v>
      </c>
      <c r="E70" s="419" t="s">
        <v>447</v>
      </c>
      <c r="F70" s="419" t="s">
        <v>454</v>
      </c>
      <c r="G70" s="419" t="s">
        <v>455</v>
      </c>
      <c r="H70" s="425" t="s">
        <v>456</v>
      </c>
    </row>
    <row r="71" spans="3:16" ht="15.95" thickBot="1">
      <c r="D71" s="427" t="str">
        <f>IF($B$2,G71,H71)</f>
        <v>Limitación de responsabilidad:</v>
      </c>
      <c r="E71" s="428" t="s">
        <v>447</v>
      </c>
      <c r="F71" s="428" t="s">
        <v>457</v>
      </c>
      <c r="G71" s="428" t="s">
        <v>458</v>
      </c>
      <c r="H71" s="438" t="s">
        <v>459</v>
      </c>
    </row>
    <row r="73" spans="3:16" ht="15.95" thickBot="1"/>
    <row r="74" spans="3:16">
      <c r="C74" s="426" t="s">
        <v>460</v>
      </c>
      <c r="D74" s="421" t="str">
        <f t="shared" ref="D74:D117" si="2">IF($B$2,G74,H74)</f>
        <v>Para el administrador de la porra</v>
      </c>
      <c r="E74" s="422" t="s">
        <v>461</v>
      </c>
      <c r="F74" s="422" t="s">
        <v>94</v>
      </c>
      <c r="G74" s="422" t="s">
        <v>462</v>
      </c>
      <c r="H74" s="423" t="s">
        <v>463</v>
      </c>
    </row>
    <row r="75" spans="3:16">
      <c r="D75" s="424" t="str">
        <f t="shared" si="2"/>
        <v>PARTICIPANTE</v>
      </c>
      <c r="E75" s="419" t="s">
        <v>461</v>
      </c>
      <c r="F75" s="419" t="s">
        <v>457</v>
      </c>
      <c r="G75" s="419" t="s">
        <v>464</v>
      </c>
      <c r="H75" s="425" t="s">
        <v>465</v>
      </c>
    </row>
    <row r="76" spans="3:16">
      <c r="D76" s="424" t="str">
        <f t="shared" si="2"/>
        <v>Nombre</v>
      </c>
      <c r="E76" s="419" t="s">
        <v>461</v>
      </c>
      <c r="F76" s="419" t="s">
        <v>448</v>
      </c>
      <c r="G76" s="419" t="s">
        <v>466</v>
      </c>
      <c r="H76" s="425" t="s">
        <v>467</v>
      </c>
    </row>
    <row r="77" spans="3:16">
      <c r="D77" s="424" t="str">
        <f t="shared" si="2"/>
        <v>¡No tocar nada, se rellena solo!</v>
      </c>
      <c r="E77" s="419" t="s">
        <v>461</v>
      </c>
      <c r="F77" s="419" t="s">
        <v>97</v>
      </c>
      <c r="G77" s="419" t="s">
        <v>468</v>
      </c>
      <c r="H77" s="425" t="s">
        <v>469</v>
      </c>
    </row>
    <row r="78" spans="3:16" ht="15" customHeight="1">
      <c r="D78" s="424" t="str">
        <f t="shared" si="2"/>
        <v>EL ADMINISTRADOR DE LA PORRA SEGUIRÁ LAS INSTRUCCIONES DE AQUÍ ABAJO</v>
      </c>
      <c r="E78" s="419" t="s">
        <v>461</v>
      </c>
      <c r="F78" s="419" t="s">
        <v>326</v>
      </c>
      <c r="G78" s="419" t="s">
        <v>470</v>
      </c>
      <c r="H78" s="425" t="s">
        <v>471</v>
      </c>
      <c r="I78" s="440"/>
      <c r="J78" s="440"/>
      <c r="K78" s="440"/>
      <c r="L78" s="440"/>
      <c r="M78" s="440"/>
      <c r="N78" s="440"/>
      <c r="O78" s="440"/>
      <c r="P78" s="440"/>
    </row>
    <row r="79" spans="3:16" ht="15" customHeight="1">
      <c r="D79" s="424" t="str">
        <f t="shared" si="2"/>
        <v>·Si haceis toda la Eurocopa de golpe copiar de la C6 a la 134 y pegar valores en la plantilla de Administrador.</v>
      </c>
      <c r="E79" s="419" t="s">
        <v>461</v>
      </c>
      <c r="F79" s="419" t="s">
        <v>472</v>
      </c>
      <c r="G79" s="419" t="s">
        <v>473</v>
      </c>
      <c r="H79" s="425" t="s">
        <v>474</v>
      </c>
      <c r="I79" s="440"/>
      <c r="J79" s="440"/>
      <c r="K79" s="440"/>
      <c r="L79" s="440"/>
      <c r="M79" s="440"/>
      <c r="N79" s="440"/>
      <c r="O79" s="440"/>
      <c r="P79" s="440"/>
    </row>
    <row r="80" spans="3:16">
      <c r="D80" s="424" t="str">
        <f t="shared" si="2"/>
        <v>·Si haceis toda la fase de grupos de golpe, en vez de jornada a jornada selecciona de la C6 a la C188 y pega valores en la plantilla de Administrador</v>
      </c>
      <c r="E80" s="419" t="s">
        <v>461</v>
      </c>
      <c r="F80" s="419" t="s">
        <v>475</v>
      </c>
      <c r="G80" s="419" t="s">
        <v>476</v>
      </c>
      <c r="H80" s="425" t="s">
        <v>477</v>
      </c>
    </row>
    <row r="81" spans="4:12" ht="15" customHeight="1">
      <c r="D81" s="424" t="str">
        <f t="shared" si="2"/>
        <v>·Si haceis jornada a jornada seguir las instrucciones de cada jornada</v>
      </c>
      <c r="E81" s="419" t="s">
        <v>461</v>
      </c>
      <c r="F81" s="419" t="s">
        <v>478</v>
      </c>
      <c r="G81" s="419" t="s">
        <v>479</v>
      </c>
      <c r="H81" s="425" t="s">
        <v>480</v>
      </c>
      <c r="I81" s="441"/>
      <c r="J81" s="441"/>
      <c r="K81" s="441"/>
      <c r="L81" s="441"/>
    </row>
    <row r="82" spans="4:12">
      <c r="D82" s="424" t="str">
        <f t="shared" si="2"/>
        <v>·Si haceis jornada a jornada, para la primera jornada selecciona de la C6 a la C24 y pega valores en la plantilla de administrador</v>
      </c>
      <c r="E82" s="419" t="s">
        <v>461</v>
      </c>
      <c r="F82" s="419" t="s">
        <v>481</v>
      </c>
      <c r="G82" s="419" t="s">
        <v>482</v>
      </c>
      <c r="H82" s="419" t="s">
        <v>483</v>
      </c>
    </row>
    <row r="83" spans="4:12">
      <c r="D83" s="424" t="str">
        <f t="shared" si="2"/>
        <v>·Para la 2ª jornada selecciona de la C25 a la C42 y pega valores en la plantilla de administrador</v>
      </c>
      <c r="E83" s="419" t="s">
        <v>461</v>
      </c>
      <c r="F83" s="419" t="s">
        <v>484</v>
      </c>
      <c r="G83" s="419" t="s">
        <v>485</v>
      </c>
      <c r="H83" s="425" t="s">
        <v>486</v>
      </c>
    </row>
    <row r="84" spans="4:12">
      <c r="D84" s="424" t="str">
        <f t="shared" si="2"/>
        <v>·Para la 3ª jornada selecciona de la C43 a la C60 y pega valores en la plantilla de administrador</v>
      </c>
      <c r="E84" s="419" t="s">
        <v>461</v>
      </c>
      <c r="F84" s="419" t="s">
        <v>487</v>
      </c>
      <c r="G84" s="419" t="s">
        <v>488</v>
      </c>
      <c r="H84" s="425" t="s">
        <v>489</v>
      </c>
    </row>
    <row r="85" spans="4:12">
      <c r="D85" s="424" t="str">
        <f t="shared" si="2"/>
        <v>·Para la 4ª jornada selecciona de la C61 a la C78 y pega valores en la plantilla de administrador</v>
      </c>
      <c r="E85" s="419" t="s">
        <v>461</v>
      </c>
      <c r="G85" s="419" t="s">
        <v>490</v>
      </c>
      <c r="H85" s="425" t="s">
        <v>491</v>
      </c>
    </row>
    <row r="86" spans="4:12">
      <c r="D86" s="424" t="str">
        <f t="shared" si="2"/>
        <v>·Para la 5ª jornada selecciona de la C79 a la C96 y pega valores en la plantilla de administrador</v>
      </c>
      <c r="E86" s="419" t="s">
        <v>461</v>
      </c>
      <c r="G86" s="419" t="s">
        <v>492</v>
      </c>
      <c r="H86" s="425" t="s">
        <v>493</v>
      </c>
    </row>
    <row r="87" spans="4:12">
      <c r="D87" s="424" t="str">
        <f t="shared" si="2"/>
        <v>·Para la 6ª jornada selecciona de la C97 a la C114 y pega valores en la plantilla de administrador</v>
      </c>
      <c r="E87" s="419" t="s">
        <v>461</v>
      </c>
      <c r="G87" s="419" t="s">
        <v>494</v>
      </c>
      <c r="H87" s="425" t="s">
        <v>495</v>
      </c>
    </row>
    <row r="88" spans="4:12">
      <c r="D88" s="424" t="str">
        <f t="shared" si="2"/>
        <v>·Para la 7ª jornada selecciona de la C115 a la C132 y pega valores en la plantilla de administrador</v>
      </c>
      <c r="E88" s="419" t="s">
        <v>461</v>
      </c>
      <c r="G88" s="419" t="s">
        <v>496</v>
      </c>
      <c r="H88" s="425" t="s">
        <v>497</v>
      </c>
    </row>
    <row r="89" spans="4:12">
      <c r="D89" s="424" t="str">
        <f t="shared" si="2"/>
        <v>·Para la 8ª jornada selecciona de la C133 a la C188 y pega valores en la plantilla de administrador</v>
      </c>
      <c r="E89" s="419" t="s">
        <v>461</v>
      </c>
      <c r="G89" s="419" t="s">
        <v>498</v>
      </c>
      <c r="H89" s="425" t="s">
        <v>499</v>
      </c>
    </row>
    <row r="90" spans="4:12">
      <c r="D90" s="424" t="str">
        <f t="shared" si="2"/>
        <v>·Copiar de la C6 a la C41 y pegarlo en el administrador donde el Predictor</v>
      </c>
      <c r="G90" s="419" t="s">
        <v>500</v>
      </c>
      <c r="H90" s="425" t="s">
        <v>501</v>
      </c>
    </row>
    <row r="91" spans="4:12">
      <c r="D91" s="424"/>
      <c r="H91" s="425"/>
    </row>
    <row r="92" spans="4:12">
      <c r="D92" s="424" t="str">
        <f t="shared" si="2"/>
        <v>·Si haceis todas las eliminatorias de golpe, copiar de la C88 a la C132 y pegar valores en la plantilla de Administrador.</v>
      </c>
      <c r="E92" s="419" t="s">
        <v>461</v>
      </c>
      <c r="F92" s="419" t="s">
        <v>502</v>
      </c>
      <c r="G92" s="419" t="s">
        <v>503</v>
      </c>
      <c r="H92" s="425" t="s">
        <v>504</v>
      </c>
    </row>
    <row r="93" spans="4:12">
      <c r="D93" s="424" t="str">
        <f t="shared" si="2"/>
        <v>·Para los Playoffs selecciona de la C6 a la C21 y pega valores en la plantilla de administrador.</v>
      </c>
      <c r="E93" s="419" t="s">
        <v>461</v>
      </c>
      <c r="F93" s="419" t="s">
        <v>505</v>
      </c>
      <c r="G93" s="419" t="s">
        <v>506</v>
      </c>
      <c r="H93" s="425" t="s">
        <v>507</v>
      </c>
    </row>
    <row r="94" spans="4:12">
      <c r="D94" s="424" t="str">
        <f t="shared" si="2"/>
        <v>·Para los octavos selecciona de la C24 a la C40 y pega valores en la plantilla de administrador.</v>
      </c>
      <c r="E94" s="419" t="s">
        <v>461</v>
      </c>
      <c r="F94" s="419" t="s">
        <v>508</v>
      </c>
      <c r="G94" s="419" t="s">
        <v>509</v>
      </c>
      <c r="H94" s="425" t="s">
        <v>510</v>
      </c>
    </row>
    <row r="95" spans="4:12">
      <c r="D95" s="424" t="str">
        <f t="shared" si="2"/>
        <v>·Para los cuartos selecciona de la C43 a la C49 y pega valores en la plantilla de administrador.</v>
      </c>
      <c r="E95" s="419" t="s">
        <v>461</v>
      </c>
      <c r="F95" s="419" t="s">
        <v>511</v>
      </c>
      <c r="G95" s="419" t="s">
        <v>512</v>
      </c>
      <c r="H95" s="425" t="s">
        <v>513</v>
      </c>
    </row>
    <row r="96" spans="4:12">
      <c r="D96" s="424" t="str">
        <f t="shared" si="2"/>
        <v>·Para las semifinales selecciona de la C52 a la C55 y pega valores en la plantilla de administrador.</v>
      </c>
      <c r="E96" s="419" t="s">
        <v>461</v>
      </c>
      <c r="F96" s="419" t="s">
        <v>514</v>
      </c>
      <c r="G96" s="419" t="s">
        <v>515</v>
      </c>
      <c r="H96" s="425" t="s">
        <v>516</v>
      </c>
    </row>
    <row r="97" spans="4:8">
      <c r="D97" s="424" t="str">
        <f t="shared" si="2"/>
        <v>·Para la final selecciona la C58 y pega valores en la plantilla de administrador.</v>
      </c>
      <c r="E97" s="419" t="s">
        <v>461</v>
      </c>
      <c r="F97" s="419" t="s">
        <v>517</v>
      </c>
      <c r="G97" s="419" t="s">
        <v>518</v>
      </c>
      <c r="H97" s="425" t="s">
        <v>519</v>
      </c>
    </row>
    <row r="98" spans="4:8">
      <c r="D98" s="424" t="str">
        <f t="shared" si="2"/>
        <v>·Al inicio de la competición si se hace por fases copiar de la C132 a la C134 y pegarla al final del jugador en el archivo de administrador.</v>
      </c>
      <c r="E98" s="419" t="s">
        <v>461</v>
      </c>
      <c r="F98" s="419" t="s">
        <v>520</v>
      </c>
      <c r="G98" s="419" t="s">
        <v>521</v>
      </c>
      <c r="H98" s="425" t="s">
        <v>522</v>
      </c>
    </row>
    <row r="99" spans="4:8">
      <c r="D99" s="424" t="str">
        <f t="shared" si="2"/>
        <v>J1</v>
      </c>
      <c r="E99" s="419" t="s">
        <v>461</v>
      </c>
      <c r="F99" s="419" t="s">
        <v>523</v>
      </c>
      <c r="G99" s="419" t="s">
        <v>524</v>
      </c>
      <c r="H99" s="425" t="s">
        <v>110</v>
      </c>
    </row>
    <row r="100" spans="4:8">
      <c r="D100" s="424" t="str">
        <f t="shared" si="2"/>
        <v>J2</v>
      </c>
      <c r="E100" s="419" t="s">
        <v>461</v>
      </c>
      <c r="F100" s="419" t="s">
        <v>525</v>
      </c>
      <c r="G100" s="419" t="s">
        <v>526</v>
      </c>
      <c r="H100" s="425" t="s">
        <v>111</v>
      </c>
    </row>
    <row r="101" spans="4:8">
      <c r="D101" s="424" t="str">
        <f t="shared" si="2"/>
        <v>J3</v>
      </c>
      <c r="E101" s="419" t="s">
        <v>461</v>
      </c>
      <c r="F101" s="419" t="s">
        <v>527</v>
      </c>
      <c r="G101" s="419" t="s">
        <v>528</v>
      </c>
      <c r="H101" s="425" t="s">
        <v>529</v>
      </c>
    </row>
    <row r="102" spans="4:8">
      <c r="D102" s="424" t="str">
        <f t="shared" si="2"/>
        <v>J4</v>
      </c>
      <c r="E102" s="419" t="s">
        <v>461</v>
      </c>
      <c r="G102" s="419" t="s">
        <v>530</v>
      </c>
      <c r="H102" s="425" t="s">
        <v>531</v>
      </c>
    </row>
    <row r="103" spans="4:8">
      <c r="D103" s="424" t="str">
        <f t="shared" si="2"/>
        <v>J5</v>
      </c>
      <c r="E103" s="419" t="s">
        <v>461</v>
      </c>
      <c r="G103" s="419" t="s">
        <v>532</v>
      </c>
      <c r="H103" s="425" t="s">
        <v>419</v>
      </c>
    </row>
    <row r="104" spans="4:8">
      <c r="D104" s="424" t="str">
        <f t="shared" si="2"/>
        <v>J6</v>
      </c>
      <c r="E104" s="419" t="s">
        <v>461</v>
      </c>
      <c r="G104" s="419" t="s">
        <v>533</v>
      </c>
      <c r="H104" s="425" t="s">
        <v>534</v>
      </c>
    </row>
    <row r="105" spans="4:8">
      <c r="D105" s="424" t="str">
        <f t="shared" si="2"/>
        <v>J7</v>
      </c>
      <c r="E105" s="419" t="s">
        <v>461</v>
      </c>
      <c r="G105" s="419" t="s">
        <v>535</v>
      </c>
      <c r="H105" s="425" t="s">
        <v>536</v>
      </c>
    </row>
    <row r="106" spans="4:8">
      <c r="D106" s="424" t="str">
        <f t="shared" si="2"/>
        <v>J8</v>
      </c>
      <c r="E106" s="419" t="s">
        <v>461</v>
      </c>
      <c r="G106" s="419" t="s">
        <v>537</v>
      </c>
      <c r="H106" s="425" t="s">
        <v>538</v>
      </c>
    </row>
    <row r="107" spans="4:8">
      <c r="D107" s="424" t="str">
        <f t="shared" si="2"/>
        <v>FASE DE LIGA</v>
      </c>
      <c r="E107" s="419" t="s">
        <v>461</v>
      </c>
      <c r="F107" s="419" t="s">
        <v>539</v>
      </c>
      <c r="G107" s="419" t="s">
        <v>540</v>
      </c>
      <c r="H107" s="425" t="s">
        <v>541</v>
      </c>
    </row>
    <row r="108" spans="4:8">
      <c r="D108" s="424" t="str">
        <f t="shared" si="2"/>
        <v>POSICIÓN LIGA</v>
      </c>
      <c r="E108" s="419" t="s">
        <v>461</v>
      </c>
      <c r="F108" s="419" t="s">
        <v>542</v>
      </c>
      <c r="G108" s="419" t="s">
        <v>543</v>
      </c>
      <c r="H108" s="425" t="s">
        <v>544</v>
      </c>
    </row>
    <row r="109" spans="4:8">
      <c r="D109" s="424" t="str">
        <f t="shared" si="2"/>
        <v>CLASIFICADOS PARA OCTAVOS</v>
      </c>
      <c r="E109" s="419" t="s">
        <v>461</v>
      </c>
      <c r="F109" s="419" t="s">
        <v>545</v>
      </c>
      <c r="G109" s="419" t="s">
        <v>546</v>
      </c>
      <c r="H109" s="425" t="s">
        <v>547</v>
      </c>
    </row>
    <row r="110" spans="4:8">
      <c r="D110" s="424" t="str">
        <f t="shared" si="2"/>
        <v>OCTAVOS DE FINAL</v>
      </c>
      <c r="E110" s="419" t="s">
        <v>461</v>
      </c>
      <c r="F110" s="419" t="s">
        <v>548</v>
      </c>
      <c r="G110" s="419" t="s">
        <v>549</v>
      </c>
      <c r="H110" s="425" t="s">
        <v>550</v>
      </c>
    </row>
    <row r="111" spans="4:8">
      <c r="D111" s="424" t="str">
        <f t="shared" si="2"/>
        <v>CLASIFICADOS PARA CUARTOS</v>
      </c>
      <c r="E111" s="419" t="s">
        <v>461</v>
      </c>
      <c r="F111" s="419" t="s">
        <v>551</v>
      </c>
      <c r="G111" s="419" t="s">
        <v>552</v>
      </c>
      <c r="H111" s="425" t="s">
        <v>553</v>
      </c>
    </row>
    <row r="112" spans="4:8">
      <c r="D112" s="424" t="str">
        <f t="shared" si="2"/>
        <v>CUARTOS DE FINAL</v>
      </c>
      <c r="E112" s="419" t="s">
        <v>461</v>
      </c>
      <c r="F112" s="419" t="s">
        <v>554</v>
      </c>
      <c r="G112" s="419" t="s">
        <v>555</v>
      </c>
      <c r="H112" s="425" t="s">
        <v>556</v>
      </c>
    </row>
    <row r="113" spans="4:8">
      <c r="D113" s="424" t="str">
        <f t="shared" si="2"/>
        <v>CLASIFICADOS PARA SEMIFINALES</v>
      </c>
      <c r="E113" s="419" t="s">
        <v>461</v>
      </c>
      <c r="F113" s="419" t="s">
        <v>557</v>
      </c>
      <c r="G113" s="419" t="s">
        <v>558</v>
      </c>
      <c r="H113" s="425" t="s">
        <v>559</v>
      </c>
    </row>
    <row r="114" spans="4:8">
      <c r="D114" s="424" t="str">
        <f t="shared" si="2"/>
        <v>SEMIFINALES</v>
      </c>
      <c r="E114" s="419" t="s">
        <v>461</v>
      </c>
      <c r="F114" s="419" t="s">
        <v>560</v>
      </c>
      <c r="G114" s="419" t="s">
        <v>561</v>
      </c>
      <c r="H114" s="425" t="s">
        <v>562</v>
      </c>
    </row>
    <row r="115" spans="4:8">
      <c r="D115" s="424" t="str">
        <f t="shared" si="2"/>
        <v>CLASIFICADOS PARA LA FINAL</v>
      </c>
      <c r="E115" s="419" t="s">
        <v>461</v>
      </c>
      <c r="F115" s="419" t="s">
        <v>563</v>
      </c>
      <c r="G115" s="419" t="s">
        <v>564</v>
      </c>
      <c r="H115" s="425" t="s">
        <v>565</v>
      </c>
    </row>
    <row r="116" spans="4:8">
      <c r="D116" s="424" t="str">
        <f t="shared" si="2"/>
        <v>FINAL</v>
      </c>
      <c r="E116" s="419" t="s">
        <v>461</v>
      </c>
      <c r="F116" s="419" t="s">
        <v>566</v>
      </c>
      <c r="G116" s="419" t="s">
        <v>202</v>
      </c>
      <c r="H116" s="425" t="s">
        <v>202</v>
      </c>
    </row>
    <row r="117" spans="4:8" ht="15.95" thickBot="1">
      <c r="D117" s="427" t="str">
        <f t="shared" si="2"/>
        <v>CUADRO DE HONOR</v>
      </c>
      <c r="E117" s="428" t="s">
        <v>461</v>
      </c>
      <c r="F117" s="428" t="s">
        <v>567</v>
      </c>
      <c r="G117" s="428" t="s">
        <v>374</v>
      </c>
      <c r="H117" s="438" t="s">
        <v>375</v>
      </c>
    </row>
    <row r="119" spans="4:8" ht="15.95" thickBot="1"/>
    <row r="120" spans="4:8">
      <c r="D120" s="422" t="str">
        <f t="shared" ref="D120:D178" si="3">IF($B$2,G120,H120)</f>
        <v>Albania</v>
      </c>
      <c r="E120" s="419" t="s">
        <v>568</v>
      </c>
      <c r="F120" s="422" t="s">
        <v>569</v>
      </c>
      <c r="G120" s="422" t="s">
        <v>570</v>
      </c>
      <c r="H120" s="423" t="s">
        <v>570</v>
      </c>
    </row>
    <row r="121" spans="4:8">
      <c r="D121" s="419" t="str">
        <f t="shared" si="3"/>
        <v>Alemania</v>
      </c>
      <c r="E121" s="419" t="s">
        <v>568</v>
      </c>
      <c r="F121" s="419" t="s">
        <v>344</v>
      </c>
      <c r="G121" s="419" t="s">
        <v>571</v>
      </c>
      <c r="H121" s="425" t="s">
        <v>572</v>
      </c>
    </row>
    <row r="122" spans="4:8">
      <c r="D122" s="419" t="str">
        <f t="shared" si="3"/>
        <v>Andorra</v>
      </c>
      <c r="E122" s="419" t="s">
        <v>568</v>
      </c>
      <c r="F122" s="419" t="s">
        <v>573</v>
      </c>
      <c r="G122" s="419" t="s">
        <v>574</v>
      </c>
      <c r="H122" s="425" t="s">
        <v>574</v>
      </c>
    </row>
    <row r="123" spans="4:8">
      <c r="D123" s="419" t="str">
        <f t="shared" si="3"/>
        <v>Armenia</v>
      </c>
      <c r="E123" s="419" t="s">
        <v>568</v>
      </c>
      <c r="F123" s="419" t="s">
        <v>575</v>
      </c>
      <c r="G123" s="419" t="s">
        <v>576</v>
      </c>
      <c r="H123" s="425" t="s">
        <v>576</v>
      </c>
    </row>
    <row r="124" spans="4:8">
      <c r="D124" s="419" t="str">
        <f t="shared" si="3"/>
        <v>Austria</v>
      </c>
      <c r="E124" s="419" t="s">
        <v>568</v>
      </c>
      <c r="F124" s="419" t="s">
        <v>577</v>
      </c>
      <c r="G124" s="419" t="s">
        <v>578</v>
      </c>
      <c r="H124" s="425" t="s">
        <v>578</v>
      </c>
    </row>
    <row r="125" spans="4:8">
      <c r="D125" s="419" t="str">
        <f t="shared" si="3"/>
        <v>Azerbaiyán</v>
      </c>
      <c r="E125" s="419" t="s">
        <v>568</v>
      </c>
      <c r="F125" s="419" t="s">
        <v>579</v>
      </c>
      <c r="G125" s="419" t="s">
        <v>580</v>
      </c>
      <c r="H125" s="425" t="s">
        <v>581</v>
      </c>
    </row>
    <row r="126" spans="4:8">
      <c r="D126" s="419" t="str">
        <f t="shared" si="3"/>
        <v>Bélgica</v>
      </c>
      <c r="E126" s="419" t="s">
        <v>568</v>
      </c>
      <c r="F126" s="419" t="s">
        <v>582</v>
      </c>
      <c r="G126" s="419" t="s">
        <v>583</v>
      </c>
      <c r="H126" s="425" t="s">
        <v>584</v>
      </c>
    </row>
    <row r="127" spans="4:8">
      <c r="D127" s="419" t="str">
        <f t="shared" si="3"/>
        <v>Bielorrusia</v>
      </c>
      <c r="E127" s="419" t="s">
        <v>568</v>
      </c>
      <c r="F127" s="419" t="s">
        <v>585</v>
      </c>
      <c r="G127" s="419" t="s">
        <v>586</v>
      </c>
      <c r="H127" s="425" t="s">
        <v>587</v>
      </c>
    </row>
    <row r="128" spans="4:8">
      <c r="D128" s="419" t="str">
        <f t="shared" si="3"/>
        <v>Bosnia y Herzegovina</v>
      </c>
      <c r="E128" s="419" t="s">
        <v>568</v>
      </c>
      <c r="F128" s="419" t="s">
        <v>588</v>
      </c>
      <c r="G128" s="419" t="s">
        <v>589</v>
      </c>
      <c r="H128" s="425" t="s">
        <v>590</v>
      </c>
    </row>
    <row r="129" spans="4:8">
      <c r="D129" s="419" t="str">
        <f t="shared" si="3"/>
        <v>Bulgaria</v>
      </c>
      <c r="E129" s="419" t="s">
        <v>568</v>
      </c>
      <c r="F129" s="419" t="s">
        <v>591</v>
      </c>
      <c r="G129" s="419" t="s">
        <v>592</v>
      </c>
      <c r="H129" s="425" t="s">
        <v>593</v>
      </c>
    </row>
    <row r="130" spans="4:8">
      <c r="D130" s="419" t="str">
        <f t="shared" si="3"/>
        <v>Chipre</v>
      </c>
      <c r="E130" s="419" t="s">
        <v>568</v>
      </c>
      <c r="F130" s="419" t="s">
        <v>594</v>
      </c>
      <c r="G130" s="419" t="s">
        <v>595</v>
      </c>
      <c r="H130" s="425" t="s">
        <v>596</v>
      </c>
    </row>
    <row r="131" spans="4:8">
      <c r="D131" s="419" t="str">
        <f t="shared" si="3"/>
        <v>Croacia</v>
      </c>
      <c r="E131" s="419" t="s">
        <v>568</v>
      </c>
      <c r="F131" s="419" t="s">
        <v>597</v>
      </c>
      <c r="G131" s="419" t="s">
        <v>598</v>
      </c>
      <c r="H131" s="425" t="s">
        <v>599</v>
      </c>
    </row>
    <row r="132" spans="4:8">
      <c r="D132" s="419" t="str">
        <f t="shared" si="3"/>
        <v>Dinamarca</v>
      </c>
      <c r="E132" s="419" t="s">
        <v>568</v>
      </c>
      <c r="F132" s="419" t="s">
        <v>600</v>
      </c>
      <c r="G132" s="419" t="s">
        <v>601</v>
      </c>
      <c r="H132" s="425" t="s">
        <v>602</v>
      </c>
    </row>
    <row r="133" spans="4:8">
      <c r="D133" s="419" t="str">
        <f t="shared" si="3"/>
        <v>Escocia</v>
      </c>
      <c r="E133" s="419" t="s">
        <v>568</v>
      </c>
      <c r="F133" s="419" t="s">
        <v>603</v>
      </c>
      <c r="G133" s="419" t="s">
        <v>604</v>
      </c>
      <c r="H133" s="425" t="s">
        <v>605</v>
      </c>
    </row>
    <row r="134" spans="4:8">
      <c r="D134" s="419" t="str">
        <f t="shared" si="3"/>
        <v>Eslovaquia</v>
      </c>
      <c r="E134" s="419" t="s">
        <v>568</v>
      </c>
      <c r="F134" s="419" t="s">
        <v>606</v>
      </c>
      <c r="G134" s="419" t="s">
        <v>607</v>
      </c>
      <c r="H134" s="425" t="s">
        <v>608</v>
      </c>
    </row>
    <row r="135" spans="4:8">
      <c r="D135" s="419" t="str">
        <f t="shared" si="3"/>
        <v>Eslovenia</v>
      </c>
      <c r="E135" s="419" t="s">
        <v>568</v>
      </c>
      <c r="F135" s="419" t="s">
        <v>609</v>
      </c>
      <c r="G135" s="419" t="s">
        <v>610</v>
      </c>
      <c r="H135" s="425" t="s">
        <v>611</v>
      </c>
    </row>
    <row r="136" spans="4:8">
      <c r="D136" s="419" t="str">
        <f t="shared" si="3"/>
        <v>España</v>
      </c>
      <c r="E136" s="419" t="s">
        <v>568</v>
      </c>
      <c r="F136" s="419" t="s">
        <v>612</v>
      </c>
      <c r="G136" s="419" t="s">
        <v>7</v>
      </c>
      <c r="H136" s="425" t="s">
        <v>613</v>
      </c>
    </row>
    <row r="137" spans="4:8">
      <c r="D137" s="419" t="str">
        <f t="shared" si="3"/>
        <v>Estonia</v>
      </c>
      <c r="E137" s="419" t="s">
        <v>568</v>
      </c>
      <c r="F137" s="419" t="s">
        <v>614</v>
      </c>
      <c r="G137" s="419" t="s">
        <v>615</v>
      </c>
      <c r="H137" s="425" t="s">
        <v>615</v>
      </c>
    </row>
    <row r="138" spans="4:8">
      <c r="D138" s="419" t="str">
        <f t="shared" si="3"/>
        <v>Finlandia</v>
      </c>
      <c r="E138" s="419" t="s">
        <v>568</v>
      </c>
      <c r="F138" s="419" t="s">
        <v>616</v>
      </c>
      <c r="G138" s="419" t="s">
        <v>617</v>
      </c>
      <c r="H138" s="425" t="s">
        <v>618</v>
      </c>
    </row>
    <row r="139" spans="4:8">
      <c r="D139" s="419" t="str">
        <f t="shared" si="3"/>
        <v>Francia</v>
      </c>
      <c r="E139" s="419" t="s">
        <v>568</v>
      </c>
      <c r="F139" s="419" t="s">
        <v>619</v>
      </c>
      <c r="G139" s="419" t="s">
        <v>620</v>
      </c>
      <c r="H139" s="425" t="s">
        <v>621</v>
      </c>
    </row>
    <row r="140" spans="4:8">
      <c r="D140" s="419" t="str">
        <f t="shared" si="3"/>
        <v>Gales</v>
      </c>
      <c r="E140" s="419" t="s">
        <v>568</v>
      </c>
      <c r="F140" s="419" t="s">
        <v>622</v>
      </c>
      <c r="G140" s="419" t="s">
        <v>623</v>
      </c>
      <c r="H140" s="425" t="s">
        <v>624</v>
      </c>
    </row>
    <row r="141" spans="4:8">
      <c r="D141" s="419" t="str">
        <f t="shared" si="3"/>
        <v>Georgia</v>
      </c>
      <c r="E141" s="419" t="s">
        <v>568</v>
      </c>
      <c r="F141" s="419" t="s">
        <v>625</v>
      </c>
      <c r="G141" s="419" t="s">
        <v>626</v>
      </c>
      <c r="H141" s="425" t="s">
        <v>626</v>
      </c>
    </row>
    <row r="142" spans="4:8">
      <c r="D142" s="419" t="str">
        <f t="shared" si="3"/>
        <v>Gibraltar</v>
      </c>
      <c r="E142" s="419" t="s">
        <v>568</v>
      </c>
      <c r="F142" s="419" t="s">
        <v>627</v>
      </c>
      <c r="G142" s="419" t="s">
        <v>628</v>
      </c>
      <c r="H142" s="425" t="s">
        <v>628</v>
      </c>
    </row>
    <row r="143" spans="4:8">
      <c r="D143" s="419" t="str">
        <f t="shared" si="3"/>
        <v>Grecia</v>
      </c>
      <c r="E143" s="419" t="s">
        <v>568</v>
      </c>
      <c r="F143" s="419" t="s">
        <v>629</v>
      </c>
      <c r="G143" s="419" t="s">
        <v>630</v>
      </c>
      <c r="H143" s="425" t="s">
        <v>631</v>
      </c>
    </row>
    <row r="144" spans="4:8">
      <c r="D144" s="419" t="str">
        <f t="shared" si="3"/>
        <v>Hungría</v>
      </c>
      <c r="E144" s="419" t="s">
        <v>568</v>
      </c>
      <c r="F144" s="419" t="s">
        <v>632</v>
      </c>
      <c r="G144" s="419" t="s">
        <v>633</v>
      </c>
      <c r="H144" s="425" t="s">
        <v>634</v>
      </c>
    </row>
    <row r="145" spans="4:8">
      <c r="D145" s="419" t="str">
        <f t="shared" si="3"/>
        <v>Inglaterra</v>
      </c>
      <c r="E145" s="419" t="s">
        <v>568</v>
      </c>
      <c r="F145" s="419" t="s">
        <v>635</v>
      </c>
      <c r="G145" s="419" t="s">
        <v>636</v>
      </c>
      <c r="H145" s="425" t="s">
        <v>637</v>
      </c>
    </row>
    <row r="146" spans="4:8">
      <c r="D146" s="419" t="str">
        <f t="shared" si="3"/>
        <v>Irlanda</v>
      </c>
      <c r="E146" s="419" t="s">
        <v>568</v>
      </c>
      <c r="F146" s="419" t="s">
        <v>638</v>
      </c>
      <c r="G146" s="419" t="s">
        <v>639</v>
      </c>
      <c r="H146" s="425" t="s">
        <v>640</v>
      </c>
    </row>
    <row r="147" spans="4:8">
      <c r="D147" s="419" t="str">
        <f t="shared" si="3"/>
        <v>Irlanda del Norte</v>
      </c>
      <c r="E147" s="419" t="s">
        <v>568</v>
      </c>
      <c r="F147" s="419" t="s">
        <v>641</v>
      </c>
      <c r="G147" s="419" t="s">
        <v>642</v>
      </c>
      <c r="H147" s="425" t="s">
        <v>643</v>
      </c>
    </row>
    <row r="148" spans="4:8">
      <c r="D148" s="419" t="str">
        <f t="shared" si="3"/>
        <v>Islandia</v>
      </c>
      <c r="E148" s="419" t="s">
        <v>568</v>
      </c>
      <c r="F148" s="419" t="s">
        <v>644</v>
      </c>
      <c r="G148" s="419" t="s">
        <v>645</v>
      </c>
      <c r="H148" s="425" t="s">
        <v>646</v>
      </c>
    </row>
    <row r="149" spans="4:8">
      <c r="D149" s="419" t="str">
        <f t="shared" si="3"/>
        <v>Islas Feroe</v>
      </c>
      <c r="E149" s="419" t="s">
        <v>568</v>
      </c>
      <c r="F149" s="419" t="s">
        <v>647</v>
      </c>
      <c r="G149" s="419" t="s">
        <v>648</v>
      </c>
      <c r="H149" s="425" t="s">
        <v>649</v>
      </c>
    </row>
    <row r="150" spans="4:8">
      <c r="D150" s="419" t="str">
        <f t="shared" si="3"/>
        <v>Israel</v>
      </c>
      <c r="E150" s="419" t="s">
        <v>568</v>
      </c>
      <c r="F150" s="419" t="s">
        <v>650</v>
      </c>
      <c r="G150" s="419" t="s">
        <v>651</v>
      </c>
      <c r="H150" s="425" t="s">
        <v>651</v>
      </c>
    </row>
    <row r="151" spans="4:8">
      <c r="D151" s="419" t="str">
        <f t="shared" si="3"/>
        <v>Italia</v>
      </c>
      <c r="E151" s="419" t="s">
        <v>568</v>
      </c>
      <c r="F151" s="419" t="s">
        <v>652</v>
      </c>
      <c r="G151" s="419" t="s">
        <v>653</v>
      </c>
      <c r="H151" s="425" t="s">
        <v>654</v>
      </c>
    </row>
    <row r="152" spans="4:8">
      <c r="D152" s="419" t="str">
        <f t="shared" si="3"/>
        <v>Kazajistán</v>
      </c>
      <c r="E152" s="419" t="s">
        <v>568</v>
      </c>
      <c r="F152" s="419" t="s">
        <v>655</v>
      </c>
      <c r="G152" s="419" t="s">
        <v>656</v>
      </c>
      <c r="H152" s="425" t="s">
        <v>657</v>
      </c>
    </row>
    <row r="153" spans="4:8">
      <c r="D153" s="419" t="str">
        <f t="shared" si="3"/>
        <v>Kosovo</v>
      </c>
      <c r="E153" s="419" t="s">
        <v>568</v>
      </c>
      <c r="F153" s="419" t="s">
        <v>658</v>
      </c>
      <c r="G153" s="419" t="s">
        <v>659</v>
      </c>
      <c r="H153" s="425" t="s">
        <v>659</v>
      </c>
    </row>
    <row r="154" spans="4:8">
      <c r="D154" s="419" t="str">
        <f t="shared" si="3"/>
        <v>Letonia</v>
      </c>
      <c r="E154" s="419" t="s">
        <v>568</v>
      </c>
      <c r="F154" s="419" t="s">
        <v>660</v>
      </c>
      <c r="G154" s="419" t="s">
        <v>661</v>
      </c>
      <c r="H154" s="425" t="s">
        <v>662</v>
      </c>
    </row>
    <row r="155" spans="4:8">
      <c r="D155" s="419" t="str">
        <f t="shared" si="3"/>
        <v>Liechtenstein</v>
      </c>
      <c r="E155" s="419" t="s">
        <v>568</v>
      </c>
      <c r="F155" s="419" t="s">
        <v>663</v>
      </c>
      <c r="G155" s="419" t="s">
        <v>664</v>
      </c>
      <c r="H155" s="425" t="s">
        <v>664</v>
      </c>
    </row>
    <row r="156" spans="4:8">
      <c r="D156" s="419" t="str">
        <f t="shared" si="3"/>
        <v>Lituania</v>
      </c>
      <c r="E156" s="419" t="s">
        <v>568</v>
      </c>
      <c r="F156" s="419" t="s">
        <v>665</v>
      </c>
      <c r="G156" s="419" t="s">
        <v>666</v>
      </c>
      <c r="H156" s="425" t="s">
        <v>667</v>
      </c>
    </row>
    <row r="157" spans="4:8">
      <c r="D157" s="419" t="str">
        <f t="shared" si="3"/>
        <v>Luxemburgo</v>
      </c>
      <c r="E157" s="419" t="s">
        <v>568</v>
      </c>
      <c r="F157" s="419" t="s">
        <v>668</v>
      </c>
      <c r="G157" s="419" t="s">
        <v>669</v>
      </c>
      <c r="H157" s="425" t="s">
        <v>670</v>
      </c>
    </row>
    <row r="158" spans="4:8">
      <c r="D158" s="419" t="str">
        <f t="shared" si="3"/>
        <v>Macedonia del Norte</v>
      </c>
      <c r="E158" s="419" t="s">
        <v>568</v>
      </c>
      <c r="F158" s="419" t="s">
        <v>671</v>
      </c>
      <c r="G158" s="419" t="s">
        <v>672</v>
      </c>
      <c r="H158" s="425" t="s">
        <v>673</v>
      </c>
    </row>
    <row r="159" spans="4:8">
      <c r="D159" s="419" t="str">
        <f t="shared" si="3"/>
        <v>Malta</v>
      </c>
      <c r="E159" s="419" t="s">
        <v>568</v>
      </c>
      <c r="F159" s="419" t="s">
        <v>674</v>
      </c>
      <c r="G159" s="419" t="s">
        <v>675</v>
      </c>
      <c r="H159" s="425" t="s">
        <v>675</v>
      </c>
    </row>
    <row r="160" spans="4:8">
      <c r="D160" s="419" t="str">
        <f t="shared" si="3"/>
        <v>Moldavia</v>
      </c>
      <c r="E160" s="419" t="s">
        <v>568</v>
      </c>
      <c r="F160" s="419" t="s">
        <v>676</v>
      </c>
      <c r="G160" s="419" t="s">
        <v>677</v>
      </c>
      <c r="H160" s="425" t="s">
        <v>678</v>
      </c>
    </row>
    <row r="161" spans="3:8">
      <c r="D161" s="419" t="str">
        <f t="shared" si="3"/>
        <v>Montenegro</v>
      </c>
      <c r="E161" s="419" t="s">
        <v>568</v>
      </c>
      <c r="F161" s="419" t="s">
        <v>679</v>
      </c>
      <c r="G161" s="419" t="s">
        <v>680</v>
      </c>
      <c r="H161" s="425" t="s">
        <v>680</v>
      </c>
    </row>
    <row r="162" spans="3:8">
      <c r="D162" s="419" t="str">
        <f t="shared" si="3"/>
        <v>Noruega</v>
      </c>
      <c r="E162" s="419" t="s">
        <v>568</v>
      </c>
      <c r="F162" s="419" t="s">
        <v>681</v>
      </c>
      <c r="G162" s="419" t="s">
        <v>682</v>
      </c>
      <c r="H162" s="425" t="s">
        <v>683</v>
      </c>
    </row>
    <row r="163" spans="3:8">
      <c r="D163" s="419" t="str">
        <f t="shared" si="3"/>
        <v>Países Bajos</v>
      </c>
      <c r="E163" s="419" t="s">
        <v>568</v>
      </c>
      <c r="F163" s="419" t="s">
        <v>684</v>
      </c>
      <c r="G163" s="419" t="s">
        <v>685</v>
      </c>
      <c r="H163" s="425" t="s">
        <v>686</v>
      </c>
    </row>
    <row r="164" spans="3:8">
      <c r="D164" s="419" t="str">
        <f t="shared" si="3"/>
        <v>Polonia</v>
      </c>
      <c r="E164" s="419" t="s">
        <v>568</v>
      </c>
      <c r="F164" s="419" t="s">
        <v>687</v>
      </c>
      <c r="G164" s="419" t="s">
        <v>688</v>
      </c>
      <c r="H164" s="425" t="s">
        <v>689</v>
      </c>
    </row>
    <row r="165" spans="3:8">
      <c r="D165" s="419" t="str">
        <f t="shared" si="3"/>
        <v>Portugal</v>
      </c>
      <c r="E165" s="419" t="s">
        <v>568</v>
      </c>
      <c r="F165" s="419" t="s">
        <v>690</v>
      </c>
      <c r="G165" s="419" t="s">
        <v>691</v>
      </c>
      <c r="H165" s="425" t="s">
        <v>691</v>
      </c>
    </row>
    <row r="166" spans="3:8">
      <c r="D166" s="419" t="str">
        <f t="shared" si="3"/>
        <v>República Checa</v>
      </c>
      <c r="E166" s="419" t="s">
        <v>568</v>
      </c>
      <c r="F166" s="419" t="s">
        <v>692</v>
      </c>
      <c r="G166" s="419" t="s">
        <v>693</v>
      </c>
      <c r="H166" s="425" t="s">
        <v>694</v>
      </c>
    </row>
    <row r="167" spans="3:8">
      <c r="D167" s="419" t="str">
        <f t="shared" si="3"/>
        <v>Rumanía</v>
      </c>
      <c r="E167" s="419" t="s">
        <v>568</v>
      </c>
      <c r="F167" s="419" t="s">
        <v>695</v>
      </c>
      <c r="G167" s="419" t="s">
        <v>696</v>
      </c>
      <c r="H167" s="425" t="s">
        <v>697</v>
      </c>
    </row>
    <row r="168" spans="3:8">
      <c r="D168" s="419" t="str">
        <f t="shared" si="3"/>
        <v>Rusia</v>
      </c>
      <c r="E168" s="419" t="s">
        <v>568</v>
      </c>
      <c r="F168" s="419" t="s">
        <v>698</v>
      </c>
      <c r="G168" s="419" t="s">
        <v>699</v>
      </c>
      <c r="H168" s="425" t="s">
        <v>700</v>
      </c>
    </row>
    <row r="169" spans="3:8">
      <c r="D169" s="419" t="str">
        <f t="shared" si="3"/>
        <v>San Marino</v>
      </c>
      <c r="E169" s="419" t="s">
        <v>568</v>
      </c>
      <c r="F169" s="419" t="s">
        <v>701</v>
      </c>
      <c r="G169" s="419" t="s">
        <v>702</v>
      </c>
      <c r="H169" s="425" t="s">
        <v>702</v>
      </c>
    </row>
    <row r="170" spans="3:8">
      <c r="D170" s="419" t="str">
        <f t="shared" si="3"/>
        <v>Serbia</v>
      </c>
      <c r="E170" s="419" t="s">
        <v>568</v>
      </c>
      <c r="F170" s="419" t="s">
        <v>703</v>
      </c>
      <c r="G170" s="419" t="s">
        <v>704</v>
      </c>
      <c r="H170" s="425" t="s">
        <v>704</v>
      </c>
    </row>
    <row r="171" spans="3:8">
      <c r="D171" s="419" t="str">
        <f t="shared" si="3"/>
        <v>Suecia</v>
      </c>
      <c r="E171" s="419" t="s">
        <v>568</v>
      </c>
      <c r="F171" s="419" t="s">
        <v>705</v>
      </c>
      <c r="G171" s="419" t="s">
        <v>706</v>
      </c>
      <c r="H171" s="425" t="s">
        <v>707</v>
      </c>
    </row>
    <row r="172" spans="3:8">
      <c r="D172" s="419" t="str">
        <f t="shared" si="3"/>
        <v>Suiza</v>
      </c>
      <c r="E172" s="419" t="s">
        <v>568</v>
      </c>
      <c r="F172" s="419" t="s">
        <v>708</v>
      </c>
      <c r="G172" s="419" t="s">
        <v>709</v>
      </c>
      <c r="H172" s="425" t="s">
        <v>710</v>
      </c>
    </row>
    <row r="173" spans="3:8">
      <c r="D173" s="419" t="str">
        <f t="shared" si="3"/>
        <v>Turquía</v>
      </c>
      <c r="E173" s="419" t="s">
        <v>568</v>
      </c>
      <c r="F173" s="419" t="s">
        <v>711</v>
      </c>
      <c r="G173" s="419" t="s">
        <v>712</v>
      </c>
      <c r="H173" s="425" t="s">
        <v>713</v>
      </c>
    </row>
    <row r="174" spans="3:8" ht="15.95" thickBot="1">
      <c r="D174" s="427" t="str">
        <f t="shared" si="3"/>
        <v>Ucrania</v>
      </c>
      <c r="E174" s="419" t="s">
        <v>568</v>
      </c>
      <c r="F174" s="428" t="s">
        <v>714</v>
      </c>
      <c r="G174" s="428" t="s">
        <v>715</v>
      </c>
      <c r="H174" s="438" t="s">
        <v>716</v>
      </c>
    </row>
    <row r="175" spans="3:8">
      <c r="C175" s="419" t="s">
        <v>717</v>
      </c>
      <c r="D175" s="424" t="str">
        <f t="shared" si="3"/>
        <v>Octavos de final</v>
      </c>
      <c r="E175" s="419" t="s">
        <v>718</v>
      </c>
      <c r="F175" s="419" t="s">
        <v>719</v>
      </c>
      <c r="G175" s="419" t="s">
        <v>363</v>
      </c>
      <c r="H175" s="425" t="s">
        <v>720</v>
      </c>
    </row>
    <row r="176" spans="3:8">
      <c r="C176" s="419" t="s">
        <v>717</v>
      </c>
      <c r="D176" s="424" t="str">
        <f t="shared" si="3"/>
        <v>Cuartos de final</v>
      </c>
      <c r="E176" s="419" t="s">
        <v>718</v>
      </c>
      <c r="F176" s="419" t="s">
        <v>721</v>
      </c>
      <c r="G176" s="419" t="s">
        <v>366</v>
      </c>
      <c r="H176" s="425" t="s">
        <v>367</v>
      </c>
    </row>
    <row r="177" spans="1:8">
      <c r="C177" s="419" t="s">
        <v>717</v>
      </c>
      <c r="D177" s="424" t="str">
        <f t="shared" si="3"/>
        <v>Semifinales</v>
      </c>
      <c r="E177" s="419" t="s">
        <v>718</v>
      </c>
      <c r="F177" s="419" t="s">
        <v>722</v>
      </c>
      <c r="G177" s="419" t="s">
        <v>369</v>
      </c>
      <c r="H177" s="425" t="s">
        <v>370</v>
      </c>
    </row>
    <row r="178" spans="1:8" ht="15.95" thickBot="1">
      <c r="C178" s="419" t="s">
        <v>717</v>
      </c>
      <c r="D178" s="427" t="str">
        <f t="shared" si="3"/>
        <v>Final</v>
      </c>
      <c r="E178" s="428" t="s">
        <v>718</v>
      </c>
      <c r="F178" s="428" t="s">
        <v>723</v>
      </c>
      <c r="G178" s="428" t="s">
        <v>372</v>
      </c>
      <c r="H178" s="438" t="s">
        <v>372</v>
      </c>
    </row>
    <row r="179" spans="1:8" ht="15.95" thickBot="1"/>
    <row r="180" spans="1:8" ht="15.95" thickBot="1">
      <c r="A180" s="426" t="s">
        <v>724</v>
      </c>
      <c r="D180" s="442" t="str">
        <f>IF($B$2,G180,H180)</f>
        <v>Alemania</v>
      </c>
      <c r="E180" s="443" t="s">
        <v>568</v>
      </c>
      <c r="F180" s="443" t="s">
        <v>725</v>
      </c>
      <c r="G180" s="443" t="s">
        <v>571</v>
      </c>
      <c r="H180" s="444" t="s">
        <v>572</v>
      </c>
    </row>
    <row r="183" spans="1:8" ht="15.95" thickBot="1"/>
    <row r="184" spans="1:8">
      <c r="D184" s="421" t="str">
        <f t="shared" ref="D184:D260" si="4">IF($B$2,G184,H184)</f>
        <v>Selecciona el Nº de Jugadores</v>
      </c>
      <c r="E184" s="422" t="s">
        <v>11</v>
      </c>
      <c r="F184" s="422" t="s">
        <v>96</v>
      </c>
      <c r="G184" s="422" t="s">
        <v>726</v>
      </c>
      <c r="H184" s="423" t="s">
        <v>727</v>
      </c>
    </row>
    <row r="185" spans="1:8">
      <c r="D185" s="424" t="str">
        <f t="shared" si="4"/>
        <v>↓↓ Resultados reales ↓↓</v>
      </c>
      <c r="E185" s="419" t="s">
        <v>11</v>
      </c>
      <c r="F185" s="419" t="s">
        <v>338</v>
      </c>
      <c r="G185" s="419" t="s">
        <v>728</v>
      </c>
      <c r="H185" s="425" t="s">
        <v>729</v>
      </c>
    </row>
    <row r="186" spans="1:8">
      <c r="D186" s="424" t="str">
        <f t="shared" si="4"/>
        <v>Regla*</v>
      </c>
      <c r="E186" s="419" t="s">
        <v>11</v>
      </c>
      <c r="F186" s="419" t="s">
        <v>730</v>
      </c>
      <c r="G186" s="419" t="s">
        <v>731</v>
      </c>
      <c r="H186" s="425" t="s">
        <v>732</v>
      </c>
    </row>
    <row r="187" spans="1:8">
      <c r="D187" s="424" t="str">
        <f t="shared" si="4"/>
        <v>Puntos</v>
      </c>
      <c r="E187" s="419" t="s">
        <v>11</v>
      </c>
      <c r="F187" s="419" t="s">
        <v>733</v>
      </c>
      <c r="G187" s="419" t="s">
        <v>40</v>
      </c>
      <c r="H187" s="425" t="s">
        <v>734</v>
      </c>
    </row>
    <row r="188" spans="1:8">
      <c r="D188" s="424" t="str">
        <f t="shared" si="4"/>
        <v>FASE DE LIGA - Signo 1X2* (local, empate, visitante)</v>
      </c>
      <c r="E188" s="419" t="s">
        <v>11</v>
      </c>
      <c r="F188" s="419" t="s">
        <v>735</v>
      </c>
      <c r="G188" s="419" t="s">
        <v>736</v>
      </c>
      <c r="H188" s="425" t="s">
        <v>737</v>
      </c>
    </row>
    <row r="189" spans="1:8">
      <c r="D189" s="424" t="str">
        <f t="shared" si="4"/>
        <v>FASE DE LIGA -Diferencia de goles</v>
      </c>
      <c r="E189" s="419" t="s">
        <v>11</v>
      </c>
      <c r="F189" s="419" t="s">
        <v>738</v>
      </c>
      <c r="G189" s="419" t="s">
        <v>739</v>
      </c>
      <c r="H189" s="425" t="s">
        <v>740</v>
      </c>
    </row>
    <row r="190" spans="1:8">
      <c r="D190" s="424" t="str">
        <f t="shared" si="4"/>
        <v>FASE DE LIGA - Resultado exacto</v>
      </c>
      <c r="E190" s="419" t="s">
        <v>11</v>
      </c>
      <c r="F190" s="419" t="s">
        <v>741</v>
      </c>
      <c r="G190" s="419" t="s">
        <v>742</v>
      </c>
      <c r="H190" s="425" t="s">
        <v>743</v>
      </c>
    </row>
    <row r="191" spans="1:8">
      <c r="D191" s="424" t="str">
        <f t="shared" si="4"/>
        <v>FASE DE LIGA - Posición exacta</v>
      </c>
      <c r="E191" s="419" t="s">
        <v>11</v>
      </c>
      <c r="F191" s="419" t="s">
        <v>744</v>
      </c>
      <c r="G191" s="419" t="s">
        <v>745</v>
      </c>
      <c r="H191" s="425" t="s">
        <v>746</v>
      </c>
    </row>
    <row r="192" spans="1:8">
      <c r="D192" s="424" t="str">
        <f t="shared" ref="D192" si="5">IF($B$2,G192,H192)</f>
        <v>Equipo clasificado para PLAYOFFS</v>
      </c>
      <c r="E192" s="419" t="s">
        <v>11</v>
      </c>
      <c r="F192" s="419" t="s">
        <v>747</v>
      </c>
      <c r="G192" s="419" t="s">
        <v>748</v>
      </c>
      <c r="H192" s="425" t="s">
        <v>749</v>
      </c>
    </row>
    <row r="193" spans="4:8">
      <c r="D193" s="424" t="str">
        <f t="shared" ref="D193:D194" si="6">IF($B$2,G193,H193)</f>
        <v>Equipo clasificado para OCTAVOS (Desde Fase de Liga)</v>
      </c>
      <c r="E193" s="419" t="s">
        <v>11</v>
      </c>
      <c r="F193" s="419" t="s">
        <v>747</v>
      </c>
      <c r="G193" s="419" t="s">
        <v>750</v>
      </c>
      <c r="H193" s="425" t="s">
        <v>751</v>
      </c>
    </row>
    <row r="194" spans="4:8">
      <c r="D194" s="424" t="str">
        <f t="shared" si="6"/>
        <v>Equipo clasificado para OCTAVOS (Desde Playoffs)</v>
      </c>
      <c r="E194" s="419" t="s">
        <v>11</v>
      </c>
      <c r="F194" s="419" t="s">
        <v>747</v>
      </c>
      <c r="G194" s="419" t="s">
        <v>752</v>
      </c>
      <c r="H194" s="425" t="s">
        <v>753</v>
      </c>
    </row>
    <row r="195" spans="4:8">
      <c r="D195" s="424" t="str">
        <f t="shared" si="4"/>
        <v>Equipo clasificado para OCTAVOS</v>
      </c>
      <c r="E195" s="419" t="s">
        <v>11</v>
      </c>
      <c r="F195" s="419" t="s">
        <v>747</v>
      </c>
      <c r="G195" s="419" t="s">
        <v>754</v>
      </c>
      <c r="H195" s="425" t="s">
        <v>755</v>
      </c>
    </row>
    <row r="196" spans="4:8">
      <c r="D196" s="424" t="str">
        <f t="shared" ref="D196:D198" si="7">IF($B$2,G196,H196)</f>
        <v>PLAYOFFS - Signo 1X2  (local, empate, visitante)</v>
      </c>
      <c r="E196" s="419" t="s">
        <v>11</v>
      </c>
      <c r="F196" s="419" t="s">
        <v>756</v>
      </c>
      <c r="G196" s="419" t="s">
        <v>757</v>
      </c>
      <c r="H196" s="425" t="s">
        <v>758</v>
      </c>
    </row>
    <row r="197" spans="4:8">
      <c r="D197" s="424" t="str">
        <f t="shared" si="7"/>
        <v>PLAYOFFS -Diferencia de goles</v>
      </c>
      <c r="E197" s="419" t="s">
        <v>11</v>
      </c>
      <c r="F197" s="419" t="s">
        <v>759</v>
      </c>
      <c r="G197" s="419" t="s">
        <v>760</v>
      </c>
      <c r="H197" s="425" t="s">
        <v>761</v>
      </c>
    </row>
    <row r="198" spans="4:8">
      <c r="D198" s="424" t="str">
        <f t="shared" si="7"/>
        <v>PLAYOFFS - Resultado exacto</v>
      </c>
      <c r="E198" s="419" t="s">
        <v>11</v>
      </c>
      <c r="F198" s="419" t="s">
        <v>762</v>
      </c>
      <c r="G198" s="419" t="s">
        <v>763</v>
      </c>
      <c r="H198" s="425" t="s">
        <v>764</v>
      </c>
    </row>
    <row r="199" spans="4:8">
      <c r="D199" s="424" t="str">
        <f t="shared" si="4"/>
        <v>OCTAVOS - Signo 1X2  (local, empate, visitante)</v>
      </c>
      <c r="E199" s="419" t="s">
        <v>11</v>
      </c>
      <c r="F199" s="419" t="s">
        <v>756</v>
      </c>
      <c r="G199" s="419" t="s">
        <v>765</v>
      </c>
      <c r="H199" s="425" t="s">
        <v>766</v>
      </c>
    </row>
    <row r="200" spans="4:8">
      <c r="D200" s="424" t="str">
        <f t="shared" si="4"/>
        <v>OCTAVOS -Diferencia de goles</v>
      </c>
      <c r="E200" s="419" t="s">
        <v>11</v>
      </c>
      <c r="F200" s="419" t="s">
        <v>759</v>
      </c>
      <c r="G200" s="419" t="s">
        <v>767</v>
      </c>
      <c r="H200" s="425" t="s">
        <v>768</v>
      </c>
    </row>
    <row r="201" spans="4:8">
      <c r="D201" s="424" t="str">
        <f t="shared" si="4"/>
        <v>OCTAVOS - Resultado exacto</v>
      </c>
      <c r="E201" s="419" t="s">
        <v>11</v>
      </c>
      <c r="F201" s="419" t="s">
        <v>762</v>
      </c>
      <c r="G201" s="419" t="s">
        <v>769</v>
      </c>
      <c r="H201" s="425" t="s">
        <v>770</v>
      </c>
    </row>
    <row r="202" spans="4:8">
      <c r="D202" s="424" t="str">
        <f t="shared" si="4"/>
        <v>Equipo clasificado para CUARTOS</v>
      </c>
      <c r="E202" s="419" t="s">
        <v>11</v>
      </c>
      <c r="F202" s="419" t="s">
        <v>771</v>
      </c>
      <c r="G202" s="419" t="s">
        <v>772</v>
      </c>
      <c r="H202" s="425" t="s">
        <v>773</v>
      </c>
    </row>
    <row r="203" spans="4:8">
      <c r="D203" s="424" t="str">
        <f t="shared" si="4"/>
        <v>CUARTOS - Signo 1X2  (local, empate, visitante)</v>
      </c>
      <c r="E203" s="419" t="s">
        <v>11</v>
      </c>
      <c r="F203" s="419" t="s">
        <v>774</v>
      </c>
      <c r="G203" s="419" t="s">
        <v>775</v>
      </c>
      <c r="H203" s="425" t="s">
        <v>776</v>
      </c>
    </row>
    <row r="204" spans="4:8">
      <c r="D204" s="424" t="str">
        <f t="shared" si="4"/>
        <v>CUARTOS -Diferencia de goles</v>
      </c>
      <c r="E204" s="419" t="s">
        <v>11</v>
      </c>
      <c r="F204" s="419" t="s">
        <v>777</v>
      </c>
      <c r="G204" s="419" t="s">
        <v>778</v>
      </c>
      <c r="H204" s="425" t="s">
        <v>779</v>
      </c>
    </row>
    <row r="205" spans="4:8">
      <c r="D205" s="424" t="str">
        <f t="shared" si="4"/>
        <v>CUARTOS - Resultado exacto</v>
      </c>
      <c r="E205" s="419" t="s">
        <v>11</v>
      </c>
      <c r="F205" s="419" t="s">
        <v>780</v>
      </c>
      <c r="G205" s="419" t="s">
        <v>781</v>
      </c>
      <c r="H205" s="425" t="s">
        <v>782</v>
      </c>
    </row>
    <row r="206" spans="4:8">
      <c r="D206" s="424" t="str">
        <f t="shared" si="4"/>
        <v>Equipo clasificado para SEMIFINALES</v>
      </c>
      <c r="E206" s="419" t="s">
        <v>11</v>
      </c>
      <c r="F206" s="419" t="s">
        <v>783</v>
      </c>
      <c r="G206" s="419" t="s">
        <v>784</v>
      </c>
      <c r="H206" s="425" t="s">
        <v>785</v>
      </c>
    </row>
    <row r="207" spans="4:8">
      <c r="D207" s="424" t="str">
        <f t="shared" si="4"/>
        <v>SEMIFINALES - Signo 1X2  (local, empate, visitante)</v>
      </c>
      <c r="E207" s="419" t="s">
        <v>11</v>
      </c>
      <c r="F207" s="419" t="s">
        <v>786</v>
      </c>
      <c r="G207" s="419" t="s">
        <v>787</v>
      </c>
      <c r="H207" s="425" t="s">
        <v>788</v>
      </c>
    </row>
    <row r="208" spans="4:8">
      <c r="D208" s="424" t="str">
        <f t="shared" si="4"/>
        <v>SEMIFINALES -Diferencia de goles</v>
      </c>
      <c r="E208" s="419" t="s">
        <v>11</v>
      </c>
      <c r="F208" s="419" t="s">
        <v>789</v>
      </c>
      <c r="G208" s="419" t="s">
        <v>790</v>
      </c>
      <c r="H208" s="425" t="s">
        <v>791</v>
      </c>
    </row>
    <row r="209" spans="3:11">
      <c r="D209" s="424" t="str">
        <f t="shared" si="4"/>
        <v>SEMIFINALES - Resultado exacto</v>
      </c>
      <c r="E209" s="419" t="s">
        <v>11</v>
      </c>
      <c r="F209" s="419" t="s">
        <v>792</v>
      </c>
      <c r="G209" s="419" t="s">
        <v>793</v>
      </c>
      <c r="H209" s="425" t="s">
        <v>794</v>
      </c>
    </row>
    <row r="210" spans="3:11">
      <c r="D210" s="424" t="str">
        <f t="shared" si="4"/>
        <v>Equipo clasificado para LA FINAL</v>
      </c>
      <c r="E210" s="419" t="s">
        <v>11</v>
      </c>
      <c r="F210" s="419" t="s">
        <v>795</v>
      </c>
      <c r="G210" s="419" t="s">
        <v>796</v>
      </c>
      <c r="H210" s="425" t="s">
        <v>797</v>
      </c>
    </row>
    <row r="211" spans="3:11">
      <c r="D211" s="424" t="str">
        <f t="shared" si="4"/>
        <v>FINAL - Signo 1X2  (local, empate, visitante)</v>
      </c>
      <c r="E211" s="419" t="s">
        <v>11</v>
      </c>
      <c r="F211" s="419" t="s">
        <v>798</v>
      </c>
      <c r="G211" s="419" t="s">
        <v>799</v>
      </c>
      <c r="H211" s="425" t="s">
        <v>800</v>
      </c>
    </row>
    <row r="212" spans="3:11">
      <c r="D212" s="424" t="str">
        <f t="shared" si="4"/>
        <v>FINAL - Diferencia de goles</v>
      </c>
      <c r="E212" s="419" t="s">
        <v>11</v>
      </c>
      <c r="F212" s="419" t="s">
        <v>801</v>
      </c>
      <c r="G212" s="419" t="s">
        <v>802</v>
      </c>
      <c r="H212" s="425" t="s">
        <v>803</v>
      </c>
    </row>
    <row r="213" spans="3:11">
      <c r="D213" s="424" t="str">
        <f t="shared" si="4"/>
        <v>FINAL - Resultado exacto</v>
      </c>
      <c r="E213" s="419" t="s">
        <v>11</v>
      </c>
      <c r="F213" s="419" t="s">
        <v>804</v>
      </c>
      <c r="G213" s="419" t="s">
        <v>805</v>
      </c>
      <c r="H213" s="425" t="s">
        <v>806</v>
      </c>
    </row>
    <row r="214" spans="3:11">
      <c r="D214" s="424" t="str">
        <f t="shared" si="4"/>
        <v>Campeón</v>
      </c>
      <c r="E214" s="419" t="s">
        <v>11</v>
      </c>
      <c r="F214" s="419" t="s">
        <v>807</v>
      </c>
      <c r="G214" s="419" t="s">
        <v>377</v>
      </c>
      <c r="H214" s="425" t="s">
        <v>21</v>
      </c>
    </row>
    <row r="215" spans="3:11">
      <c r="D215" s="424" t="str">
        <f t="shared" si="4"/>
        <v>Subcampeón</v>
      </c>
      <c r="E215" s="419" t="s">
        <v>11</v>
      </c>
      <c r="F215" s="419" t="s">
        <v>808</v>
      </c>
      <c r="G215" s="419" t="s">
        <v>379</v>
      </c>
      <c r="H215" s="425" t="s">
        <v>380</v>
      </c>
    </row>
    <row r="216" spans="3:11">
      <c r="D216" s="424" t="str">
        <f t="shared" si="4"/>
        <v>Goleador del torneo</v>
      </c>
      <c r="E216" s="419" t="s">
        <v>11</v>
      </c>
      <c r="F216" s="419" t="s">
        <v>809</v>
      </c>
      <c r="G216" s="419" t="s">
        <v>382</v>
      </c>
      <c r="H216" s="425" t="s">
        <v>810</v>
      </c>
    </row>
    <row r="217" spans="3:11">
      <c r="D217" s="424" t="str">
        <f t="shared" si="4"/>
        <v>Mejor jugador del torneo</v>
      </c>
      <c r="E217" s="419" t="s">
        <v>11</v>
      </c>
      <c r="F217" s="419" t="s">
        <v>811</v>
      </c>
      <c r="G217" s="419" t="s">
        <v>385</v>
      </c>
      <c r="H217" s="425" t="s">
        <v>812</v>
      </c>
    </row>
    <row r="218" spans="3:11">
      <c r="D218" s="424" t="str">
        <f t="shared" si="4"/>
        <v>Fase de grupos</v>
      </c>
      <c r="E218" s="419" t="s">
        <v>11</v>
      </c>
      <c r="F218" s="419" t="s">
        <v>813</v>
      </c>
      <c r="G218" s="419" t="s">
        <v>814</v>
      </c>
      <c r="H218" s="425" t="s">
        <v>815</v>
      </c>
    </row>
    <row r="219" spans="3:11">
      <c r="D219" s="424" t="str">
        <f t="shared" si="4"/>
        <v>Posición grupos</v>
      </c>
      <c r="E219" s="419" t="s">
        <v>11</v>
      </c>
      <c r="F219" s="419" t="s">
        <v>816</v>
      </c>
      <c r="G219" s="419" t="s">
        <v>817</v>
      </c>
      <c r="H219" s="425" t="s">
        <v>818</v>
      </c>
    </row>
    <row r="220" spans="3:11">
      <c r="D220" s="424" t="str">
        <f t="shared" si="4"/>
        <v>CLASIFICADOS PARA PLAYOFFS</v>
      </c>
      <c r="G220" s="419" t="s">
        <v>819</v>
      </c>
      <c r="H220" s="425" t="s">
        <v>820</v>
      </c>
    </row>
    <row r="221" spans="3:11">
      <c r="D221" s="424" t="str">
        <f t="shared" si="4"/>
        <v>CLASIFICADOS PARA OCTAVOS (Desde Fase Liga)</v>
      </c>
      <c r="G221" s="419" t="s">
        <v>821</v>
      </c>
      <c r="H221" s="419" t="s">
        <v>822</v>
      </c>
      <c r="K221" s="419" t="s">
        <v>822</v>
      </c>
    </row>
    <row r="222" spans="3:11">
      <c r="D222" s="424" t="str">
        <f t="shared" si="4"/>
        <v>CLASIFICADOS PARA OCTAVOS (DESDE PLAYOFFS)</v>
      </c>
      <c r="G222" s="419" t="s">
        <v>823</v>
      </c>
      <c r="H222" s="419" t="s">
        <v>824</v>
      </c>
      <c r="K222" s="419" t="s">
        <v>824</v>
      </c>
    </row>
    <row r="223" spans="3:11">
      <c r="D223" s="424" t="str">
        <f t="shared" si="4"/>
        <v>Clasificados para Octavos de Final</v>
      </c>
      <c r="E223" s="419" t="s">
        <v>11</v>
      </c>
      <c r="F223" s="419" t="s">
        <v>825</v>
      </c>
      <c r="G223" s="419" t="s">
        <v>826</v>
      </c>
      <c r="H223" s="425" t="s">
        <v>827</v>
      </c>
    </row>
    <row r="224" spans="3:11">
      <c r="C224" s="419" t="s">
        <v>828</v>
      </c>
      <c r="D224" s="424" t="str">
        <f t="shared" si="4"/>
        <v>Enfrentamientos Octavos de Final</v>
      </c>
      <c r="E224" s="419" t="s">
        <v>718</v>
      </c>
      <c r="F224" s="419" t="s">
        <v>829</v>
      </c>
      <c r="G224" s="419" t="s">
        <v>830</v>
      </c>
      <c r="H224" s="425" t="s">
        <v>720</v>
      </c>
    </row>
    <row r="225" spans="3:8">
      <c r="D225" s="424" t="str">
        <f t="shared" ref="D225" si="8">IF($B$2,G225,H225)</f>
        <v>Clasificados para Cuartos de Final</v>
      </c>
      <c r="E225" s="419" t="s">
        <v>11</v>
      </c>
      <c r="F225" s="419" t="s">
        <v>831</v>
      </c>
      <c r="G225" s="419" t="s">
        <v>832</v>
      </c>
      <c r="H225" s="425" t="s">
        <v>833</v>
      </c>
    </row>
    <row r="226" spans="3:8">
      <c r="D226" s="424" t="str">
        <f t="shared" si="4"/>
        <v>Clasificados para Cuartos de Final</v>
      </c>
      <c r="E226" s="419" t="s">
        <v>11</v>
      </c>
      <c r="F226" s="419" t="s">
        <v>834</v>
      </c>
      <c r="G226" s="419" t="s">
        <v>832</v>
      </c>
      <c r="H226" s="425" t="s">
        <v>835</v>
      </c>
    </row>
    <row r="227" spans="3:8">
      <c r="C227" s="419" t="s">
        <v>836</v>
      </c>
      <c r="D227" s="424" t="str">
        <f t="shared" si="4"/>
        <v>Enfrentamientos Cuartos de Final</v>
      </c>
      <c r="E227" s="419" t="s">
        <v>718</v>
      </c>
      <c r="F227" s="419" t="s">
        <v>837</v>
      </c>
      <c r="G227" s="419" t="s">
        <v>838</v>
      </c>
      <c r="H227" s="425" t="s">
        <v>367</v>
      </c>
    </row>
    <row r="228" spans="3:8">
      <c r="D228" s="424" t="str">
        <f t="shared" si="4"/>
        <v>Clasificados para Semifinales</v>
      </c>
      <c r="E228" s="419" t="s">
        <v>11</v>
      </c>
      <c r="F228" s="419" t="s">
        <v>831</v>
      </c>
      <c r="G228" s="419" t="s">
        <v>839</v>
      </c>
      <c r="H228" s="425" t="s">
        <v>840</v>
      </c>
    </row>
    <row r="229" spans="3:8">
      <c r="C229" s="419" t="s">
        <v>841</v>
      </c>
      <c r="D229" s="424" t="str">
        <f t="shared" si="4"/>
        <v>Enfrentamientos Semifinales</v>
      </c>
      <c r="E229" s="419" t="s">
        <v>718</v>
      </c>
      <c r="F229" s="419" t="s">
        <v>842</v>
      </c>
      <c r="G229" s="419" t="s">
        <v>843</v>
      </c>
      <c r="H229" s="425" t="s">
        <v>370</v>
      </c>
    </row>
    <row r="230" spans="3:8">
      <c r="D230" s="424" t="str">
        <f t="shared" si="4"/>
        <v>Clasificados para la Final</v>
      </c>
      <c r="E230" s="419" t="s">
        <v>11</v>
      </c>
      <c r="F230" s="419" t="s">
        <v>844</v>
      </c>
      <c r="G230" s="419" t="s">
        <v>845</v>
      </c>
      <c r="H230" s="425" t="s">
        <v>846</v>
      </c>
    </row>
    <row r="231" spans="3:8">
      <c r="C231" s="419" t="s">
        <v>847</v>
      </c>
      <c r="D231" s="424" t="str">
        <f t="shared" si="4"/>
        <v>Partido Final</v>
      </c>
      <c r="E231" s="419" t="s">
        <v>718</v>
      </c>
      <c r="F231" s="419" t="s">
        <v>848</v>
      </c>
      <c r="G231" s="419" t="s">
        <v>849</v>
      </c>
      <c r="H231" s="425" t="s">
        <v>372</v>
      </c>
    </row>
    <row r="232" spans="3:8">
      <c r="D232" s="424" t="str">
        <f t="shared" si="4"/>
        <v>Cuadro de honor</v>
      </c>
      <c r="E232" s="419" t="s">
        <v>11</v>
      </c>
      <c r="F232" s="419" t="s">
        <v>850</v>
      </c>
      <c r="G232" s="419" t="s">
        <v>851</v>
      </c>
      <c r="H232" s="425" t="s">
        <v>852</v>
      </c>
    </row>
    <row r="233" spans="3:8">
      <c r="D233" s="424" t="str">
        <f t="shared" si="4"/>
        <v>Campeón</v>
      </c>
      <c r="E233" s="419" t="s">
        <v>11</v>
      </c>
      <c r="F233" s="419" t="s">
        <v>853</v>
      </c>
      <c r="G233" s="419" t="s">
        <v>377</v>
      </c>
      <c r="H233" s="425" t="s">
        <v>21</v>
      </c>
    </row>
    <row r="234" spans="3:8">
      <c r="D234" s="424" t="str">
        <f t="shared" si="4"/>
        <v>Subcampeón</v>
      </c>
      <c r="E234" s="419" t="s">
        <v>11</v>
      </c>
      <c r="F234" s="419" t="s">
        <v>854</v>
      </c>
      <c r="G234" s="419" t="s">
        <v>379</v>
      </c>
      <c r="H234" s="425" t="s">
        <v>380</v>
      </c>
    </row>
    <row r="235" spans="3:8">
      <c r="D235" s="424" t="str">
        <f t="shared" si="4"/>
        <v>Goleador del torneo</v>
      </c>
      <c r="E235" s="419" t="s">
        <v>11</v>
      </c>
      <c r="F235" s="419" t="s">
        <v>855</v>
      </c>
      <c r="G235" s="419" t="s">
        <v>382</v>
      </c>
      <c r="H235" s="425" t="s">
        <v>383</v>
      </c>
    </row>
    <row r="236" spans="3:8">
      <c r="D236" s="424" t="str">
        <f t="shared" si="4"/>
        <v>Mejor jugador del torneo</v>
      </c>
      <c r="E236" s="419" t="s">
        <v>11</v>
      </c>
      <c r="F236" s="419" t="s">
        <v>856</v>
      </c>
      <c r="G236" s="419" t="s">
        <v>385</v>
      </c>
      <c r="H236" s="425" t="s">
        <v>386</v>
      </c>
    </row>
    <row r="237" spans="3:8">
      <c r="D237" s="424" t="str">
        <f t="shared" si="4"/>
        <v>Nombre J</v>
      </c>
      <c r="E237" s="419" t="s">
        <v>11</v>
      </c>
      <c r="F237" s="419" t="s">
        <v>528</v>
      </c>
      <c r="G237" s="419" t="s">
        <v>857</v>
      </c>
      <c r="H237" s="425" t="s">
        <v>858</v>
      </c>
    </row>
    <row r="238" spans="3:8">
      <c r="D238" s="424" t="str">
        <f t="shared" si="4"/>
        <v>Pegar Valores (J1)</v>
      </c>
      <c r="E238" s="419" t="s">
        <v>11</v>
      </c>
      <c r="G238" s="445" t="s">
        <v>859</v>
      </c>
      <c r="H238" s="425" t="s">
        <v>860</v>
      </c>
    </row>
    <row r="239" spans="3:8">
      <c r="D239" s="424" t="str">
        <f t="shared" si="4"/>
        <v>Pegar Valores (J2)</v>
      </c>
      <c r="E239" s="419" t="s">
        <v>11</v>
      </c>
      <c r="G239" s="446" t="s">
        <v>861</v>
      </c>
      <c r="H239" s="425" t="s">
        <v>862</v>
      </c>
    </row>
    <row r="240" spans="3:8">
      <c r="D240" s="424" t="str">
        <f t="shared" si="4"/>
        <v>Pegar Valores (J3)</v>
      </c>
      <c r="E240" s="419" t="s">
        <v>11</v>
      </c>
      <c r="G240" s="446" t="s">
        <v>863</v>
      </c>
      <c r="H240" s="425" t="s">
        <v>864</v>
      </c>
    </row>
    <row r="241" spans="4:8">
      <c r="D241" s="424" t="str">
        <f t="shared" ref="D241:D245" si="9">IF($B$2,G241,H241)</f>
        <v>Pegar Valores (J4)</v>
      </c>
      <c r="E241" s="419" t="s">
        <v>11</v>
      </c>
      <c r="G241" s="445" t="s">
        <v>865</v>
      </c>
      <c r="H241" s="425" t="s">
        <v>866</v>
      </c>
    </row>
    <row r="242" spans="4:8">
      <c r="D242" s="424" t="str">
        <f t="shared" si="9"/>
        <v>Pegar Valores (J5)</v>
      </c>
      <c r="E242" s="419" t="s">
        <v>11</v>
      </c>
      <c r="G242" s="446" t="s">
        <v>867</v>
      </c>
      <c r="H242" s="425" t="s">
        <v>868</v>
      </c>
    </row>
    <row r="243" spans="4:8">
      <c r="D243" s="424" t="str">
        <f t="shared" si="9"/>
        <v>Pegar Valores (J6)</v>
      </c>
      <c r="E243" s="419" t="s">
        <v>11</v>
      </c>
      <c r="G243" s="446" t="s">
        <v>869</v>
      </c>
      <c r="H243" s="425" t="s">
        <v>870</v>
      </c>
    </row>
    <row r="244" spans="4:8">
      <c r="D244" s="424" t="str">
        <f t="shared" si="9"/>
        <v>Pegar Valores (J7)</v>
      </c>
      <c r="E244" s="419" t="s">
        <v>11</v>
      </c>
      <c r="G244" s="445" t="s">
        <v>871</v>
      </c>
      <c r="H244" s="425" t="s">
        <v>872</v>
      </c>
    </row>
    <row r="245" spans="4:8">
      <c r="D245" s="424" t="str">
        <f t="shared" si="9"/>
        <v>Pegar Valores (J8)</v>
      </c>
      <c r="E245" s="419" t="s">
        <v>11</v>
      </c>
      <c r="G245" s="446" t="s">
        <v>873</v>
      </c>
      <c r="H245" s="425" t="s">
        <v>874</v>
      </c>
    </row>
    <row r="246" spans="4:8">
      <c r="D246" s="424" t="str">
        <f t="shared" ref="D246" si="10">IF($B$2,G246,H246)</f>
        <v>Pegar Valores Playoffs</v>
      </c>
      <c r="E246" s="419" t="s">
        <v>11</v>
      </c>
      <c r="G246" s="419" t="s">
        <v>875</v>
      </c>
      <c r="H246" s="425" t="s">
        <v>876</v>
      </c>
    </row>
    <row r="247" spans="4:8">
      <c r="D247" s="424" t="str">
        <f t="shared" si="4"/>
        <v>Pegar Valores Octavos</v>
      </c>
      <c r="E247" s="419" t="s">
        <v>11</v>
      </c>
      <c r="G247" s="419" t="s">
        <v>877</v>
      </c>
      <c r="H247" s="425" t="s">
        <v>878</v>
      </c>
    </row>
    <row r="248" spans="4:8">
      <c r="D248" s="424" t="str">
        <f t="shared" si="4"/>
        <v>Pegar valores Cuartos</v>
      </c>
      <c r="E248" s="419" t="s">
        <v>11</v>
      </c>
      <c r="G248" s="419" t="s">
        <v>879</v>
      </c>
      <c r="H248" s="425" t="s">
        <v>880</v>
      </c>
    </row>
    <row r="249" spans="4:8">
      <c r="D249" s="424" t="str">
        <f t="shared" si="4"/>
        <v>Pegar valores Semifinales</v>
      </c>
      <c r="E249" s="419" t="s">
        <v>11</v>
      </c>
      <c r="G249" s="447" t="s">
        <v>881</v>
      </c>
      <c r="H249" s="448" t="s">
        <v>882</v>
      </c>
    </row>
    <row r="250" spans="4:8">
      <c r="D250" s="424" t="str">
        <f t="shared" si="4"/>
        <v>Pegar valores Final</v>
      </c>
      <c r="E250" s="419" t="s">
        <v>11</v>
      </c>
      <c r="G250" s="447" t="s">
        <v>883</v>
      </c>
      <c r="H250" s="448" t="s">
        <v>884</v>
      </c>
    </row>
    <row r="251" spans="4:8">
      <c r="D251" s="424" t="str">
        <f t="shared" si="4"/>
        <v>Pegar valores Predictor</v>
      </c>
      <c r="E251" s="419" t="s">
        <v>11</v>
      </c>
      <c r="G251" s="419" t="s">
        <v>885</v>
      </c>
      <c r="H251" s="425" t="s">
        <v>886</v>
      </c>
    </row>
    <row r="252" spans="4:8">
      <c r="D252" s="424" t="str">
        <f t="shared" si="4"/>
        <v>1º GRUPO A</v>
      </c>
      <c r="E252" s="419" t="s">
        <v>11</v>
      </c>
      <c r="F252" s="419" t="s">
        <v>887</v>
      </c>
      <c r="G252" s="419" t="s">
        <v>888</v>
      </c>
      <c r="H252" s="425" t="s">
        <v>889</v>
      </c>
    </row>
    <row r="253" spans="4:8">
      <c r="D253" s="424" t="str">
        <f t="shared" si="4"/>
        <v>2º GRUPO A</v>
      </c>
      <c r="E253" s="419" t="s">
        <v>11</v>
      </c>
      <c r="F253" s="419" t="s">
        <v>890</v>
      </c>
      <c r="G253" s="419" t="s">
        <v>891</v>
      </c>
      <c r="H253" s="425" t="s">
        <v>892</v>
      </c>
    </row>
    <row r="254" spans="4:8">
      <c r="D254" s="424" t="str">
        <f t="shared" si="4"/>
        <v>3º GRUPO A</v>
      </c>
      <c r="E254" s="419" t="s">
        <v>11</v>
      </c>
      <c r="F254" s="419" t="s">
        <v>893</v>
      </c>
      <c r="G254" s="419" t="s">
        <v>894</v>
      </c>
      <c r="H254" s="425" t="s">
        <v>895</v>
      </c>
    </row>
    <row r="255" spans="4:8">
      <c r="D255" s="424" t="str">
        <f t="shared" si="4"/>
        <v>4º GRUPO A</v>
      </c>
      <c r="E255" s="419" t="s">
        <v>11</v>
      </c>
      <c r="F255" s="419" t="s">
        <v>896</v>
      </c>
      <c r="G255" s="419" t="s">
        <v>897</v>
      </c>
      <c r="H255" s="425" t="s">
        <v>898</v>
      </c>
    </row>
    <row r="256" spans="4:8">
      <c r="D256" s="424" t="str">
        <f t="shared" si="4"/>
        <v>1º GRUPO B</v>
      </c>
      <c r="E256" s="419" t="s">
        <v>11</v>
      </c>
      <c r="F256" s="419" t="s">
        <v>899</v>
      </c>
      <c r="G256" s="419" t="s">
        <v>900</v>
      </c>
      <c r="H256" s="425" t="s">
        <v>901</v>
      </c>
    </row>
    <row r="257" spans="4:8">
      <c r="D257" s="424" t="str">
        <f t="shared" si="4"/>
        <v>2º GRUPO B</v>
      </c>
      <c r="E257" s="419" t="s">
        <v>11</v>
      </c>
      <c r="F257" s="419" t="s">
        <v>902</v>
      </c>
      <c r="G257" s="419" t="s">
        <v>903</v>
      </c>
      <c r="H257" s="425" t="s">
        <v>904</v>
      </c>
    </row>
    <row r="258" spans="4:8">
      <c r="D258" s="424" t="str">
        <f t="shared" si="4"/>
        <v>3º GRUPO B</v>
      </c>
      <c r="E258" s="419" t="s">
        <v>11</v>
      </c>
      <c r="F258" s="419" t="s">
        <v>905</v>
      </c>
      <c r="G258" s="419" t="s">
        <v>906</v>
      </c>
      <c r="H258" s="425" t="s">
        <v>907</v>
      </c>
    </row>
    <row r="259" spans="4:8">
      <c r="D259" s="424" t="str">
        <f t="shared" si="4"/>
        <v>4º GRUPO B</v>
      </c>
      <c r="E259" s="419" t="s">
        <v>11</v>
      </c>
      <c r="F259" s="419" t="s">
        <v>908</v>
      </c>
      <c r="G259" s="419" t="s">
        <v>909</v>
      </c>
      <c r="H259" s="425" t="s">
        <v>910</v>
      </c>
    </row>
    <row r="260" spans="4:8">
      <c r="D260" s="424" t="str">
        <f t="shared" si="4"/>
        <v>1º GRUPO C</v>
      </c>
      <c r="E260" s="419" t="s">
        <v>11</v>
      </c>
      <c r="F260" s="419" t="s">
        <v>911</v>
      </c>
      <c r="G260" s="419" t="s">
        <v>912</v>
      </c>
      <c r="H260" s="425" t="s">
        <v>913</v>
      </c>
    </row>
    <row r="261" spans="4:8">
      <c r="D261" s="424" t="str">
        <f t="shared" ref="D261:D284" si="11">IF($B$2,G261,H261)</f>
        <v>2º GRUPO C</v>
      </c>
      <c r="E261" s="419" t="s">
        <v>11</v>
      </c>
      <c r="F261" s="419" t="s">
        <v>914</v>
      </c>
      <c r="G261" s="419" t="s">
        <v>915</v>
      </c>
      <c r="H261" s="425" t="s">
        <v>916</v>
      </c>
    </row>
    <row r="262" spans="4:8">
      <c r="D262" s="424" t="str">
        <f t="shared" si="11"/>
        <v>3º GRUPO C</v>
      </c>
      <c r="E262" s="419" t="s">
        <v>11</v>
      </c>
      <c r="F262" s="419" t="s">
        <v>917</v>
      </c>
      <c r="G262" s="419" t="s">
        <v>918</v>
      </c>
      <c r="H262" s="425" t="s">
        <v>919</v>
      </c>
    </row>
    <row r="263" spans="4:8">
      <c r="D263" s="424" t="str">
        <f t="shared" si="11"/>
        <v>4º GRUPO C</v>
      </c>
      <c r="E263" s="419" t="s">
        <v>11</v>
      </c>
      <c r="F263" s="419" t="s">
        <v>920</v>
      </c>
      <c r="G263" s="419" t="s">
        <v>921</v>
      </c>
      <c r="H263" s="425" t="s">
        <v>922</v>
      </c>
    </row>
    <row r="264" spans="4:8">
      <c r="D264" s="424" t="str">
        <f t="shared" si="11"/>
        <v>1º GRUPO D</v>
      </c>
      <c r="E264" s="419" t="s">
        <v>11</v>
      </c>
      <c r="F264" s="419" t="s">
        <v>923</v>
      </c>
      <c r="G264" s="419" t="s">
        <v>924</v>
      </c>
      <c r="H264" s="425" t="s">
        <v>925</v>
      </c>
    </row>
    <row r="265" spans="4:8">
      <c r="D265" s="424" t="str">
        <f t="shared" si="11"/>
        <v>2º GRUPO D</v>
      </c>
      <c r="E265" s="419" t="s">
        <v>11</v>
      </c>
      <c r="F265" s="419" t="s">
        <v>926</v>
      </c>
      <c r="G265" s="419" t="s">
        <v>927</v>
      </c>
      <c r="H265" s="425" t="s">
        <v>928</v>
      </c>
    </row>
    <row r="266" spans="4:8">
      <c r="D266" s="424" t="str">
        <f t="shared" si="11"/>
        <v>3º GRUPO D</v>
      </c>
      <c r="E266" s="419" t="s">
        <v>11</v>
      </c>
      <c r="F266" s="419" t="s">
        <v>929</v>
      </c>
      <c r="G266" s="419" t="s">
        <v>930</v>
      </c>
      <c r="H266" s="425" t="s">
        <v>931</v>
      </c>
    </row>
    <row r="267" spans="4:8">
      <c r="D267" s="424" t="str">
        <f t="shared" si="11"/>
        <v>4º GRUPO D</v>
      </c>
      <c r="E267" s="419" t="s">
        <v>11</v>
      </c>
      <c r="F267" s="419" t="s">
        <v>932</v>
      </c>
      <c r="G267" s="419" t="s">
        <v>933</v>
      </c>
      <c r="H267" s="425" t="s">
        <v>934</v>
      </c>
    </row>
    <row r="268" spans="4:8">
      <c r="D268" s="424" t="str">
        <f t="shared" si="11"/>
        <v>1º GRUPO E</v>
      </c>
      <c r="E268" s="419" t="s">
        <v>11</v>
      </c>
      <c r="F268" s="419" t="s">
        <v>935</v>
      </c>
      <c r="G268" s="419" t="s">
        <v>936</v>
      </c>
      <c r="H268" s="425" t="s">
        <v>937</v>
      </c>
    </row>
    <row r="269" spans="4:8">
      <c r="D269" s="424" t="str">
        <f t="shared" si="11"/>
        <v>2º GRUPO E</v>
      </c>
      <c r="E269" s="419" t="s">
        <v>11</v>
      </c>
      <c r="F269" s="419" t="s">
        <v>938</v>
      </c>
      <c r="G269" s="419" t="s">
        <v>939</v>
      </c>
      <c r="H269" s="425" t="s">
        <v>940</v>
      </c>
    </row>
    <row r="270" spans="4:8">
      <c r="D270" s="424" t="str">
        <f t="shared" si="11"/>
        <v>3º GRUPO E</v>
      </c>
      <c r="E270" s="419" t="s">
        <v>11</v>
      </c>
      <c r="F270" s="419" t="s">
        <v>941</v>
      </c>
      <c r="G270" s="419" t="s">
        <v>942</v>
      </c>
      <c r="H270" s="425" t="s">
        <v>943</v>
      </c>
    </row>
    <row r="271" spans="4:8">
      <c r="D271" s="424" t="str">
        <f t="shared" si="11"/>
        <v>4º GRUPO E</v>
      </c>
      <c r="E271" s="419" t="s">
        <v>11</v>
      </c>
      <c r="F271" s="419" t="s">
        <v>944</v>
      </c>
      <c r="G271" s="419" t="s">
        <v>945</v>
      </c>
      <c r="H271" s="425" t="s">
        <v>946</v>
      </c>
    </row>
    <row r="272" spans="4:8">
      <c r="D272" s="424" t="str">
        <f t="shared" si="11"/>
        <v>1º GRUPO F</v>
      </c>
      <c r="E272" s="419" t="s">
        <v>11</v>
      </c>
      <c r="F272" s="419" t="s">
        <v>947</v>
      </c>
      <c r="G272" s="419" t="s">
        <v>948</v>
      </c>
      <c r="H272" s="425" t="s">
        <v>949</v>
      </c>
    </row>
    <row r="273" spans="1:8">
      <c r="D273" s="424" t="str">
        <f t="shared" si="11"/>
        <v>2º GRUPO F</v>
      </c>
      <c r="E273" s="419" t="s">
        <v>11</v>
      </c>
      <c r="F273" s="419" t="s">
        <v>950</v>
      </c>
      <c r="G273" s="419" t="s">
        <v>951</v>
      </c>
      <c r="H273" s="425" t="s">
        <v>952</v>
      </c>
    </row>
    <row r="274" spans="1:8">
      <c r="D274" s="424" t="str">
        <f t="shared" si="11"/>
        <v>3º GRUPO F</v>
      </c>
      <c r="E274" s="419" t="s">
        <v>11</v>
      </c>
      <c r="F274" s="419" t="s">
        <v>953</v>
      </c>
      <c r="G274" s="419" t="s">
        <v>954</v>
      </c>
      <c r="H274" s="425" t="s">
        <v>955</v>
      </c>
    </row>
    <row r="275" spans="1:8">
      <c r="D275" s="424" t="str">
        <f t="shared" si="11"/>
        <v>4º GRUPO F</v>
      </c>
      <c r="E275" s="419" t="s">
        <v>11</v>
      </c>
      <c r="F275" s="419" t="s">
        <v>956</v>
      </c>
      <c r="G275" s="419" t="s">
        <v>957</v>
      </c>
      <c r="H275" s="425" t="s">
        <v>958</v>
      </c>
    </row>
    <row r="276" spans="1:8">
      <c r="D276" s="424" t="str">
        <f t="shared" si="11"/>
        <v>Octavofinalista</v>
      </c>
      <c r="E276" s="419" t="s">
        <v>11</v>
      </c>
      <c r="F276" s="419" t="s">
        <v>959</v>
      </c>
      <c r="G276" s="419" t="s">
        <v>960</v>
      </c>
      <c r="H276" s="425" t="s">
        <v>961</v>
      </c>
    </row>
    <row r="277" spans="1:8">
      <c r="D277" s="424" t="str">
        <f t="shared" si="11"/>
        <v>Cuartofinalista</v>
      </c>
      <c r="E277" s="419" t="s">
        <v>11</v>
      </c>
      <c r="F277" s="419" t="s">
        <v>962</v>
      </c>
      <c r="G277" s="419" t="s">
        <v>963</v>
      </c>
      <c r="H277" s="425" t="s">
        <v>964</v>
      </c>
    </row>
    <row r="278" spans="1:8">
      <c r="D278" s="424" t="str">
        <f t="shared" si="11"/>
        <v>Semifinalista</v>
      </c>
      <c r="E278" s="419" t="s">
        <v>11</v>
      </c>
      <c r="F278" s="419" t="s">
        <v>965</v>
      </c>
      <c r="G278" s="419" t="s">
        <v>966</v>
      </c>
      <c r="H278" s="425" t="s">
        <v>967</v>
      </c>
    </row>
    <row r="279" spans="1:8" ht="15.95" thickBot="1">
      <c r="D279" s="427" t="str">
        <f t="shared" si="11"/>
        <v>Finalista</v>
      </c>
      <c r="E279" s="428" t="s">
        <v>11</v>
      </c>
      <c r="F279" s="428" t="s">
        <v>968</v>
      </c>
      <c r="G279" s="428" t="s">
        <v>969</v>
      </c>
      <c r="H279" s="438" t="s">
        <v>970</v>
      </c>
    </row>
    <row r="280" spans="1:8">
      <c r="D280" s="424" t="str">
        <f t="shared" si="11"/>
        <v>J1</v>
      </c>
      <c r="E280" s="419" t="s">
        <v>11</v>
      </c>
      <c r="F280" s="419" t="s">
        <v>971</v>
      </c>
      <c r="G280" s="419" t="s">
        <v>524</v>
      </c>
      <c r="H280" s="425" t="s">
        <v>110</v>
      </c>
    </row>
    <row r="281" spans="1:8">
      <c r="D281" s="424" t="str">
        <f t="shared" si="11"/>
        <v>J2</v>
      </c>
      <c r="E281" s="419" t="s">
        <v>11</v>
      </c>
      <c r="F281" s="419" t="s">
        <v>972</v>
      </c>
      <c r="G281" s="419" t="s">
        <v>526</v>
      </c>
      <c r="H281" s="425" t="s">
        <v>111</v>
      </c>
    </row>
    <row r="282" spans="1:8">
      <c r="D282" s="424" t="str">
        <f t="shared" si="11"/>
        <v>J3</v>
      </c>
      <c r="E282" s="419" t="s">
        <v>11</v>
      </c>
      <c r="F282" s="419" t="s">
        <v>973</v>
      </c>
      <c r="G282" s="419" t="s">
        <v>528</v>
      </c>
      <c r="H282" s="425" t="s">
        <v>529</v>
      </c>
    </row>
    <row r="283" spans="1:8">
      <c r="D283" s="424" t="str">
        <f t="shared" si="11"/>
        <v>* Explicación del sistema de puntuación</v>
      </c>
      <c r="E283" s="419" t="s">
        <v>11</v>
      </c>
      <c r="F283" s="419" t="s">
        <v>974</v>
      </c>
      <c r="G283" s="419" t="s">
        <v>975</v>
      </c>
      <c r="H283" s="425" t="s">
        <v>976</v>
      </c>
    </row>
    <row r="284" spans="1:8">
      <c r="A284" s="426" t="s">
        <v>977</v>
      </c>
      <c r="B284" s="426"/>
      <c r="C284" s="426"/>
      <c r="D284" s="424" t="str">
        <f t="shared" si="11"/>
        <v xml:space="preserve">https://matejero.es/puntuaciones-excel-euro-2024/
	</v>
      </c>
      <c r="E284" s="419" t="s">
        <v>11</v>
      </c>
      <c r="F284" s="419" t="s">
        <v>978</v>
      </c>
      <c r="G284" s="419" t="s">
        <v>979</v>
      </c>
      <c r="H284" s="419" t="s">
        <v>980</v>
      </c>
    </row>
    <row r="285" spans="1:8">
      <c r="A285" s="426"/>
      <c r="B285" s="426"/>
      <c r="C285" s="426"/>
      <c r="D285" s="424" t="str">
        <f t="shared" ref="D285:D291" si="12">IF($B$2,G285,H285)</f>
        <v>PREDICTOR - Campeón</v>
      </c>
      <c r="E285" s="419" t="s">
        <v>11</v>
      </c>
      <c r="G285" s="419" t="s">
        <v>981</v>
      </c>
      <c r="H285" s="419" t="s">
        <v>982</v>
      </c>
    </row>
    <row r="286" spans="1:8">
      <c r="A286" s="426"/>
      <c r="B286" s="426"/>
      <c r="C286" s="426"/>
      <c r="D286" s="424" t="str">
        <f t="shared" si="12"/>
        <v>PREDICTOR - Final</v>
      </c>
      <c r="E286" s="419" t="s">
        <v>11</v>
      </c>
      <c r="G286" s="419" t="s">
        <v>983</v>
      </c>
      <c r="H286" s="419" t="s">
        <v>983</v>
      </c>
    </row>
    <row r="287" spans="1:8">
      <c r="A287" s="426"/>
      <c r="B287" s="426"/>
      <c r="C287" s="426"/>
      <c r="D287" s="424" t="str">
        <f t="shared" si="12"/>
        <v>PREDICTOR - Semifinales</v>
      </c>
      <c r="E287" s="419" t="s">
        <v>11</v>
      </c>
      <c r="G287" s="419" t="s">
        <v>984</v>
      </c>
      <c r="H287" s="419" t="s">
        <v>985</v>
      </c>
    </row>
    <row r="288" spans="1:8">
      <c r="D288" s="424" t="str">
        <f t="shared" si="12"/>
        <v>PREDICTOR - Cuartos de final</v>
      </c>
      <c r="E288" s="419" t="s">
        <v>11</v>
      </c>
      <c r="G288" s="419" t="s">
        <v>986</v>
      </c>
      <c r="H288" s="419" t="s">
        <v>987</v>
      </c>
    </row>
    <row r="289" spans="4:14">
      <c r="D289" s="424" t="str">
        <f t="shared" si="12"/>
        <v>PREDICTOR - Octavos de final</v>
      </c>
      <c r="E289" s="419" t="s">
        <v>11</v>
      </c>
      <c r="G289" s="419" t="s">
        <v>988</v>
      </c>
      <c r="H289" s="419" t="s">
        <v>989</v>
      </c>
    </row>
    <row r="290" spans="4:14">
      <c r="D290" s="424" t="str">
        <f t="shared" si="12"/>
        <v>PREDICTOR - Playoffs</v>
      </c>
      <c r="E290" s="419" t="s">
        <v>11</v>
      </c>
      <c r="G290" s="419" t="s">
        <v>990</v>
      </c>
      <c r="H290" s="419" t="s">
        <v>990</v>
      </c>
    </row>
    <row r="291" spans="4:14">
      <c r="D291" s="424" t="str">
        <f t="shared" si="12"/>
        <v>PREDICTOR- Fase de Liga</v>
      </c>
      <c r="E291" s="419" t="s">
        <v>11</v>
      </c>
      <c r="G291" s="419" t="s">
        <v>991</v>
      </c>
      <c r="H291" s="419" t="s">
        <v>992</v>
      </c>
    </row>
    <row r="292" spans="4:14" ht="15.95" thickBot="1"/>
    <row r="293" spans="4:14">
      <c r="D293" s="421" t="str">
        <f t="shared" ref="D293:D311" si="13">IF($B$2,G293,H293)</f>
        <v>CLASIFICACIÓN CHAMPIONS 2025-2026</v>
      </c>
      <c r="E293" s="422" t="s">
        <v>322</v>
      </c>
      <c r="F293" s="422" t="s">
        <v>993</v>
      </c>
      <c r="G293" s="422" t="s">
        <v>994</v>
      </c>
      <c r="H293" s="423" t="s">
        <v>995</v>
      </c>
    </row>
    <row r="294" spans="4:14">
      <c r="D294" s="424" t="str">
        <f t="shared" si="13"/>
        <v>Pos</v>
      </c>
      <c r="E294" s="419" t="s">
        <v>322</v>
      </c>
      <c r="F294" s="419" t="s">
        <v>448</v>
      </c>
      <c r="G294" s="419" t="s">
        <v>418</v>
      </c>
      <c r="H294" s="425" t="s">
        <v>418</v>
      </c>
    </row>
    <row r="295" spans="4:14">
      <c r="D295" s="424" t="str">
        <f t="shared" si="13"/>
        <v>Jugador</v>
      </c>
      <c r="E295" s="419" t="s">
        <v>322</v>
      </c>
      <c r="F295" s="419" t="s">
        <v>96</v>
      </c>
      <c r="G295" s="419" t="s">
        <v>996</v>
      </c>
      <c r="H295" s="425" t="s">
        <v>997</v>
      </c>
    </row>
    <row r="296" spans="4:14">
      <c r="D296" s="424" t="str">
        <f t="shared" si="13"/>
        <v>Puntos Totales</v>
      </c>
      <c r="E296" s="419" t="s">
        <v>322</v>
      </c>
      <c r="F296" s="419" t="s">
        <v>998</v>
      </c>
      <c r="G296" s="419" t="s">
        <v>999</v>
      </c>
      <c r="H296" s="425" t="s">
        <v>1000</v>
      </c>
    </row>
    <row r="297" spans="4:14">
      <c r="D297" s="424" t="str">
        <f t="shared" si="13"/>
        <v>Fase Liga</v>
      </c>
      <c r="E297" s="419" t="s">
        <v>322</v>
      </c>
      <c r="F297" s="419" t="s">
        <v>472</v>
      </c>
      <c r="G297" s="419" t="s">
        <v>1001</v>
      </c>
      <c r="H297" s="425" t="s">
        <v>1002</v>
      </c>
    </row>
    <row r="298" spans="4:14">
      <c r="D298" s="424" t="str">
        <f t="shared" si="13"/>
        <v>Posición Liga</v>
      </c>
      <c r="E298" s="419" t="s">
        <v>322</v>
      </c>
      <c r="F298" s="419" t="s">
        <v>332</v>
      </c>
      <c r="G298" s="419" t="s">
        <v>1003</v>
      </c>
      <c r="H298" s="425" t="s">
        <v>1004</v>
      </c>
      <c r="J298" s="424"/>
      <c r="N298" s="425"/>
    </row>
    <row r="299" spans="4:14">
      <c r="D299" s="424" t="str">
        <f t="shared" si="13"/>
        <v>Equipos 1/8 (L)</v>
      </c>
      <c r="G299" s="419" t="s">
        <v>1005</v>
      </c>
      <c r="H299" s="425" t="s">
        <v>1006</v>
      </c>
      <c r="J299" s="424"/>
      <c r="N299" s="425"/>
    </row>
    <row r="300" spans="4:14">
      <c r="D300" s="424" t="str">
        <f t="shared" si="13"/>
        <v>Equipos PO</v>
      </c>
      <c r="G300" s="419" t="s">
        <v>1007</v>
      </c>
      <c r="H300" s="425" t="s">
        <v>1008</v>
      </c>
    </row>
    <row r="301" spans="4:14">
      <c r="D301" s="424" t="str">
        <f t="shared" si="13"/>
        <v>Partidos PO</v>
      </c>
      <c r="G301" s="419" t="s">
        <v>1009</v>
      </c>
      <c r="H301" s="425" t="s">
        <v>1010</v>
      </c>
    </row>
    <row r="302" spans="4:14">
      <c r="D302" s="424" t="str">
        <f t="shared" si="13"/>
        <v>Equipos 1/8 (PO)</v>
      </c>
      <c r="E302" s="419" t="s">
        <v>322</v>
      </c>
      <c r="F302" s="419" t="s">
        <v>335</v>
      </c>
      <c r="G302" s="419" t="s">
        <v>1011</v>
      </c>
      <c r="H302" s="425" t="s">
        <v>1012</v>
      </c>
    </row>
    <row r="303" spans="4:14">
      <c r="D303" s="424" t="str">
        <f t="shared" si="13"/>
        <v>Partidos 1/8</v>
      </c>
      <c r="E303" s="419" t="s">
        <v>322</v>
      </c>
      <c r="F303" s="419" t="s">
        <v>338</v>
      </c>
      <c r="G303" s="419" t="s">
        <v>1013</v>
      </c>
      <c r="H303" s="425" t="s">
        <v>1014</v>
      </c>
    </row>
    <row r="304" spans="4:14">
      <c r="D304" s="424" t="str">
        <f t="shared" si="13"/>
        <v>Equipos 1/4</v>
      </c>
      <c r="E304" s="419" t="s">
        <v>322</v>
      </c>
      <c r="F304" s="419" t="s">
        <v>341</v>
      </c>
      <c r="G304" s="419" t="s">
        <v>1015</v>
      </c>
      <c r="H304" s="425" t="s">
        <v>1016</v>
      </c>
    </row>
    <row r="305" spans="4:8">
      <c r="D305" s="424" t="str">
        <f t="shared" si="13"/>
        <v>Partidos 1/4</v>
      </c>
      <c r="E305" s="419" t="s">
        <v>322</v>
      </c>
      <c r="F305" s="419" t="s">
        <v>528</v>
      </c>
      <c r="G305" s="419" t="s">
        <v>1017</v>
      </c>
      <c r="H305" s="425" t="s">
        <v>1018</v>
      </c>
    </row>
    <row r="306" spans="4:8">
      <c r="D306" s="424" t="str">
        <f t="shared" si="13"/>
        <v>Equipos 1/2</v>
      </c>
      <c r="E306" s="419" t="s">
        <v>322</v>
      </c>
      <c r="F306" s="419" t="s">
        <v>344</v>
      </c>
      <c r="G306" s="419" t="s">
        <v>1019</v>
      </c>
      <c r="H306" s="425" t="s">
        <v>1020</v>
      </c>
    </row>
    <row r="307" spans="4:8">
      <c r="D307" s="424" t="str">
        <f t="shared" si="13"/>
        <v>Partidos 1/2</v>
      </c>
      <c r="E307" s="419" t="s">
        <v>322</v>
      </c>
      <c r="F307" s="419" t="s">
        <v>1021</v>
      </c>
      <c r="G307" s="419" t="s">
        <v>1022</v>
      </c>
      <c r="H307" s="425" t="s">
        <v>1023</v>
      </c>
    </row>
    <row r="308" spans="4:8">
      <c r="D308" s="424" t="str">
        <f t="shared" si="13"/>
        <v>Equipos Final</v>
      </c>
      <c r="E308" s="419" t="s">
        <v>322</v>
      </c>
      <c r="F308" s="419" t="s">
        <v>1024</v>
      </c>
      <c r="G308" s="419" t="s">
        <v>1025</v>
      </c>
      <c r="H308" s="425" t="s">
        <v>1026</v>
      </c>
    </row>
    <row r="309" spans="4:8">
      <c r="D309" s="424" t="str">
        <f t="shared" si="13"/>
        <v>Partido Final</v>
      </c>
      <c r="E309" s="419" t="s">
        <v>322</v>
      </c>
      <c r="F309" s="419" t="s">
        <v>347</v>
      </c>
      <c r="G309" s="419" t="s">
        <v>849</v>
      </c>
      <c r="H309" s="425" t="s">
        <v>1027</v>
      </c>
    </row>
    <row r="310" spans="4:8" ht="15.95" thickBot="1">
      <c r="D310" s="427" t="str">
        <f t="shared" si="13"/>
        <v>Campeón</v>
      </c>
      <c r="E310" s="428" t="s">
        <v>322</v>
      </c>
      <c r="F310" s="428" t="s">
        <v>88</v>
      </c>
      <c r="G310" s="428" t="s">
        <v>377</v>
      </c>
      <c r="H310" s="438" t="s">
        <v>21</v>
      </c>
    </row>
    <row r="311" spans="4:8">
      <c r="D311" s="419" t="str">
        <f t="shared" si="13"/>
        <v>Predictor</v>
      </c>
      <c r="G311" s="419" t="s">
        <v>1028</v>
      </c>
      <c r="H311" s="419" t="s">
        <v>1028</v>
      </c>
    </row>
    <row r="312" spans="4:8" ht="15.95" thickBot="1"/>
    <row r="313" spans="4:8">
      <c r="D313" s="421" t="str">
        <f>IF($B$2,G313,H313)</f>
        <v>Selecciona día:</v>
      </c>
      <c r="E313" s="422" t="s">
        <v>1029</v>
      </c>
      <c r="F313" s="422" t="s">
        <v>1030</v>
      </c>
      <c r="G313" s="422" t="s">
        <v>1031</v>
      </c>
      <c r="H313" s="423" t="s">
        <v>1032</v>
      </c>
    </row>
    <row r="314" spans="4:8" ht="15.95" thickBot="1">
      <c r="D314" s="427" t="str">
        <f>IF($B$2,G314,H314)</f>
        <v>Nombre</v>
      </c>
      <c r="E314" s="428" t="s">
        <v>1029</v>
      </c>
      <c r="F314" s="428" t="s">
        <v>96</v>
      </c>
      <c r="G314" s="428" t="s">
        <v>466</v>
      </c>
      <c r="H314" s="438" t="s">
        <v>467</v>
      </c>
    </row>
    <row r="315" spans="4:8" ht="15.95" thickBot="1"/>
    <row r="316" spans="4:8">
      <c r="D316" s="421" t="str">
        <f t="shared" ref="D316:D358" si="14">IF($B$2,G316,H316)</f>
        <v>Selecciona día:</v>
      </c>
      <c r="E316" s="422" t="s">
        <v>1033</v>
      </c>
      <c r="F316" s="422" t="s">
        <v>1034</v>
      </c>
      <c r="G316" s="422" t="s">
        <v>1031</v>
      </c>
      <c r="H316" s="423" t="s">
        <v>1032</v>
      </c>
    </row>
    <row r="317" spans="4:8">
      <c r="D317" s="424" t="str">
        <f t="shared" si="14"/>
        <v>Pos</v>
      </c>
      <c r="E317" s="419" t="s">
        <v>1033</v>
      </c>
      <c r="F317" s="419" t="s">
        <v>472</v>
      </c>
      <c r="G317" s="419" t="s">
        <v>418</v>
      </c>
      <c r="H317" s="425" t="s">
        <v>418</v>
      </c>
    </row>
    <row r="318" spans="4:8">
      <c r="D318" s="424" t="str">
        <f t="shared" si="14"/>
        <v>Nombre</v>
      </c>
      <c r="E318" s="419" t="s">
        <v>1033</v>
      </c>
      <c r="F318" s="419" t="s">
        <v>332</v>
      </c>
      <c r="G318" s="419" t="s">
        <v>466</v>
      </c>
      <c r="H318" s="425" t="s">
        <v>467</v>
      </c>
    </row>
    <row r="319" spans="4:8" ht="15.95" thickBot="1">
      <c r="D319" s="427" t="str">
        <f t="shared" si="14"/>
        <v>Puntos Día / Eliminatoria</v>
      </c>
      <c r="E319" s="428" t="s">
        <v>1033</v>
      </c>
      <c r="F319" s="428" t="s">
        <v>335</v>
      </c>
      <c r="G319" s="428" t="s">
        <v>1035</v>
      </c>
      <c r="H319" s="438" t="s">
        <v>1036</v>
      </c>
    </row>
    <row r="321" spans="3:9">
      <c r="D321" s="424" t="str">
        <f t="shared" si="14"/>
        <v>NombreEquipo</v>
      </c>
      <c r="E321" s="419" t="s">
        <v>1037</v>
      </c>
      <c r="G321" s="419" t="s">
        <v>1038</v>
      </c>
      <c r="H321" s="419" t="s">
        <v>1039</v>
      </c>
    </row>
    <row r="322" spans="3:9">
      <c r="D322" s="449" t="str">
        <f t="shared" si="14"/>
        <v>Escudo</v>
      </c>
      <c r="E322" s="450" t="s">
        <v>1037</v>
      </c>
      <c r="F322" s="450"/>
      <c r="G322" s="450" t="s">
        <v>1040</v>
      </c>
      <c r="H322" s="450" t="s">
        <v>16</v>
      </c>
    </row>
    <row r="323" spans="3:9" ht="15.95">
      <c r="C323" s="419">
        <v>1</v>
      </c>
      <c r="D323" s="424" t="str">
        <f t="shared" si="14"/>
        <v>Ajax</v>
      </c>
      <c r="E323" s="419" t="s">
        <v>1037</v>
      </c>
      <c r="G323" s="9" t="s">
        <v>38</v>
      </c>
      <c r="H323" s="9" t="s">
        <v>38</v>
      </c>
      <c r="I323" s="301"/>
    </row>
    <row r="324" spans="3:9" ht="15.95">
      <c r="C324" s="419">
        <v>2</v>
      </c>
      <c r="D324" s="424" t="str">
        <f t="shared" si="14"/>
        <v>Arsenal</v>
      </c>
      <c r="E324" s="419" t="s">
        <v>1037</v>
      </c>
      <c r="G324" s="9" t="s">
        <v>23</v>
      </c>
      <c r="H324" s="9" t="s">
        <v>23</v>
      </c>
      <c r="I324" s="301"/>
    </row>
    <row r="325" spans="3:9" ht="15.95">
      <c r="C325" s="419">
        <v>3</v>
      </c>
      <c r="D325" s="424" t="str">
        <f t="shared" si="14"/>
        <v>Atalanta</v>
      </c>
      <c r="E325" s="419" t="s">
        <v>1037</v>
      </c>
      <c r="G325" s="9" t="s">
        <v>46</v>
      </c>
      <c r="H325" s="9" t="s">
        <v>46</v>
      </c>
      <c r="I325" s="301"/>
    </row>
    <row r="326" spans="3:9" ht="15.95">
      <c r="C326" s="419">
        <v>4</v>
      </c>
      <c r="D326" s="424" t="str">
        <f t="shared" si="14"/>
        <v>Athletic Bilbao</v>
      </c>
      <c r="E326" s="419" t="s">
        <v>1037</v>
      </c>
      <c r="G326" s="9" t="s">
        <v>22</v>
      </c>
      <c r="H326" s="9" t="s">
        <v>22</v>
      </c>
      <c r="I326" s="301"/>
    </row>
    <row r="327" spans="3:9" ht="15.95">
      <c r="C327" s="419">
        <v>5</v>
      </c>
      <c r="D327" s="424" t="str">
        <f t="shared" si="14"/>
        <v>Atlético Madrid</v>
      </c>
      <c r="E327" s="419" t="s">
        <v>1037</v>
      </c>
      <c r="G327" s="9" t="s">
        <v>44</v>
      </c>
      <c r="H327" s="9" t="s">
        <v>44</v>
      </c>
      <c r="I327" s="301"/>
    </row>
    <row r="328" spans="3:9" ht="15.95">
      <c r="C328" s="419">
        <v>6</v>
      </c>
      <c r="D328" s="424" t="str">
        <f t="shared" si="14"/>
        <v>Barcelona</v>
      </c>
      <c r="E328" s="419" t="s">
        <v>1037</v>
      </c>
      <c r="G328" s="9" t="s">
        <v>56</v>
      </c>
      <c r="H328" s="9" t="s">
        <v>56</v>
      </c>
      <c r="I328" s="301"/>
    </row>
    <row r="329" spans="3:9" ht="15.95">
      <c r="C329" s="419">
        <v>7</v>
      </c>
      <c r="D329" s="424" t="str">
        <f t="shared" si="14"/>
        <v>Bayer Leverkusen</v>
      </c>
      <c r="E329" s="419" t="s">
        <v>1037</v>
      </c>
      <c r="G329" s="9" t="s">
        <v>50</v>
      </c>
      <c r="H329" s="9" t="s">
        <v>50</v>
      </c>
      <c r="I329" s="301"/>
    </row>
    <row r="330" spans="3:9" ht="15.95">
      <c r="C330" s="419">
        <v>8</v>
      </c>
      <c r="D330" s="424" t="str">
        <f t="shared" si="14"/>
        <v>Bayern München</v>
      </c>
      <c r="E330" s="419" t="s">
        <v>1037</v>
      </c>
      <c r="G330" s="9" t="s">
        <v>41</v>
      </c>
      <c r="H330" s="9" t="s">
        <v>41</v>
      </c>
      <c r="I330" s="301"/>
    </row>
    <row r="331" spans="3:9" ht="15.95">
      <c r="C331" s="419">
        <v>9</v>
      </c>
      <c r="D331" s="424" t="str">
        <f t="shared" si="14"/>
        <v>Benfica</v>
      </c>
      <c r="E331" s="419" t="s">
        <v>1037</v>
      </c>
      <c r="G331" s="9" t="s">
        <v>30</v>
      </c>
      <c r="H331" s="9" t="s">
        <v>30</v>
      </c>
      <c r="I331" s="301"/>
    </row>
    <row r="332" spans="3:9" ht="15.95">
      <c r="C332" s="419">
        <v>10</v>
      </c>
      <c r="D332" s="424" t="str">
        <f t="shared" si="14"/>
        <v>Bodø/Glimt</v>
      </c>
      <c r="E332" s="419" t="s">
        <v>1037</v>
      </c>
      <c r="G332" s="9" t="s">
        <v>37</v>
      </c>
      <c r="H332" s="9" t="s">
        <v>37</v>
      </c>
      <c r="I332" s="301"/>
    </row>
    <row r="333" spans="3:9" ht="15.95">
      <c r="C333" s="419">
        <v>11</v>
      </c>
      <c r="D333" s="424" t="str">
        <f t="shared" si="14"/>
        <v>Borussia Dortmund</v>
      </c>
      <c r="E333" s="419" t="s">
        <v>1037</v>
      </c>
      <c r="G333" s="9" t="s">
        <v>27</v>
      </c>
      <c r="H333" s="9" t="s">
        <v>27</v>
      </c>
      <c r="I333" s="301"/>
    </row>
    <row r="334" spans="3:9" ht="15.95">
      <c r="C334" s="419">
        <v>12</v>
      </c>
      <c r="D334" s="424" t="str">
        <f t="shared" si="14"/>
        <v>Brugge</v>
      </c>
      <c r="E334" s="419" t="s">
        <v>1037</v>
      </c>
      <c r="G334" s="9" t="s">
        <v>47</v>
      </c>
      <c r="H334" s="9" t="s">
        <v>47</v>
      </c>
      <c r="I334" s="301"/>
    </row>
    <row r="335" spans="3:9" ht="15.95">
      <c r="C335" s="419">
        <v>13</v>
      </c>
      <c r="D335" s="424" t="str">
        <f t="shared" si="14"/>
        <v>Chelsea</v>
      </c>
      <c r="E335" s="419" t="s">
        <v>1037</v>
      </c>
      <c r="G335" s="9" t="s">
        <v>42</v>
      </c>
      <c r="H335" s="9" t="s">
        <v>42</v>
      </c>
      <c r="I335" s="301"/>
    </row>
    <row r="336" spans="3:9" ht="15.95">
      <c r="C336" s="419">
        <v>14</v>
      </c>
      <c r="D336" s="424" t="str">
        <f t="shared" si="14"/>
        <v>Copenhagen</v>
      </c>
      <c r="E336" s="419" t="s">
        <v>1037</v>
      </c>
      <c r="G336" s="9" t="s">
        <v>49</v>
      </c>
      <c r="H336" s="9" t="s">
        <v>49</v>
      </c>
      <c r="I336" s="301"/>
    </row>
    <row r="337" spans="3:9" ht="15.95">
      <c r="C337" s="419">
        <v>15</v>
      </c>
      <c r="D337" s="424" t="str">
        <f t="shared" si="14"/>
        <v>Eintracht Frankfurt</v>
      </c>
      <c r="E337" s="419" t="s">
        <v>1037</v>
      </c>
      <c r="G337" s="9" t="s">
        <v>51</v>
      </c>
      <c r="H337" s="9" t="s">
        <v>51</v>
      </c>
      <c r="I337" s="301"/>
    </row>
    <row r="338" spans="3:9" ht="15.95">
      <c r="C338" s="419">
        <v>16</v>
      </c>
      <c r="D338" s="424" t="str">
        <f t="shared" si="14"/>
        <v>Galatasaray</v>
      </c>
      <c r="E338" s="419" t="s">
        <v>1037</v>
      </c>
      <c r="G338" s="9" t="s">
        <v>52</v>
      </c>
      <c r="H338" s="9" t="s">
        <v>52</v>
      </c>
      <c r="I338" s="301"/>
    </row>
    <row r="339" spans="3:9" ht="15.95">
      <c r="C339" s="419">
        <v>17</v>
      </c>
      <c r="D339" s="424" t="str">
        <f t="shared" si="14"/>
        <v>Inter Milan</v>
      </c>
      <c r="E339" s="419" t="s">
        <v>1037</v>
      </c>
      <c r="G339" s="9" t="s">
        <v>39</v>
      </c>
      <c r="H339" s="9" t="s">
        <v>39</v>
      </c>
      <c r="I339" s="301"/>
    </row>
    <row r="340" spans="3:9" ht="15.95">
      <c r="C340" s="419">
        <v>18</v>
      </c>
      <c r="D340" s="424" t="str">
        <f t="shared" si="14"/>
        <v>Juventus</v>
      </c>
      <c r="E340" s="419" t="s">
        <v>1037</v>
      </c>
      <c r="G340" s="9" t="s">
        <v>26</v>
      </c>
      <c r="H340" s="9" t="s">
        <v>26</v>
      </c>
      <c r="I340" s="301"/>
    </row>
    <row r="341" spans="3:9" ht="20.100000000000001">
      <c r="C341" s="419">
        <v>19</v>
      </c>
      <c r="D341" s="424" t="str">
        <f t="shared" si="14"/>
        <v>Kairat Almaty </v>
      </c>
      <c r="E341" s="419" t="s">
        <v>1037</v>
      </c>
      <c r="G341" s="9" t="s">
        <v>1041</v>
      </c>
      <c r="H341" s="9" t="s">
        <v>1041</v>
      </c>
      <c r="I341" s="301"/>
    </row>
    <row r="342" spans="3:9" ht="15.95">
      <c r="C342" s="419">
        <v>20</v>
      </c>
      <c r="D342" s="424" t="str">
        <f t="shared" si="14"/>
        <v>Liverpool</v>
      </c>
      <c r="E342" s="419" t="s">
        <v>1037</v>
      </c>
      <c r="G342" s="9" t="s">
        <v>43</v>
      </c>
      <c r="H342" s="9" t="s">
        <v>43</v>
      </c>
      <c r="I342" s="301"/>
    </row>
    <row r="343" spans="3:9" ht="15.95">
      <c r="C343" s="419">
        <v>21</v>
      </c>
      <c r="D343" s="424" t="str">
        <f t="shared" si="14"/>
        <v>Manchester City</v>
      </c>
      <c r="E343" s="419" t="s">
        <v>1037</v>
      </c>
      <c r="G343" s="9" t="s">
        <v>53</v>
      </c>
      <c r="H343" s="9" t="s">
        <v>53</v>
      </c>
      <c r="I343" s="301"/>
    </row>
    <row r="344" spans="3:9" ht="15.95">
      <c r="C344" s="419">
        <v>22</v>
      </c>
      <c r="D344" s="424" t="str">
        <f t="shared" si="14"/>
        <v>Marseille</v>
      </c>
      <c r="E344" s="419" t="s">
        <v>1037</v>
      </c>
      <c r="G344" s="9" t="s">
        <v>29</v>
      </c>
      <c r="H344" s="9" t="s">
        <v>29</v>
      </c>
      <c r="I344" s="301"/>
    </row>
    <row r="345" spans="3:9" ht="15.95">
      <c r="C345" s="419">
        <v>23</v>
      </c>
      <c r="D345" s="424" t="str">
        <f t="shared" si="14"/>
        <v>Monaco</v>
      </c>
      <c r="E345" s="419" t="s">
        <v>1037</v>
      </c>
      <c r="G345" s="9" t="s">
        <v>48</v>
      </c>
      <c r="H345" s="9" t="s">
        <v>48</v>
      </c>
      <c r="I345" s="301"/>
    </row>
    <row r="346" spans="3:9" ht="15.95">
      <c r="C346" s="419">
        <v>24</v>
      </c>
      <c r="D346" s="424" t="str">
        <f t="shared" si="14"/>
        <v>Napoli</v>
      </c>
      <c r="E346" s="419" t="s">
        <v>1037</v>
      </c>
      <c r="G346" s="9" t="s">
        <v>54</v>
      </c>
      <c r="H346" s="9" t="s">
        <v>54</v>
      </c>
      <c r="I346" s="301"/>
    </row>
    <row r="347" spans="3:9" ht="15.95">
      <c r="C347" s="419">
        <v>25</v>
      </c>
      <c r="D347" s="424" t="str">
        <f t="shared" si="14"/>
        <v>Newcastle</v>
      </c>
      <c r="E347" s="419" t="s">
        <v>1037</v>
      </c>
      <c r="G347" s="9" t="s">
        <v>55</v>
      </c>
      <c r="H347" s="9" t="s">
        <v>55</v>
      </c>
      <c r="I347" s="301"/>
    </row>
    <row r="348" spans="3:9" ht="15.95">
      <c r="C348" s="419">
        <v>26</v>
      </c>
      <c r="D348" s="424" t="str">
        <f t="shared" si="14"/>
        <v>Olympiakos</v>
      </c>
      <c r="E348" s="419" t="s">
        <v>1037</v>
      </c>
      <c r="G348" s="9" t="s">
        <v>34</v>
      </c>
      <c r="H348" s="9" t="s">
        <v>34</v>
      </c>
      <c r="I348" s="301"/>
    </row>
    <row r="349" spans="3:9" ht="15.95">
      <c r="C349" s="419">
        <v>27</v>
      </c>
      <c r="D349" s="424" t="str">
        <f t="shared" si="14"/>
        <v>Pafos</v>
      </c>
      <c r="E349" s="419" t="s">
        <v>1037</v>
      </c>
      <c r="G349" s="9" t="s">
        <v>35</v>
      </c>
      <c r="H349" s="9" t="s">
        <v>35</v>
      </c>
      <c r="I349" s="301"/>
    </row>
    <row r="350" spans="3:9" ht="15.95">
      <c r="C350" s="419">
        <v>28</v>
      </c>
      <c r="D350" s="424" t="str">
        <f t="shared" si="14"/>
        <v>PSG</v>
      </c>
      <c r="E350" s="419" t="s">
        <v>1037</v>
      </c>
      <c r="G350" s="9" t="s">
        <v>45</v>
      </c>
      <c r="H350" s="9" t="s">
        <v>45</v>
      </c>
      <c r="I350" s="301"/>
    </row>
    <row r="351" spans="3:9" ht="15.95">
      <c r="C351" s="419">
        <v>29</v>
      </c>
      <c r="D351" s="424" t="str">
        <f t="shared" si="14"/>
        <v>PSV Eindhoven</v>
      </c>
      <c r="E351" s="419" t="s">
        <v>1037</v>
      </c>
      <c r="G351" s="9" t="s">
        <v>24</v>
      </c>
      <c r="H351" s="9" t="s">
        <v>24</v>
      </c>
      <c r="I351" s="301"/>
    </row>
    <row r="352" spans="3:9" ht="15.95">
      <c r="C352" s="419">
        <v>30</v>
      </c>
      <c r="D352" s="424" t="str">
        <f t="shared" si="14"/>
        <v>Qarabağ</v>
      </c>
      <c r="E352" s="419" t="s">
        <v>1037</v>
      </c>
      <c r="G352" s="9" t="s">
        <v>31</v>
      </c>
      <c r="H352" s="9" t="s">
        <v>31</v>
      </c>
      <c r="I352" s="301"/>
    </row>
    <row r="353" spans="3:9" ht="15.95">
      <c r="C353" s="419">
        <v>31</v>
      </c>
      <c r="D353" s="424" t="str">
        <f t="shared" si="14"/>
        <v>Real Madrid</v>
      </c>
      <c r="E353" s="419" t="s">
        <v>1037</v>
      </c>
      <c r="G353" s="9" t="s">
        <v>28</v>
      </c>
      <c r="H353" s="9" t="s">
        <v>28</v>
      </c>
      <c r="I353" s="301"/>
    </row>
    <row r="354" spans="3:9" ht="15.95">
      <c r="C354" s="419">
        <v>32</v>
      </c>
      <c r="D354" s="424" t="str">
        <f t="shared" si="14"/>
        <v>Slavia Praha</v>
      </c>
      <c r="E354" s="419" t="s">
        <v>1037</v>
      </c>
      <c r="G354" s="9" t="s">
        <v>36</v>
      </c>
      <c r="H354" s="9" t="s">
        <v>36</v>
      </c>
      <c r="I354" s="301"/>
    </row>
    <row r="355" spans="3:9" ht="15.95">
      <c r="C355" s="419">
        <v>33</v>
      </c>
      <c r="D355" s="424" t="str">
        <f t="shared" si="14"/>
        <v>Sporting Portugal</v>
      </c>
      <c r="E355" s="419" t="s">
        <v>1037</v>
      </c>
      <c r="G355" s="9" t="s">
        <v>58</v>
      </c>
      <c r="H355" s="9" t="s">
        <v>58</v>
      </c>
      <c r="I355" s="301"/>
    </row>
    <row r="356" spans="3:9" ht="15.95">
      <c r="C356" s="419">
        <v>34</v>
      </c>
      <c r="D356" s="424" t="str">
        <f t="shared" si="14"/>
        <v>Tottenham</v>
      </c>
      <c r="E356" s="419" t="s">
        <v>1037</v>
      </c>
      <c r="G356" s="9" t="s">
        <v>32</v>
      </c>
      <c r="H356" s="9" t="s">
        <v>32</v>
      </c>
      <c r="I356" s="301"/>
    </row>
    <row r="357" spans="3:9" ht="15.95">
      <c r="C357" s="419">
        <v>35</v>
      </c>
      <c r="D357" s="424" t="str">
        <f t="shared" si="14"/>
        <v>Union Saint-Gilloise</v>
      </c>
      <c r="E357" s="419" t="s">
        <v>1037</v>
      </c>
      <c r="G357" s="9" t="s">
        <v>25</v>
      </c>
      <c r="H357" s="9" t="s">
        <v>25</v>
      </c>
      <c r="I357" s="301"/>
    </row>
    <row r="358" spans="3:9" ht="15.95">
      <c r="C358" s="419">
        <v>36</v>
      </c>
      <c r="D358" s="424" t="str">
        <f t="shared" si="14"/>
        <v>Villarreal</v>
      </c>
      <c r="E358" s="419" t="s">
        <v>1037</v>
      </c>
      <c r="G358" s="9" t="s">
        <v>33</v>
      </c>
      <c r="H358" s="9" t="s">
        <v>33</v>
      </c>
      <c r="I358" s="301"/>
    </row>
    <row r="359" spans="3:9">
      <c r="C359" s="419">
        <v>37</v>
      </c>
    </row>
    <row r="360" spans="3:9">
      <c r="C360" s="419">
        <v>38</v>
      </c>
    </row>
    <row r="361" spans="3:9">
      <c r="C361" s="419">
        <v>39</v>
      </c>
    </row>
    <row r="362" spans="3:9">
      <c r="C362" s="419">
        <v>40</v>
      </c>
    </row>
    <row r="363" spans="3:9">
      <c r="C363" s="419">
        <v>41</v>
      </c>
    </row>
    <row r="364" spans="3:9">
      <c r="C364" s="419">
        <v>42</v>
      </c>
    </row>
    <row r="365" spans="3:9">
      <c r="C365" s="419">
        <v>43</v>
      </c>
    </row>
    <row r="366" spans="3:9" ht="15.95">
      <c r="C366" s="419">
        <v>44</v>
      </c>
      <c r="D366" s="424" t="str">
        <f t="shared" ref="D366:D380" si="15">IF($B$2,G366,H366)</f>
        <v>Campeón</v>
      </c>
      <c r="E366" s="419" t="s">
        <v>1028</v>
      </c>
      <c r="G366" s="301" t="s">
        <v>377</v>
      </c>
      <c r="H366" s="419" t="s">
        <v>21</v>
      </c>
    </row>
    <row r="367" spans="3:9" ht="15.95">
      <c r="C367" s="419">
        <v>45</v>
      </c>
      <c r="D367" s="424" t="str">
        <f t="shared" si="15"/>
        <v>Final</v>
      </c>
      <c r="E367" s="419" t="s">
        <v>1028</v>
      </c>
      <c r="G367" s="301" t="s">
        <v>372</v>
      </c>
      <c r="H367" s="419" t="s">
        <v>372</v>
      </c>
    </row>
    <row r="368" spans="3:9" ht="15.95">
      <c r="C368" s="419">
        <v>46</v>
      </c>
      <c r="D368" s="424" t="str">
        <f t="shared" si="15"/>
        <v>Semifinales</v>
      </c>
      <c r="E368" s="419" t="s">
        <v>1028</v>
      </c>
      <c r="G368" s="301" t="s">
        <v>369</v>
      </c>
      <c r="H368" s="419" t="s">
        <v>370</v>
      </c>
    </row>
    <row r="369" spans="3:8" ht="15.95">
      <c r="C369" s="419">
        <v>47</v>
      </c>
      <c r="D369" s="424" t="str">
        <f t="shared" si="15"/>
        <v>Cuartos de final</v>
      </c>
      <c r="E369" s="419" t="s">
        <v>1028</v>
      </c>
      <c r="G369" s="301" t="s">
        <v>366</v>
      </c>
      <c r="H369" s="419" t="s">
        <v>367</v>
      </c>
    </row>
    <row r="370" spans="3:8" ht="15.95">
      <c r="C370" s="419">
        <v>48</v>
      </c>
      <c r="D370" s="424" t="str">
        <f t="shared" si="15"/>
        <v>Octavos de final</v>
      </c>
      <c r="E370" s="419" t="s">
        <v>1028</v>
      </c>
      <c r="G370" s="301" t="s">
        <v>363</v>
      </c>
      <c r="H370" s="419" t="s">
        <v>364</v>
      </c>
    </row>
    <row r="371" spans="3:8" ht="15.95">
      <c r="C371" s="419">
        <v>49</v>
      </c>
      <c r="D371" s="424" t="str">
        <f t="shared" si="15"/>
        <v>Playoffs</v>
      </c>
      <c r="E371" s="419" t="s">
        <v>1028</v>
      </c>
      <c r="G371" s="301" t="s">
        <v>198</v>
      </c>
      <c r="H371" s="301" t="s">
        <v>198</v>
      </c>
    </row>
    <row r="372" spans="3:8" ht="15.95">
      <c r="C372" s="419">
        <v>50</v>
      </c>
      <c r="D372" s="424" t="str">
        <f t="shared" si="15"/>
        <v>Fase de Liga</v>
      </c>
      <c r="E372" s="419" t="s">
        <v>1028</v>
      </c>
      <c r="G372" s="301" t="s">
        <v>1042</v>
      </c>
      <c r="H372" s="419" t="s">
        <v>1002</v>
      </c>
    </row>
    <row r="373" spans="3:8">
      <c r="C373" s="419">
        <v>51</v>
      </c>
      <c r="D373" s="419" t="str">
        <f t="shared" si="15"/>
        <v>Pronóstica la ronda</v>
      </c>
      <c r="E373" s="419" t="s">
        <v>1028</v>
      </c>
      <c r="G373" s="419" t="s">
        <v>1043</v>
      </c>
      <c r="H373" s="419" t="s">
        <v>1044</v>
      </c>
    </row>
    <row r="374" spans="3:8">
      <c r="C374" s="419">
        <v>52</v>
      </c>
      <c r="D374" s="419" t="str">
        <f t="shared" si="15"/>
        <v>Predice el equipo</v>
      </c>
      <c r="E374" s="419" t="s">
        <v>1028</v>
      </c>
      <c r="G374" s="419" t="s">
        <v>1045</v>
      </c>
      <c r="H374" s="419" t="s">
        <v>1046</v>
      </c>
    </row>
    <row r="375" spans="3:8">
      <c r="C375" s="419">
        <v>53</v>
      </c>
      <c r="D375" s="419" t="str">
        <f t="shared" si="15"/>
        <v>Ronda</v>
      </c>
      <c r="E375" s="419" t="s">
        <v>1028</v>
      </c>
      <c r="G375" s="419" t="s">
        <v>1047</v>
      </c>
      <c r="H375" s="419" t="s">
        <v>1048</v>
      </c>
    </row>
    <row r="376" spans="3:8" ht="15.95">
      <c r="C376" s="419">
        <v>54</v>
      </c>
      <c r="D376" s="419" t="str">
        <f t="shared" si="15"/>
        <v>·Selecciona para cada ronda el equipo o los equipos que crees que van a llegar hasta esa ronda.</v>
      </c>
      <c r="E376" s="419" t="s">
        <v>1028</v>
      </c>
      <c r="G376" s="301" t="s">
        <v>1049</v>
      </c>
      <c r="H376" s="419" t="s">
        <v>1050</v>
      </c>
    </row>
    <row r="377" spans="3:8" ht="15.95">
      <c r="C377" s="419">
        <v>55</v>
      </c>
      <c r="D377" s="419" t="str">
        <f t="shared" si="15"/>
        <v>·Una vez selecciones un equipo, dejará de aparecer en el selector</v>
      </c>
      <c r="E377" s="419" t="s">
        <v>1028</v>
      </c>
      <c r="G377" s="301" t="s">
        <v>1051</v>
      </c>
      <c r="H377" s="419" t="s">
        <v>1052</v>
      </c>
    </row>
    <row r="378" spans="3:8" ht="15.95">
      <c r="C378" s="419">
        <v>56</v>
      </c>
      <c r="D378" s="419" t="str">
        <f t="shared" si="15"/>
        <v xml:space="preserve">·Si has rellenado todos y quieres hacer un cambio, </v>
      </c>
      <c r="E378" s="419" t="s">
        <v>1028</v>
      </c>
      <c r="G378" s="301" t="s">
        <v>1053</v>
      </c>
      <c r="H378" s="419" t="s">
        <v>1054</v>
      </c>
    </row>
    <row r="379" spans="3:8" ht="15.95">
      <c r="C379" s="419">
        <v>57</v>
      </c>
      <c r="D379" s="419" t="str">
        <f t="shared" si="15"/>
        <v xml:space="preserve"> borra los equipos que quieras cambiar y podrás volver a seleccionarlos</v>
      </c>
      <c r="E379" s="419" t="s">
        <v>1028</v>
      </c>
      <c r="G379" s="301" t="s">
        <v>1055</v>
      </c>
      <c r="H379" s="419" t="s">
        <v>1056</v>
      </c>
    </row>
    <row r="380" spans="3:8" ht="15.95">
      <c r="C380" s="419">
        <v>58</v>
      </c>
      <c r="D380" s="419" t="str">
        <f t="shared" si="15"/>
        <v>Rellenar antes del comienzo de la Champions</v>
      </c>
      <c r="E380" s="419" t="s">
        <v>1028</v>
      </c>
      <c r="G380" s="301" t="s">
        <v>1057</v>
      </c>
      <c r="H380" s="419" t="s">
        <v>1058</v>
      </c>
    </row>
    <row r="381" spans="3:8">
      <c r="C381" s="419">
        <v>59</v>
      </c>
    </row>
    <row r="382" spans="3:8">
      <c r="C382" s="419">
        <v>60</v>
      </c>
    </row>
    <row r="383" spans="3:8">
      <c r="C383" s="419">
        <v>61</v>
      </c>
    </row>
    <row r="384" spans="3:8">
      <c r="C384" s="419">
        <v>62</v>
      </c>
    </row>
    <row r="385" spans="3:3">
      <c r="C385" s="419">
        <v>63</v>
      </c>
    </row>
    <row r="386" spans="3:3">
      <c r="C386" s="419">
        <v>64</v>
      </c>
    </row>
    <row r="387" spans="3:3">
      <c r="C387" s="419">
        <v>65</v>
      </c>
    </row>
    <row r="388" spans="3:3">
      <c r="C388" s="419">
        <v>66</v>
      </c>
    </row>
    <row r="389" spans="3:3">
      <c r="C389" s="419">
        <v>67</v>
      </c>
    </row>
    <row r="390" spans="3:3">
      <c r="C390" s="419">
        <v>68</v>
      </c>
    </row>
    <row r="391" spans="3:3">
      <c r="C391" s="419">
        <v>69</v>
      </c>
    </row>
    <row r="392" spans="3:3">
      <c r="C392" s="419">
        <v>70</v>
      </c>
    </row>
    <row r="393" spans="3:3">
      <c r="C393" s="419">
        <v>71</v>
      </c>
    </row>
    <row r="394" spans="3:3">
      <c r="C394" s="419">
        <v>72</v>
      </c>
    </row>
    <row r="395" spans="3:3">
      <c r="C395" s="419">
        <v>73</v>
      </c>
    </row>
    <row r="396" spans="3:3">
      <c r="C396" s="419">
        <v>74</v>
      </c>
    </row>
    <row r="397" spans="3:3">
      <c r="C397" s="419">
        <v>75</v>
      </c>
    </row>
    <row r="398" spans="3:3">
      <c r="C398" s="419">
        <v>76</v>
      </c>
    </row>
    <row r="399" spans="3:3">
      <c r="C399" s="419">
        <v>77</v>
      </c>
    </row>
    <row r="400" spans="3:3">
      <c r="C400" s="419">
        <v>78</v>
      </c>
    </row>
    <row r="401" spans="3:3">
      <c r="C401" s="419">
        <v>79</v>
      </c>
    </row>
    <row r="402" spans="3:3">
      <c r="C402" s="419">
        <v>80</v>
      </c>
    </row>
    <row r="403" spans="3:3">
      <c r="C403" s="419">
        <v>81</v>
      </c>
    </row>
    <row r="404" spans="3:3">
      <c r="C404" s="419">
        <v>82</v>
      </c>
    </row>
    <row r="405" spans="3:3">
      <c r="C405" s="419">
        <v>83</v>
      </c>
    </row>
    <row r="406" spans="3:3">
      <c r="C406" s="419">
        <v>84</v>
      </c>
    </row>
    <row r="407" spans="3:3">
      <c r="C407" s="419">
        <v>85</v>
      </c>
    </row>
    <row r="408" spans="3:3">
      <c r="C408" s="419">
        <v>86</v>
      </c>
    </row>
    <row r="409" spans="3:3">
      <c r="C409" s="419">
        <v>87</v>
      </c>
    </row>
    <row r="410" spans="3:3">
      <c r="C410" s="419">
        <v>88</v>
      </c>
    </row>
    <row r="411" spans="3:3">
      <c r="C411" s="419">
        <v>89</v>
      </c>
    </row>
    <row r="412" spans="3:3">
      <c r="C412" s="419">
        <v>90</v>
      </c>
    </row>
    <row r="413" spans="3:3">
      <c r="C413" s="419">
        <v>91</v>
      </c>
    </row>
    <row r="414" spans="3:3">
      <c r="C414" s="419">
        <v>92</v>
      </c>
    </row>
    <row r="415" spans="3:3">
      <c r="C415" s="419">
        <v>93</v>
      </c>
    </row>
    <row r="416" spans="3:3">
      <c r="C416" s="419">
        <v>94</v>
      </c>
    </row>
    <row r="417" spans="3:3">
      <c r="C417" s="419">
        <v>95</v>
      </c>
    </row>
    <row r="418" spans="3:3">
      <c r="C418" s="419">
        <v>96</v>
      </c>
    </row>
    <row r="419" spans="3:3">
      <c r="C419" s="419">
        <v>97</v>
      </c>
    </row>
    <row r="420" spans="3:3">
      <c r="C420" s="419">
        <v>98</v>
      </c>
    </row>
    <row r="421" spans="3:3">
      <c r="C421" s="419">
        <v>99</v>
      </c>
    </row>
    <row r="422" spans="3:3">
      <c r="C422" s="419">
        <v>100</v>
      </c>
    </row>
  </sheetData>
  <sheetProtection algorithmName="SHA-512" hashValue="7yllGw987QJE14cKYS0krftEvWYeq6Z+n6OvhGX5TbEKWlsY0A4898OdawlsNGo0LqqMdbCTmhz8pPnf20gSJA==" saltValue="ddT7ScFic2fBC9rysOKCtw==" spinCount="100000" sheet="1" scenarios="1" selectLockedCells="1" selectUnlockedCells="1"/>
  <phoneticPr fontId="8" type="noConversion"/>
  <conditionalFormatting sqref="G323:G337 G339:G342 G344:G351">
    <cfRule type="duplicateValues" dxfId="10" priority="3"/>
  </conditionalFormatting>
  <conditionalFormatting sqref="G353:G355 G357:G358">
    <cfRule type="duplicateValues" dxfId="9" priority="4"/>
  </conditionalFormatting>
  <conditionalFormatting sqref="H323:H337 H339:H342 H344:H351">
    <cfRule type="duplicateValues" dxfId="8" priority="1"/>
  </conditionalFormatting>
  <conditionalFormatting sqref="H353:H355 H357:H358">
    <cfRule type="duplicateValues" dxfId="7" priority="2"/>
  </conditionalFormatting>
  <hyperlinks>
    <hyperlink ref="G284" r:id="rId1" xr:uid="{90729C8E-9CA8-9545-9C98-E9D041C3FE0E}"/>
    <hyperlink ref="H284" r:id="rId2" xr:uid="{B277B91A-6CA3-A544-84E3-FC6D9A365B0D}"/>
    <hyperlink ref="H11" r:id="rId3" xr:uid="{4B6F83D2-AA92-8342-A369-13B1F764A301}"/>
    <hyperlink ref="G11" r:id="rId4" display="https://matejero.es/administrador-excel-eurocopa" xr:uid="{F6A51BBD-D5D5-4546-9855-0B42C0631BA6}"/>
  </hyperlinks>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C6F52-1453-4DFE-A47F-D3BD165AFE18}">
  <sheetPr codeName="Hoja15"/>
  <dimension ref="A1:L202"/>
  <sheetViews>
    <sheetView showGridLines="0" showRowColHeaders="0" workbookViewId="0">
      <selection sqref="A1:L202"/>
    </sheetView>
  </sheetViews>
  <sheetFormatPr defaultColWidth="11" defaultRowHeight="15.95"/>
  <cols>
    <col min="1" max="1" width="18.125" bestFit="1" customWidth="1"/>
    <col min="2" max="2" width="8.875" bestFit="1" customWidth="1"/>
    <col min="3" max="3" width="7.625" bestFit="1" customWidth="1"/>
    <col min="4" max="4" width="25" bestFit="1" customWidth="1"/>
    <col min="5" max="5" width="8.875" bestFit="1" customWidth="1"/>
    <col min="6" max="6" width="4.625" bestFit="1" customWidth="1"/>
    <col min="7" max="7" width="8.375" bestFit="1" customWidth="1"/>
    <col min="8" max="8" width="10.375" bestFit="1" customWidth="1"/>
    <col min="9" max="9" width="6.625" bestFit="1" customWidth="1"/>
    <col min="10" max="10" width="10.875" bestFit="1" customWidth="1"/>
    <col min="11" max="11" width="17" bestFit="1" customWidth="1"/>
    <col min="12" max="12" width="13.875" bestFit="1" customWidth="1"/>
  </cols>
  <sheetData>
    <row r="1" spans="1:12">
      <c r="A1" t="s">
        <v>340</v>
      </c>
      <c r="B1" t="s">
        <v>334</v>
      </c>
      <c r="C1" t="s">
        <v>337</v>
      </c>
      <c r="D1" t="s">
        <v>343</v>
      </c>
      <c r="E1" t="s">
        <v>16</v>
      </c>
      <c r="F1" t="s">
        <v>17</v>
      </c>
      <c r="G1" t="s">
        <v>346</v>
      </c>
      <c r="H1" t="s">
        <v>1059</v>
      </c>
      <c r="I1" t="s">
        <v>1060</v>
      </c>
      <c r="J1" t="s">
        <v>1061</v>
      </c>
      <c r="K1" t="s">
        <v>349</v>
      </c>
      <c r="L1" t="s">
        <v>1062</v>
      </c>
    </row>
    <row r="2" spans="1:12">
      <c r="A2">
        <v>1</v>
      </c>
      <c r="B2" s="183">
        <v>46280</v>
      </c>
      <c r="C2" s="184">
        <v>0.78125</v>
      </c>
      <c r="D2" t="s">
        <v>23</v>
      </c>
      <c r="K2" t="s">
        <v>39</v>
      </c>
      <c r="L2" s="15">
        <v>46280.78125</v>
      </c>
    </row>
    <row r="3" spans="1:12">
      <c r="A3">
        <v>1</v>
      </c>
      <c r="B3" s="183">
        <v>46280</v>
      </c>
      <c r="C3" s="184">
        <v>0.78125</v>
      </c>
      <c r="D3" t="s">
        <v>1063</v>
      </c>
      <c r="K3" t="s">
        <v>26</v>
      </c>
      <c r="L3" s="15">
        <v>46280.78125</v>
      </c>
    </row>
    <row r="4" spans="1:12">
      <c r="A4">
        <v>1</v>
      </c>
      <c r="B4" s="183">
        <v>46280</v>
      </c>
      <c r="C4" s="184">
        <v>0.875</v>
      </c>
      <c r="D4" t="s">
        <v>46</v>
      </c>
      <c r="K4" t="s">
        <v>1064</v>
      </c>
      <c r="L4" s="15">
        <v>46280.875</v>
      </c>
    </row>
    <row r="5" spans="1:12">
      <c r="A5">
        <v>1</v>
      </c>
      <c r="B5" s="183">
        <v>46280</v>
      </c>
      <c r="C5" s="184">
        <v>0.875</v>
      </c>
      <c r="D5" t="s">
        <v>1065</v>
      </c>
      <c r="K5" t="s">
        <v>1066</v>
      </c>
      <c r="L5" s="15">
        <v>46280.875</v>
      </c>
    </row>
    <row r="6" spans="1:12">
      <c r="A6">
        <v>1</v>
      </c>
      <c r="B6" s="183">
        <v>46280</v>
      </c>
      <c r="C6" s="184">
        <v>0.875</v>
      </c>
      <c r="D6" t="s">
        <v>56</v>
      </c>
      <c r="K6" t="s">
        <v>43</v>
      </c>
      <c r="L6" s="15">
        <v>46280.875</v>
      </c>
    </row>
    <row r="7" spans="1:12">
      <c r="A7">
        <v>1</v>
      </c>
      <c r="B7" s="183">
        <v>46280</v>
      </c>
      <c r="C7" s="184">
        <v>0.875</v>
      </c>
      <c r="D7" t="s">
        <v>50</v>
      </c>
      <c r="K7" t="s">
        <v>1067</v>
      </c>
      <c r="L7" s="15">
        <v>46280.875</v>
      </c>
    </row>
    <row r="8" spans="1:12">
      <c r="A8">
        <v>1</v>
      </c>
      <c r="B8" s="183">
        <v>46281</v>
      </c>
      <c r="C8" s="184">
        <v>0.78125</v>
      </c>
      <c r="D8" t="s">
        <v>1068</v>
      </c>
      <c r="K8" t="s">
        <v>53</v>
      </c>
      <c r="L8" s="15">
        <v>46281.78125</v>
      </c>
    </row>
    <row r="9" spans="1:12">
      <c r="A9">
        <v>1</v>
      </c>
      <c r="B9" s="183">
        <v>46281</v>
      </c>
      <c r="C9" s="184">
        <v>0.78125</v>
      </c>
      <c r="D9" t="s">
        <v>30</v>
      </c>
      <c r="K9" t="s">
        <v>1069</v>
      </c>
      <c r="L9" s="15">
        <v>46281.78125</v>
      </c>
    </row>
    <row r="10" spans="1:12">
      <c r="A10">
        <v>1</v>
      </c>
      <c r="B10" s="183">
        <v>46281</v>
      </c>
      <c r="C10" s="184">
        <v>0.875</v>
      </c>
      <c r="D10" t="s">
        <v>37</v>
      </c>
      <c r="K10" t="s">
        <v>1070</v>
      </c>
      <c r="L10" s="15">
        <v>46281.875</v>
      </c>
    </row>
    <row r="11" spans="1:12">
      <c r="A11">
        <v>1</v>
      </c>
      <c r="B11" s="183">
        <v>46281</v>
      </c>
      <c r="C11" s="184">
        <v>0.875</v>
      </c>
      <c r="D11" t="s">
        <v>1071</v>
      </c>
      <c r="K11" t="s">
        <v>48</v>
      </c>
      <c r="L11" s="15">
        <v>46281.875</v>
      </c>
    </row>
    <row r="12" spans="1:12">
      <c r="A12">
        <v>1</v>
      </c>
      <c r="B12" s="183">
        <v>46281</v>
      </c>
      <c r="C12" s="184">
        <v>0.875</v>
      </c>
      <c r="D12" t="s">
        <v>27</v>
      </c>
      <c r="K12" t="s">
        <v>45</v>
      </c>
      <c r="L12" s="15">
        <v>46281.875</v>
      </c>
    </row>
    <row r="13" spans="1:12">
      <c r="A13">
        <v>1</v>
      </c>
      <c r="B13" s="183">
        <v>46281</v>
      </c>
      <c r="C13" s="184">
        <v>0.875</v>
      </c>
      <c r="D13" t="s">
        <v>1072</v>
      </c>
      <c r="K13" t="s">
        <v>24</v>
      </c>
      <c r="L13" s="15">
        <v>46281.875</v>
      </c>
    </row>
    <row r="14" spans="1:12">
      <c r="A14">
        <v>1</v>
      </c>
      <c r="B14" s="183">
        <v>46282</v>
      </c>
      <c r="C14" s="184">
        <v>0.78125</v>
      </c>
      <c r="D14" t="s">
        <v>47</v>
      </c>
      <c r="K14" t="s">
        <v>28</v>
      </c>
      <c r="L14" s="15">
        <v>46282.78125</v>
      </c>
    </row>
    <row r="15" spans="1:12">
      <c r="A15">
        <v>1</v>
      </c>
      <c r="B15" s="183">
        <v>46282</v>
      </c>
      <c r="C15" s="184">
        <v>0.78125</v>
      </c>
      <c r="D15" t="s">
        <v>1073</v>
      </c>
      <c r="K15" t="s">
        <v>1074</v>
      </c>
      <c r="L15" s="15">
        <v>46282.78125</v>
      </c>
    </row>
    <row r="16" spans="1:12">
      <c r="A16">
        <v>1</v>
      </c>
      <c r="B16" s="183">
        <v>46282</v>
      </c>
      <c r="C16" s="184">
        <v>0.875</v>
      </c>
      <c r="D16" t="s">
        <v>1075</v>
      </c>
      <c r="K16" t="s">
        <v>58</v>
      </c>
      <c r="L16" s="15">
        <v>46282.875</v>
      </c>
    </row>
    <row r="17" spans="1:12">
      <c r="A17">
        <v>1</v>
      </c>
      <c r="B17" s="183">
        <v>46282</v>
      </c>
      <c r="C17" s="184">
        <v>0.875</v>
      </c>
      <c r="D17" t="s">
        <v>1076</v>
      </c>
      <c r="K17" t="s">
        <v>1077</v>
      </c>
      <c r="L17" s="15">
        <v>46282.875</v>
      </c>
    </row>
    <row r="18" spans="1:12">
      <c r="A18">
        <v>1</v>
      </c>
      <c r="B18" s="183">
        <v>46282</v>
      </c>
      <c r="C18" s="184">
        <v>0.875</v>
      </c>
      <c r="D18" t="s">
        <v>1078</v>
      </c>
      <c r="K18" t="s">
        <v>1079</v>
      </c>
      <c r="L18" s="15">
        <v>46282.875</v>
      </c>
    </row>
    <row r="19" spans="1:12">
      <c r="A19">
        <v>1</v>
      </c>
      <c r="B19" s="183">
        <v>46282</v>
      </c>
      <c r="C19" s="184">
        <v>0.875</v>
      </c>
      <c r="D19" t="s">
        <v>1080</v>
      </c>
      <c r="K19" t="s">
        <v>1081</v>
      </c>
      <c r="L19" s="15">
        <v>46282.875</v>
      </c>
    </row>
    <row r="20" spans="1:12">
      <c r="A20">
        <v>2</v>
      </c>
      <c r="B20" s="183">
        <v>45930</v>
      </c>
      <c r="C20" s="184">
        <v>0.78125</v>
      </c>
      <c r="D20" t="s">
        <v>26</v>
      </c>
      <c r="K20" t="s">
        <v>23</v>
      </c>
      <c r="L20" s="15">
        <v>45930.78125</v>
      </c>
    </row>
    <row r="21" spans="1:12">
      <c r="A21">
        <v>2</v>
      </c>
      <c r="B21" s="183">
        <v>45930</v>
      </c>
      <c r="C21" s="184">
        <v>0.78125</v>
      </c>
      <c r="D21" t="s">
        <v>1064</v>
      </c>
      <c r="K21" t="s">
        <v>1063</v>
      </c>
      <c r="L21" s="15">
        <v>45930.78125</v>
      </c>
    </row>
    <row r="22" spans="1:12">
      <c r="A22">
        <v>2</v>
      </c>
      <c r="B22" s="183">
        <v>45930</v>
      </c>
      <c r="C22" s="184">
        <v>0.875</v>
      </c>
      <c r="D22" t="s">
        <v>1066</v>
      </c>
      <c r="K22" t="s">
        <v>46</v>
      </c>
      <c r="L22" s="15">
        <v>45930.875</v>
      </c>
    </row>
    <row r="23" spans="1:12">
      <c r="A23">
        <v>2</v>
      </c>
      <c r="B23" s="183">
        <v>45930</v>
      </c>
      <c r="C23" s="184">
        <v>0.875</v>
      </c>
      <c r="D23" t="s">
        <v>43</v>
      </c>
      <c r="K23" t="s">
        <v>1065</v>
      </c>
      <c r="L23" s="15">
        <v>45930.875</v>
      </c>
    </row>
    <row r="24" spans="1:12">
      <c r="A24">
        <v>2</v>
      </c>
      <c r="B24" s="183">
        <v>45930</v>
      </c>
      <c r="C24" s="184">
        <v>0.875</v>
      </c>
      <c r="D24" t="s">
        <v>1067</v>
      </c>
      <c r="K24" t="s">
        <v>56</v>
      </c>
      <c r="L24" s="15">
        <v>45930.875</v>
      </c>
    </row>
    <row r="25" spans="1:12">
      <c r="A25">
        <v>2</v>
      </c>
      <c r="B25" s="183">
        <v>45930</v>
      </c>
      <c r="C25" s="184">
        <v>0.875</v>
      </c>
      <c r="D25" t="s">
        <v>53</v>
      </c>
      <c r="K25" t="s">
        <v>50</v>
      </c>
      <c r="L25" s="15">
        <v>45930.875</v>
      </c>
    </row>
    <row r="26" spans="1:12">
      <c r="A26">
        <v>2</v>
      </c>
      <c r="B26" s="183">
        <v>45930</v>
      </c>
      <c r="C26" s="184">
        <v>0.875</v>
      </c>
      <c r="D26" t="s">
        <v>1069</v>
      </c>
      <c r="K26" t="s">
        <v>1068</v>
      </c>
      <c r="L26" s="15">
        <v>45930.875</v>
      </c>
    </row>
    <row r="27" spans="1:12">
      <c r="A27">
        <v>2</v>
      </c>
      <c r="B27" s="183">
        <v>45930</v>
      </c>
      <c r="C27" s="184">
        <v>0.875</v>
      </c>
      <c r="D27" t="s">
        <v>1070</v>
      </c>
      <c r="K27" t="s">
        <v>30</v>
      </c>
      <c r="L27" s="15">
        <v>45930.875</v>
      </c>
    </row>
    <row r="28" spans="1:12">
      <c r="A28">
        <v>2</v>
      </c>
      <c r="B28" s="183">
        <v>45930</v>
      </c>
      <c r="C28" s="184">
        <v>0.875</v>
      </c>
      <c r="D28" t="s">
        <v>48</v>
      </c>
      <c r="K28" t="s">
        <v>37</v>
      </c>
      <c r="L28" s="15">
        <v>45930.875</v>
      </c>
    </row>
    <row r="29" spans="1:12">
      <c r="A29">
        <v>2</v>
      </c>
      <c r="B29" s="183">
        <v>45931</v>
      </c>
      <c r="C29" s="184">
        <v>0.78125</v>
      </c>
      <c r="D29" t="s">
        <v>45</v>
      </c>
      <c r="K29" t="s">
        <v>1071</v>
      </c>
      <c r="L29" s="15">
        <v>45931.78125</v>
      </c>
    </row>
    <row r="30" spans="1:12">
      <c r="A30">
        <v>2</v>
      </c>
      <c r="B30" s="183">
        <v>45931</v>
      </c>
      <c r="C30" s="184">
        <v>0.78125</v>
      </c>
      <c r="D30" t="s">
        <v>24</v>
      </c>
      <c r="K30" t="s">
        <v>27</v>
      </c>
      <c r="L30" s="15">
        <v>45931.78125</v>
      </c>
    </row>
    <row r="31" spans="1:12">
      <c r="A31">
        <v>2</v>
      </c>
      <c r="B31" s="183">
        <v>45931</v>
      </c>
      <c r="C31" s="184">
        <v>0.875</v>
      </c>
      <c r="D31" t="s">
        <v>28</v>
      </c>
      <c r="K31" t="s">
        <v>1072</v>
      </c>
      <c r="L31" s="15">
        <v>45931.875</v>
      </c>
    </row>
    <row r="32" spans="1:12">
      <c r="A32">
        <v>2</v>
      </c>
      <c r="B32" s="183">
        <v>45931</v>
      </c>
      <c r="C32" s="184">
        <v>0.875</v>
      </c>
      <c r="D32" t="s">
        <v>1074</v>
      </c>
      <c r="K32" t="s">
        <v>47</v>
      </c>
      <c r="L32" s="15">
        <v>45931.875</v>
      </c>
    </row>
    <row r="33" spans="1:12">
      <c r="A33">
        <v>2</v>
      </c>
      <c r="B33" s="183">
        <v>45931</v>
      </c>
      <c r="C33" s="184">
        <v>0.875</v>
      </c>
      <c r="D33" t="s">
        <v>58</v>
      </c>
      <c r="K33" t="s">
        <v>1073</v>
      </c>
      <c r="L33" s="15">
        <v>45931.875</v>
      </c>
    </row>
    <row r="34" spans="1:12">
      <c r="A34">
        <v>2</v>
      </c>
      <c r="B34" s="183">
        <v>45931</v>
      </c>
      <c r="C34" s="184">
        <v>0.875</v>
      </c>
      <c r="D34" t="s">
        <v>1077</v>
      </c>
      <c r="K34" t="s">
        <v>1075</v>
      </c>
      <c r="L34" s="15">
        <v>45931.875</v>
      </c>
    </row>
    <row r="35" spans="1:12">
      <c r="A35">
        <v>2</v>
      </c>
      <c r="B35" s="183">
        <v>45931</v>
      </c>
      <c r="C35" s="184">
        <v>0.875</v>
      </c>
      <c r="D35" t="s">
        <v>1079</v>
      </c>
      <c r="K35" t="s">
        <v>1076</v>
      </c>
      <c r="L35" s="15">
        <v>45931.875</v>
      </c>
    </row>
    <row r="36" spans="1:12">
      <c r="A36">
        <v>2</v>
      </c>
      <c r="B36" s="183">
        <v>45931</v>
      </c>
      <c r="C36" s="184">
        <v>0.875</v>
      </c>
      <c r="D36" t="s">
        <v>1081</v>
      </c>
      <c r="K36" t="s">
        <v>1078</v>
      </c>
      <c r="L36" s="15">
        <v>45931.875</v>
      </c>
    </row>
    <row r="37" spans="1:12">
      <c r="A37">
        <v>2</v>
      </c>
      <c r="B37" s="183">
        <v>45931</v>
      </c>
      <c r="C37" s="184">
        <v>0.875</v>
      </c>
      <c r="D37" t="s">
        <v>39</v>
      </c>
      <c r="K37" t="s">
        <v>1080</v>
      </c>
      <c r="L37" s="15">
        <v>45931.875</v>
      </c>
    </row>
    <row r="38" spans="1:12">
      <c r="A38">
        <v>3</v>
      </c>
      <c r="B38" s="183">
        <v>45951</v>
      </c>
      <c r="C38" s="184">
        <v>0.78125</v>
      </c>
      <c r="D38" t="s">
        <v>23</v>
      </c>
      <c r="K38" t="s">
        <v>1066</v>
      </c>
      <c r="L38" s="15">
        <v>45951.78125</v>
      </c>
    </row>
    <row r="39" spans="1:12">
      <c r="A39">
        <v>3</v>
      </c>
      <c r="B39" s="183">
        <v>45951</v>
      </c>
      <c r="C39" s="184">
        <v>0.78125</v>
      </c>
      <c r="D39" t="s">
        <v>1063</v>
      </c>
      <c r="K39" t="s">
        <v>43</v>
      </c>
      <c r="L39" s="15">
        <v>45951.78125</v>
      </c>
    </row>
    <row r="40" spans="1:12">
      <c r="A40">
        <v>3</v>
      </c>
      <c r="B40" s="183">
        <v>45951</v>
      </c>
      <c r="C40" s="184">
        <v>0.875</v>
      </c>
      <c r="D40" t="s">
        <v>46</v>
      </c>
      <c r="K40" t="s">
        <v>1067</v>
      </c>
      <c r="L40" s="15">
        <v>45951.875</v>
      </c>
    </row>
    <row r="41" spans="1:12">
      <c r="A41">
        <v>3</v>
      </c>
      <c r="B41" s="183">
        <v>45951</v>
      </c>
      <c r="C41" s="184">
        <v>0.875</v>
      </c>
      <c r="D41" t="s">
        <v>1065</v>
      </c>
      <c r="K41" t="s">
        <v>53</v>
      </c>
      <c r="L41" s="15">
        <v>45951.875</v>
      </c>
    </row>
    <row r="42" spans="1:12">
      <c r="A42">
        <v>3</v>
      </c>
      <c r="B42" s="183">
        <v>45951</v>
      </c>
      <c r="C42" s="184">
        <v>0.875</v>
      </c>
      <c r="D42" t="s">
        <v>56</v>
      </c>
      <c r="K42" t="s">
        <v>1069</v>
      </c>
      <c r="L42" s="15">
        <v>45951.875</v>
      </c>
    </row>
    <row r="43" spans="1:12">
      <c r="A43">
        <v>3</v>
      </c>
      <c r="B43" s="183">
        <v>45951</v>
      </c>
      <c r="C43" s="184">
        <v>0.875</v>
      </c>
      <c r="D43" t="s">
        <v>50</v>
      </c>
      <c r="K43" t="s">
        <v>1070</v>
      </c>
      <c r="L43" s="15">
        <v>45951.875</v>
      </c>
    </row>
    <row r="44" spans="1:12">
      <c r="A44">
        <v>3</v>
      </c>
      <c r="B44" s="183">
        <v>45951</v>
      </c>
      <c r="C44" s="184">
        <v>0.875</v>
      </c>
      <c r="D44" t="s">
        <v>1068</v>
      </c>
      <c r="K44" t="s">
        <v>48</v>
      </c>
      <c r="L44" s="15">
        <v>45951.875</v>
      </c>
    </row>
    <row r="45" spans="1:12">
      <c r="A45">
        <v>3</v>
      </c>
      <c r="B45" s="183">
        <v>45951</v>
      </c>
      <c r="C45" s="184">
        <v>0.875</v>
      </c>
      <c r="D45" t="s">
        <v>30</v>
      </c>
      <c r="K45" t="s">
        <v>45</v>
      </c>
      <c r="L45" s="15">
        <v>45951.875</v>
      </c>
    </row>
    <row r="46" spans="1:12">
      <c r="A46">
        <v>3</v>
      </c>
      <c r="B46" s="183">
        <v>45951</v>
      </c>
      <c r="C46" s="184">
        <v>0.875</v>
      </c>
      <c r="D46" t="s">
        <v>37</v>
      </c>
      <c r="K46" t="s">
        <v>24</v>
      </c>
      <c r="L46" s="15">
        <v>45951.875</v>
      </c>
    </row>
    <row r="47" spans="1:12">
      <c r="A47">
        <v>3</v>
      </c>
      <c r="B47" s="183">
        <v>45952</v>
      </c>
      <c r="C47" s="184">
        <v>0.78125</v>
      </c>
      <c r="D47" t="s">
        <v>1071</v>
      </c>
      <c r="K47" t="s">
        <v>28</v>
      </c>
      <c r="L47" s="15">
        <v>45952.78125</v>
      </c>
    </row>
    <row r="48" spans="1:12">
      <c r="A48">
        <v>3</v>
      </c>
      <c r="B48" s="183">
        <v>45952</v>
      </c>
      <c r="C48" s="184">
        <v>0.78125</v>
      </c>
      <c r="D48" t="s">
        <v>27</v>
      </c>
      <c r="K48" t="s">
        <v>1074</v>
      </c>
      <c r="L48" s="15">
        <v>45952.78125</v>
      </c>
    </row>
    <row r="49" spans="1:12">
      <c r="A49">
        <v>3</v>
      </c>
      <c r="B49" s="183">
        <v>45952</v>
      </c>
      <c r="C49" s="184">
        <v>0.875</v>
      </c>
      <c r="D49" t="s">
        <v>1072</v>
      </c>
      <c r="K49" t="s">
        <v>58</v>
      </c>
      <c r="L49" s="15">
        <v>45952.875</v>
      </c>
    </row>
    <row r="50" spans="1:12">
      <c r="A50">
        <v>3</v>
      </c>
      <c r="B50" s="183">
        <v>45952</v>
      </c>
      <c r="C50" s="184">
        <v>0.875</v>
      </c>
      <c r="D50" t="s">
        <v>47</v>
      </c>
      <c r="K50" t="s">
        <v>1077</v>
      </c>
      <c r="L50" s="15">
        <v>45952.875</v>
      </c>
    </row>
    <row r="51" spans="1:12">
      <c r="A51">
        <v>3</v>
      </c>
      <c r="B51" s="183">
        <v>45952</v>
      </c>
      <c r="C51" s="184">
        <v>0.875</v>
      </c>
      <c r="D51" t="s">
        <v>1073</v>
      </c>
      <c r="K51" t="s">
        <v>1079</v>
      </c>
      <c r="L51" s="15">
        <v>45952.875</v>
      </c>
    </row>
    <row r="52" spans="1:12">
      <c r="A52">
        <v>3</v>
      </c>
      <c r="B52" s="183">
        <v>45952</v>
      </c>
      <c r="C52" s="184">
        <v>0.875</v>
      </c>
      <c r="D52" t="s">
        <v>1075</v>
      </c>
      <c r="K52" t="s">
        <v>1081</v>
      </c>
      <c r="L52" s="15">
        <v>45952.875</v>
      </c>
    </row>
    <row r="53" spans="1:12">
      <c r="A53">
        <v>3</v>
      </c>
      <c r="B53" s="183">
        <v>45952</v>
      </c>
      <c r="C53" s="184">
        <v>0.875</v>
      </c>
      <c r="D53" t="s">
        <v>1076</v>
      </c>
      <c r="K53" t="s">
        <v>39</v>
      </c>
      <c r="L53" s="15">
        <v>45952.875</v>
      </c>
    </row>
    <row r="54" spans="1:12">
      <c r="A54">
        <v>3</v>
      </c>
      <c r="B54" s="183">
        <v>45952</v>
      </c>
      <c r="C54" s="184">
        <v>0.875</v>
      </c>
      <c r="D54" t="s">
        <v>1078</v>
      </c>
      <c r="K54" t="s">
        <v>26</v>
      </c>
      <c r="L54" s="15">
        <v>45952.875</v>
      </c>
    </row>
    <row r="55" spans="1:12">
      <c r="A55">
        <v>3</v>
      </c>
      <c r="B55" s="183">
        <v>45952</v>
      </c>
      <c r="C55" s="184">
        <v>0.875</v>
      </c>
      <c r="D55" t="s">
        <v>1080</v>
      </c>
      <c r="K55" t="s">
        <v>1064</v>
      </c>
      <c r="L55" s="15">
        <v>45952.875</v>
      </c>
    </row>
    <row r="56" spans="1:12">
      <c r="A56">
        <v>4</v>
      </c>
      <c r="B56" s="183">
        <v>45965</v>
      </c>
      <c r="C56" s="184">
        <v>0.78125</v>
      </c>
      <c r="D56" t="s">
        <v>43</v>
      </c>
      <c r="K56" t="s">
        <v>23</v>
      </c>
      <c r="L56" s="15">
        <v>45965.78125</v>
      </c>
    </row>
    <row r="57" spans="1:12">
      <c r="A57">
        <v>4</v>
      </c>
      <c r="B57" s="183">
        <v>45965</v>
      </c>
      <c r="C57" s="184">
        <v>0.78125</v>
      </c>
      <c r="D57" t="s">
        <v>1067</v>
      </c>
      <c r="K57" t="s">
        <v>1063</v>
      </c>
      <c r="L57" s="15">
        <v>45965.78125</v>
      </c>
    </row>
    <row r="58" spans="1:12">
      <c r="A58">
        <v>4</v>
      </c>
      <c r="B58" s="183">
        <v>45965</v>
      </c>
      <c r="C58" s="184">
        <v>0.875</v>
      </c>
      <c r="D58" t="s">
        <v>53</v>
      </c>
      <c r="K58" t="s">
        <v>46</v>
      </c>
      <c r="L58" s="15">
        <v>45965.875</v>
      </c>
    </row>
    <row r="59" spans="1:12">
      <c r="A59">
        <v>4</v>
      </c>
      <c r="B59" s="183">
        <v>45965</v>
      </c>
      <c r="C59" s="184">
        <v>0.875</v>
      </c>
      <c r="D59" t="s">
        <v>1069</v>
      </c>
      <c r="K59" t="s">
        <v>1065</v>
      </c>
      <c r="L59" s="15">
        <v>45965.875</v>
      </c>
    </row>
    <row r="60" spans="1:12">
      <c r="A60">
        <v>4</v>
      </c>
      <c r="B60" s="183">
        <v>45965</v>
      </c>
      <c r="C60" s="184">
        <v>0.875</v>
      </c>
      <c r="D60" t="s">
        <v>1070</v>
      </c>
      <c r="K60" t="s">
        <v>56</v>
      </c>
      <c r="L60" s="15">
        <v>45965.875</v>
      </c>
    </row>
    <row r="61" spans="1:12">
      <c r="A61">
        <v>4</v>
      </c>
      <c r="B61" s="183">
        <v>45965</v>
      </c>
      <c r="C61" s="184">
        <v>0.875</v>
      </c>
      <c r="D61" t="s">
        <v>48</v>
      </c>
      <c r="K61" t="s">
        <v>50</v>
      </c>
      <c r="L61" s="15">
        <v>45965.875</v>
      </c>
    </row>
    <row r="62" spans="1:12">
      <c r="A62">
        <v>4</v>
      </c>
      <c r="B62" s="183">
        <v>45965</v>
      </c>
      <c r="C62" s="184">
        <v>0.875</v>
      </c>
      <c r="D62" t="s">
        <v>45</v>
      </c>
      <c r="K62" t="s">
        <v>1068</v>
      </c>
      <c r="L62" s="15">
        <v>45965.875</v>
      </c>
    </row>
    <row r="63" spans="1:12">
      <c r="A63">
        <v>4</v>
      </c>
      <c r="B63" s="183">
        <v>45965</v>
      </c>
      <c r="C63" s="184">
        <v>0.875</v>
      </c>
      <c r="D63" t="s">
        <v>24</v>
      </c>
      <c r="K63" t="s">
        <v>30</v>
      </c>
      <c r="L63" s="15">
        <v>45965.875</v>
      </c>
    </row>
    <row r="64" spans="1:12">
      <c r="A64">
        <v>4</v>
      </c>
      <c r="B64" s="183">
        <v>45965</v>
      </c>
      <c r="C64" s="184">
        <v>0.875</v>
      </c>
      <c r="D64" t="s">
        <v>28</v>
      </c>
      <c r="K64" t="s">
        <v>37</v>
      </c>
      <c r="L64" s="15">
        <v>45965.875</v>
      </c>
    </row>
    <row r="65" spans="1:12">
      <c r="A65">
        <v>4</v>
      </c>
      <c r="B65" s="183">
        <v>45966</v>
      </c>
      <c r="C65" s="184">
        <v>0.78125</v>
      </c>
      <c r="D65" t="s">
        <v>1074</v>
      </c>
      <c r="K65" t="s">
        <v>1071</v>
      </c>
      <c r="L65" s="15">
        <v>45966.78125</v>
      </c>
    </row>
    <row r="66" spans="1:12">
      <c r="A66">
        <v>4</v>
      </c>
      <c r="B66" s="183">
        <v>45966</v>
      </c>
      <c r="C66" s="184">
        <v>0.78125</v>
      </c>
      <c r="D66" t="s">
        <v>58</v>
      </c>
      <c r="K66" t="s">
        <v>27</v>
      </c>
      <c r="L66" s="15">
        <v>45966.78125</v>
      </c>
    </row>
    <row r="67" spans="1:12">
      <c r="A67">
        <v>4</v>
      </c>
      <c r="B67" s="183">
        <v>45966</v>
      </c>
      <c r="C67" s="184">
        <v>0.875</v>
      </c>
      <c r="D67" t="s">
        <v>1077</v>
      </c>
      <c r="K67" t="s">
        <v>1072</v>
      </c>
      <c r="L67" s="15">
        <v>45966.875</v>
      </c>
    </row>
    <row r="68" spans="1:12">
      <c r="A68">
        <v>4</v>
      </c>
      <c r="B68" s="183">
        <v>45966</v>
      </c>
      <c r="C68" s="184">
        <v>0.875</v>
      </c>
      <c r="D68" t="s">
        <v>1079</v>
      </c>
      <c r="K68" t="s">
        <v>47</v>
      </c>
      <c r="L68" s="15">
        <v>45966.875</v>
      </c>
    </row>
    <row r="69" spans="1:12">
      <c r="A69">
        <v>4</v>
      </c>
      <c r="B69" s="183">
        <v>45966</v>
      </c>
      <c r="C69" s="184">
        <v>0.875</v>
      </c>
      <c r="D69" t="s">
        <v>1081</v>
      </c>
      <c r="K69" t="s">
        <v>1073</v>
      </c>
      <c r="L69" s="15">
        <v>45966.875</v>
      </c>
    </row>
    <row r="70" spans="1:12">
      <c r="A70">
        <v>4</v>
      </c>
      <c r="B70" s="183">
        <v>45966</v>
      </c>
      <c r="C70" s="184">
        <v>0.875</v>
      </c>
      <c r="D70" t="s">
        <v>39</v>
      </c>
      <c r="K70" t="s">
        <v>1075</v>
      </c>
      <c r="L70" s="15">
        <v>45966.875</v>
      </c>
    </row>
    <row r="71" spans="1:12">
      <c r="A71">
        <v>4</v>
      </c>
      <c r="B71" s="183">
        <v>45966</v>
      </c>
      <c r="C71" s="184">
        <v>0.875</v>
      </c>
      <c r="D71" t="s">
        <v>26</v>
      </c>
      <c r="K71" t="s">
        <v>1076</v>
      </c>
      <c r="L71" s="15">
        <v>45966.875</v>
      </c>
    </row>
    <row r="72" spans="1:12">
      <c r="A72">
        <v>4</v>
      </c>
      <c r="B72" s="183">
        <v>45966</v>
      </c>
      <c r="C72" s="184">
        <v>0.875</v>
      </c>
      <c r="D72" t="s">
        <v>1064</v>
      </c>
      <c r="K72" t="s">
        <v>1078</v>
      </c>
      <c r="L72" s="15">
        <v>45966.875</v>
      </c>
    </row>
    <row r="73" spans="1:12">
      <c r="A73">
        <v>4</v>
      </c>
      <c r="B73" s="183">
        <v>45966</v>
      </c>
      <c r="C73" s="184">
        <v>0.875</v>
      </c>
      <c r="D73" t="s">
        <v>1066</v>
      </c>
      <c r="K73" t="s">
        <v>1080</v>
      </c>
      <c r="L73" s="15">
        <v>45966.875</v>
      </c>
    </row>
    <row r="74" spans="1:12">
      <c r="A74">
        <v>5</v>
      </c>
      <c r="B74" s="183">
        <v>45986</v>
      </c>
      <c r="C74" s="184">
        <v>0.78125</v>
      </c>
      <c r="D74" t="s">
        <v>23</v>
      </c>
      <c r="K74" t="s">
        <v>1067</v>
      </c>
      <c r="L74" s="15">
        <v>45986.78125</v>
      </c>
    </row>
    <row r="75" spans="1:12">
      <c r="A75">
        <v>5</v>
      </c>
      <c r="B75" s="183">
        <v>45986</v>
      </c>
      <c r="C75" s="184">
        <v>0.78125</v>
      </c>
      <c r="D75" t="s">
        <v>1063</v>
      </c>
      <c r="K75" t="s">
        <v>53</v>
      </c>
      <c r="L75" s="15">
        <v>45986.78125</v>
      </c>
    </row>
    <row r="76" spans="1:12">
      <c r="A76">
        <v>5</v>
      </c>
      <c r="B76" s="183">
        <v>45986</v>
      </c>
      <c r="C76" s="184">
        <v>0.875</v>
      </c>
      <c r="D76" t="s">
        <v>46</v>
      </c>
      <c r="K76" t="s">
        <v>1069</v>
      </c>
      <c r="L76" s="15">
        <v>45986.875</v>
      </c>
    </row>
    <row r="77" spans="1:12">
      <c r="A77">
        <v>5</v>
      </c>
      <c r="B77" s="183">
        <v>45986</v>
      </c>
      <c r="C77" s="184">
        <v>0.875</v>
      </c>
      <c r="D77" t="s">
        <v>1065</v>
      </c>
      <c r="K77" t="s">
        <v>1070</v>
      </c>
      <c r="L77" s="15">
        <v>45986.875</v>
      </c>
    </row>
    <row r="78" spans="1:12">
      <c r="A78">
        <v>5</v>
      </c>
      <c r="B78" s="183">
        <v>45986</v>
      </c>
      <c r="C78" s="184">
        <v>0.875</v>
      </c>
      <c r="D78" t="s">
        <v>56</v>
      </c>
      <c r="K78" t="s">
        <v>48</v>
      </c>
      <c r="L78" s="15">
        <v>45986.875</v>
      </c>
    </row>
    <row r="79" spans="1:12">
      <c r="A79">
        <v>5</v>
      </c>
      <c r="B79" s="183">
        <v>45986</v>
      </c>
      <c r="C79" s="184">
        <v>0.875</v>
      </c>
      <c r="D79" t="s">
        <v>50</v>
      </c>
      <c r="K79" t="s">
        <v>45</v>
      </c>
      <c r="L79" s="15">
        <v>45986.875</v>
      </c>
    </row>
    <row r="80" spans="1:12">
      <c r="A80">
        <v>5</v>
      </c>
      <c r="B80" s="183">
        <v>45986</v>
      </c>
      <c r="C80" s="184">
        <v>0.875</v>
      </c>
      <c r="D80" t="s">
        <v>1068</v>
      </c>
      <c r="K80" t="s">
        <v>24</v>
      </c>
      <c r="L80" s="15">
        <v>45986.875</v>
      </c>
    </row>
    <row r="81" spans="1:12">
      <c r="A81">
        <v>5</v>
      </c>
      <c r="B81" s="183">
        <v>45986</v>
      </c>
      <c r="C81" s="184">
        <v>0.875</v>
      </c>
      <c r="D81" t="s">
        <v>30</v>
      </c>
      <c r="K81" t="s">
        <v>28</v>
      </c>
      <c r="L81" s="15">
        <v>45986.875</v>
      </c>
    </row>
    <row r="82" spans="1:12">
      <c r="A82">
        <v>5</v>
      </c>
      <c r="B82" s="183">
        <v>45986</v>
      </c>
      <c r="C82" s="184">
        <v>0.875</v>
      </c>
      <c r="D82" t="s">
        <v>37</v>
      </c>
      <c r="K82" t="s">
        <v>1074</v>
      </c>
      <c r="L82" s="15">
        <v>45986.875</v>
      </c>
    </row>
    <row r="83" spans="1:12">
      <c r="A83">
        <v>5</v>
      </c>
      <c r="B83" s="183">
        <v>45987</v>
      </c>
      <c r="C83" s="184">
        <v>0.78125</v>
      </c>
      <c r="D83" t="s">
        <v>1071</v>
      </c>
      <c r="K83" t="s">
        <v>58</v>
      </c>
      <c r="L83" s="15">
        <v>45987.78125</v>
      </c>
    </row>
    <row r="84" spans="1:12">
      <c r="A84">
        <v>5</v>
      </c>
      <c r="B84" s="183">
        <v>45987</v>
      </c>
      <c r="C84" s="184">
        <v>0.78125</v>
      </c>
      <c r="D84" t="s">
        <v>27</v>
      </c>
      <c r="K84" t="s">
        <v>1077</v>
      </c>
      <c r="L84" s="15">
        <v>45987.78125</v>
      </c>
    </row>
    <row r="85" spans="1:12">
      <c r="A85">
        <v>5</v>
      </c>
      <c r="B85" s="183">
        <v>45987</v>
      </c>
      <c r="C85" s="184">
        <v>0.875</v>
      </c>
      <c r="D85" t="s">
        <v>1072</v>
      </c>
      <c r="K85" t="s">
        <v>1079</v>
      </c>
      <c r="L85" s="15">
        <v>45987.875</v>
      </c>
    </row>
    <row r="86" spans="1:12">
      <c r="A86">
        <v>5</v>
      </c>
      <c r="B86" s="183">
        <v>45987</v>
      </c>
      <c r="C86" s="184">
        <v>0.875</v>
      </c>
      <c r="D86" t="s">
        <v>47</v>
      </c>
      <c r="K86" t="s">
        <v>1081</v>
      </c>
      <c r="L86" s="15">
        <v>45987.875</v>
      </c>
    </row>
    <row r="87" spans="1:12">
      <c r="A87">
        <v>5</v>
      </c>
      <c r="B87" s="183">
        <v>45987</v>
      </c>
      <c r="C87" s="184">
        <v>0.875</v>
      </c>
      <c r="D87" t="s">
        <v>1073</v>
      </c>
      <c r="K87" t="s">
        <v>39</v>
      </c>
      <c r="L87" s="15">
        <v>45987.875</v>
      </c>
    </row>
    <row r="88" spans="1:12">
      <c r="A88">
        <v>5</v>
      </c>
      <c r="B88" s="183">
        <v>45987</v>
      </c>
      <c r="C88" s="184">
        <v>0.875</v>
      </c>
      <c r="D88" t="s">
        <v>1075</v>
      </c>
      <c r="K88" t="s">
        <v>26</v>
      </c>
      <c r="L88" s="15">
        <v>45987.875</v>
      </c>
    </row>
    <row r="89" spans="1:12">
      <c r="A89">
        <v>5</v>
      </c>
      <c r="B89" s="183">
        <v>45987</v>
      </c>
      <c r="C89" s="184">
        <v>0.875</v>
      </c>
      <c r="D89" t="s">
        <v>1076</v>
      </c>
      <c r="K89" t="s">
        <v>1064</v>
      </c>
      <c r="L89" s="15">
        <v>45987.875</v>
      </c>
    </row>
    <row r="90" spans="1:12">
      <c r="A90">
        <v>5</v>
      </c>
      <c r="B90" s="183">
        <v>45987</v>
      </c>
      <c r="C90" s="184">
        <v>0.875</v>
      </c>
      <c r="D90" t="s">
        <v>1078</v>
      </c>
      <c r="K90" t="s">
        <v>1066</v>
      </c>
      <c r="L90" s="15">
        <v>45987.875</v>
      </c>
    </row>
    <row r="91" spans="1:12">
      <c r="A91">
        <v>5</v>
      </c>
      <c r="B91" s="183">
        <v>45987</v>
      </c>
      <c r="C91" s="184">
        <v>0.875</v>
      </c>
      <c r="D91" t="s">
        <v>1080</v>
      </c>
      <c r="K91" t="s">
        <v>43</v>
      </c>
      <c r="L91" s="15">
        <v>45987.875</v>
      </c>
    </row>
    <row r="92" spans="1:12">
      <c r="A92">
        <v>6</v>
      </c>
      <c r="B92" s="183">
        <v>46000</v>
      </c>
      <c r="C92" s="184">
        <v>0.78125</v>
      </c>
      <c r="D92" t="s">
        <v>53</v>
      </c>
      <c r="K92" t="s">
        <v>23</v>
      </c>
      <c r="L92" s="15">
        <v>46000.78125</v>
      </c>
    </row>
    <row r="93" spans="1:12">
      <c r="A93">
        <v>6</v>
      </c>
      <c r="B93" s="183">
        <v>46000</v>
      </c>
      <c r="C93" s="184">
        <v>0.78125</v>
      </c>
      <c r="D93" t="s">
        <v>1069</v>
      </c>
      <c r="K93" t="s">
        <v>1063</v>
      </c>
      <c r="L93" s="15">
        <v>46000.78125</v>
      </c>
    </row>
    <row r="94" spans="1:12">
      <c r="A94">
        <v>6</v>
      </c>
      <c r="B94" s="183">
        <v>46000</v>
      </c>
      <c r="C94" s="184">
        <v>0.875</v>
      </c>
      <c r="D94" t="s">
        <v>1070</v>
      </c>
      <c r="K94" t="s">
        <v>46</v>
      </c>
      <c r="L94" s="15">
        <v>46000.875</v>
      </c>
    </row>
    <row r="95" spans="1:12">
      <c r="A95">
        <v>6</v>
      </c>
      <c r="B95" s="183">
        <v>46000</v>
      </c>
      <c r="C95" s="184">
        <v>0.875</v>
      </c>
      <c r="D95" t="s">
        <v>48</v>
      </c>
      <c r="K95" t="s">
        <v>1065</v>
      </c>
      <c r="L95" s="15">
        <v>46000.875</v>
      </c>
    </row>
    <row r="96" spans="1:12">
      <c r="A96">
        <v>6</v>
      </c>
      <c r="B96" s="183">
        <v>46000</v>
      </c>
      <c r="C96" s="184">
        <v>0.875</v>
      </c>
      <c r="D96" t="s">
        <v>45</v>
      </c>
      <c r="K96" t="s">
        <v>56</v>
      </c>
      <c r="L96" s="15">
        <v>46000.875</v>
      </c>
    </row>
    <row r="97" spans="1:12">
      <c r="A97">
        <v>6</v>
      </c>
      <c r="B97" s="183">
        <v>46000</v>
      </c>
      <c r="C97" s="184">
        <v>0.875</v>
      </c>
      <c r="D97" t="s">
        <v>24</v>
      </c>
      <c r="K97" t="s">
        <v>50</v>
      </c>
      <c r="L97" s="15">
        <v>46000.875</v>
      </c>
    </row>
    <row r="98" spans="1:12">
      <c r="A98">
        <v>6</v>
      </c>
      <c r="B98" s="183">
        <v>46000</v>
      </c>
      <c r="C98" s="184">
        <v>0.875</v>
      </c>
      <c r="D98" t="s">
        <v>28</v>
      </c>
      <c r="K98" t="s">
        <v>1068</v>
      </c>
      <c r="L98" s="15">
        <v>46000.875</v>
      </c>
    </row>
    <row r="99" spans="1:12">
      <c r="A99">
        <v>6</v>
      </c>
      <c r="B99" s="183">
        <v>46000</v>
      </c>
      <c r="C99" s="184">
        <v>0.875</v>
      </c>
      <c r="D99" t="s">
        <v>1074</v>
      </c>
      <c r="K99" t="s">
        <v>30</v>
      </c>
      <c r="L99" s="15">
        <v>46000.875</v>
      </c>
    </row>
    <row r="100" spans="1:12">
      <c r="A100">
        <v>6</v>
      </c>
      <c r="B100" s="183">
        <v>46000</v>
      </c>
      <c r="C100" s="184">
        <v>0.875</v>
      </c>
      <c r="D100" t="s">
        <v>58</v>
      </c>
      <c r="K100" t="s">
        <v>37</v>
      </c>
      <c r="L100" s="15">
        <v>46000.875</v>
      </c>
    </row>
    <row r="101" spans="1:12">
      <c r="A101">
        <v>6</v>
      </c>
      <c r="B101" s="183">
        <v>46001</v>
      </c>
      <c r="C101" s="184">
        <v>0.78125</v>
      </c>
      <c r="D101" t="s">
        <v>1077</v>
      </c>
      <c r="K101" t="s">
        <v>1071</v>
      </c>
      <c r="L101" s="15">
        <v>46001.78125</v>
      </c>
    </row>
    <row r="102" spans="1:12">
      <c r="A102">
        <v>6</v>
      </c>
      <c r="B102" s="183">
        <v>46001</v>
      </c>
      <c r="C102" s="184">
        <v>0.78125</v>
      </c>
      <c r="D102" t="s">
        <v>1079</v>
      </c>
      <c r="K102" t="s">
        <v>27</v>
      </c>
      <c r="L102" s="15">
        <v>46001.78125</v>
      </c>
    </row>
    <row r="103" spans="1:12">
      <c r="A103">
        <v>6</v>
      </c>
      <c r="B103" s="183">
        <v>46001</v>
      </c>
      <c r="C103" s="184">
        <v>0.875</v>
      </c>
      <c r="D103" t="s">
        <v>1081</v>
      </c>
      <c r="K103" t="s">
        <v>1072</v>
      </c>
      <c r="L103" s="15">
        <v>46001.875</v>
      </c>
    </row>
    <row r="104" spans="1:12">
      <c r="A104">
        <v>6</v>
      </c>
      <c r="B104" s="183">
        <v>46001</v>
      </c>
      <c r="C104" s="184">
        <v>0.875</v>
      </c>
      <c r="D104" t="s">
        <v>39</v>
      </c>
      <c r="K104" t="s">
        <v>47</v>
      </c>
      <c r="L104" s="15">
        <v>46001.875</v>
      </c>
    </row>
    <row r="105" spans="1:12">
      <c r="A105">
        <v>6</v>
      </c>
      <c r="B105" s="183">
        <v>46001</v>
      </c>
      <c r="C105" s="184">
        <v>0.875</v>
      </c>
      <c r="D105" t="s">
        <v>26</v>
      </c>
      <c r="K105" t="s">
        <v>1073</v>
      </c>
      <c r="L105" s="15">
        <v>46001.875</v>
      </c>
    </row>
    <row r="106" spans="1:12">
      <c r="A106">
        <v>6</v>
      </c>
      <c r="B106" s="183">
        <v>46001</v>
      </c>
      <c r="C106" s="184">
        <v>0.875</v>
      </c>
      <c r="D106" t="s">
        <v>1064</v>
      </c>
      <c r="K106" t="s">
        <v>1075</v>
      </c>
      <c r="L106" s="15">
        <v>46001.875</v>
      </c>
    </row>
    <row r="107" spans="1:12">
      <c r="A107">
        <v>6</v>
      </c>
      <c r="B107" s="183">
        <v>46001</v>
      </c>
      <c r="C107" s="184">
        <v>0.875</v>
      </c>
      <c r="D107" t="s">
        <v>1066</v>
      </c>
      <c r="K107" t="s">
        <v>1076</v>
      </c>
      <c r="L107" s="15">
        <v>46001.875</v>
      </c>
    </row>
    <row r="108" spans="1:12">
      <c r="A108">
        <v>6</v>
      </c>
      <c r="B108" s="183">
        <v>46001</v>
      </c>
      <c r="C108" s="184">
        <v>0.875</v>
      </c>
      <c r="D108" t="s">
        <v>43</v>
      </c>
      <c r="K108" t="s">
        <v>1078</v>
      </c>
      <c r="L108" s="15">
        <v>46001.875</v>
      </c>
    </row>
    <row r="109" spans="1:12">
      <c r="A109">
        <v>6</v>
      </c>
      <c r="B109" s="183">
        <v>46001</v>
      </c>
      <c r="C109" s="184">
        <v>0.875</v>
      </c>
      <c r="D109" t="s">
        <v>1067</v>
      </c>
      <c r="K109" t="s">
        <v>1080</v>
      </c>
      <c r="L109" s="15">
        <v>46001.875</v>
      </c>
    </row>
    <row r="110" spans="1:12">
      <c r="A110">
        <v>7</v>
      </c>
      <c r="B110" s="183">
        <v>46042</v>
      </c>
      <c r="C110" s="184">
        <v>0.78125</v>
      </c>
      <c r="D110" t="s">
        <v>23</v>
      </c>
      <c r="K110" t="s">
        <v>1069</v>
      </c>
      <c r="L110" s="15">
        <v>46042.78125</v>
      </c>
    </row>
    <row r="111" spans="1:12">
      <c r="A111">
        <v>7</v>
      </c>
      <c r="B111" s="183">
        <v>46042</v>
      </c>
      <c r="C111" s="184">
        <v>0.78125</v>
      </c>
      <c r="D111" t="s">
        <v>1063</v>
      </c>
      <c r="K111" t="s">
        <v>1070</v>
      </c>
      <c r="L111" s="15">
        <v>46042.78125</v>
      </c>
    </row>
    <row r="112" spans="1:12">
      <c r="A112">
        <v>7</v>
      </c>
      <c r="B112" s="183">
        <v>46042</v>
      </c>
      <c r="C112" s="184">
        <v>0.875</v>
      </c>
      <c r="D112" t="s">
        <v>46</v>
      </c>
      <c r="K112" t="s">
        <v>48</v>
      </c>
      <c r="L112" s="15">
        <v>46042.875</v>
      </c>
    </row>
    <row r="113" spans="1:12">
      <c r="A113">
        <v>7</v>
      </c>
      <c r="B113" s="183">
        <v>46042</v>
      </c>
      <c r="C113" s="184">
        <v>0.875</v>
      </c>
      <c r="D113" t="s">
        <v>1065</v>
      </c>
      <c r="K113" t="s">
        <v>45</v>
      </c>
      <c r="L113" s="15">
        <v>46042.875</v>
      </c>
    </row>
    <row r="114" spans="1:12">
      <c r="A114">
        <v>7</v>
      </c>
      <c r="B114" s="183">
        <v>46042</v>
      </c>
      <c r="C114" s="184">
        <v>0.875</v>
      </c>
      <c r="D114" t="s">
        <v>56</v>
      </c>
      <c r="K114" t="s">
        <v>24</v>
      </c>
      <c r="L114" s="15">
        <v>46042.875</v>
      </c>
    </row>
    <row r="115" spans="1:12">
      <c r="A115">
        <v>7</v>
      </c>
      <c r="B115" s="183">
        <v>46042</v>
      </c>
      <c r="C115" s="184">
        <v>0.875</v>
      </c>
      <c r="D115" t="s">
        <v>50</v>
      </c>
      <c r="K115" t="s">
        <v>28</v>
      </c>
      <c r="L115" s="15">
        <v>46042.875</v>
      </c>
    </row>
    <row r="116" spans="1:12">
      <c r="A116">
        <v>7</v>
      </c>
      <c r="B116" s="183">
        <v>46042</v>
      </c>
      <c r="C116" s="184">
        <v>0.875</v>
      </c>
      <c r="D116" t="s">
        <v>1068</v>
      </c>
      <c r="K116" t="s">
        <v>1074</v>
      </c>
      <c r="L116" s="15">
        <v>46042.875</v>
      </c>
    </row>
    <row r="117" spans="1:12">
      <c r="A117">
        <v>7</v>
      </c>
      <c r="B117" s="183">
        <v>46042</v>
      </c>
      <c r="C117" s="184">
        <v>0.875</v>
      </c>
      <c r="D117" t="s">
        <v>30</v>
      </c>
      <c r="K117" t="s">
        <v>58</v>
      </c>
      <c r="L117" s="15">
        <v>46042.875</v>
      </c>
    </row>
    <row r="118" spans="1:12">
      <c r="A118">
        <v>7</v>
      </c>
      <c r="B118" s="183">
        <v>46042</v>
      </c>
      <c r="C118" s="184">
        <v>0.875</v>
      </c>
      <c r="D118" t="s">
        <v>37</v>
      </c>
      <c r="K118" t="s">
        <v>1077</v>
      </c>
      <c r="L118" s="15">
        <v>46042.875</v>
      </c>
    </row>
    <row r="119" spans="1:12">
      <c r="A119">
        <v>7</v>
      </c>
      <c r="B119" s="183">
        <v>46043</v>
      </c>
      <c r="C119" s="184">
        <v>0.78125</v>
      </c>
      <c r="D119" t="s">
        <v>1071</v>
      </c>
      <c r="K119" t="s">
        <v>1079</v>
      </c>
      <c r="L119" s="15">
        <v>46043.78125</v>
      </c>
    </row>
    <row r="120" spans="1:12">
      <c r="A120">
        <v>7</v>
      </c>
      <c r="B120" s="183">
        <v>46043</v>
      </c>
      <c r="C120" s="184">
        <v>0.78125</v>
      </c>
      <c r="D120" t="s">
        <v>27</v>
      </c>
      <c r="K120" t="s">
        <v>1081</v>
      </c>
      <c r="L120" s="15">
        <v>46043.78125</v>
      </c>
    </row>
    <row r="121" spans="1:12">
      <c r="A121">
        <v>7</v>
      </c>
      <c r="B121" s="183">
        <v>46043</v>
      </c>
      <c r="C121" s="184">
        <v>0.875</v>
      </c>
      <c r="D121" t="s">
        <v>1072</v>
      </c>
      <c r="K121" t="s">
        <v>39</v>
      </c>
      <c r="L121" s="15">
        <v>46043.875</v>
      </c>
    </row>
    <row r="122" spans="1:12">
      <c r="A122">
        <v>7</v>
      </c>
      <c r="B122" s="183">
        <v>46043</v>
      </c>
      <c r="C122" s="184">
        <v>0.875</v>
      </c>
      <c r="D122" t="s">
        <v>47</v>
      </c>
      <c r="K122" t="s">
        <v>26</v>
      </c>
      <c r="L122" s="15">
        <v>46043.875</v>
      </c>
    </row>
    <row r="123" spans="1:12">
      <c r="A123">
        <v>7</v>
      </c>
      <c r="B123" s="183">
        <v>46043</v>
      </c>
      <c r="C123" s="184">
        <v>0.875</v>
      </c>
      <c r="D123" t="s">
        <v>1073</v>
      </c>
      <c r="K123" t="s">
        <v>1064</v>
      </c>
      <c r="L123" s="15">
        <v>46043.875</v>
      </c>
    </row>
    <row r="124" spans="1:12">
      <c r="A124">
        <v>7</v>
      </c>
      <c r="B124" s="183">
        <v>46043</v>
      </c>
      <c r="C124" s="184">
        <v>0.875</v>
      </c>
      <c r="D124" t="s">
        <v>1075</v>
      </c>
      <c r="K124" t="s">
        <v>1066</v>
      </c>
      <c r="L124" s="15">
        <v>46043.875</v>
      </c>
    </row>
    <row r="125" spans="1:12">
      <c r="A125">
        <v>7</v>
      </c>
      <c r="B125" s="183">
        <v>46043</v>
      </c>
      <c r="C125" s="184">
        <v>0.875</v>
      </c>
      <c r="D125" t="s">
        <v>1076</v>
      </c>
      <c r="K125" t="s">
        <v>43</v>
      </c>
      <c r="L125" s="15">
        <v>46043.875</v>
      </c>
    </row>
    <row r="126" spans="1:12">
      <c r="A126">
        <v>7</v>
      </c>
      <c r="B126" s="183">
        <v>46043</v>
      </c>
      <c r="C126" s="184">
        <v>0.875</v>
      </c>
      <c r="D126" t="s">
        <v>1078</v>
      </c>
      <c r="K126" t="s">
        <v>1067</v>
      </c>
      <c r="L126" s="15">
        <v>46043.875</v>
      </c>
    </row>
    <row r="127" spans="1:12">
      <c r="A127">
        <v>7</v>
      </c>
      <c r="B127" s="183">
        <v>46043</v>
      </c>
      <c r="C127" s="184">
        <v>0.875</v>
      </c>
      <c r="D127" t="s">
        <v>1080</v>
      </c>
      <c r="K127" t="s">
        <v>53</v>
      </c>
      <c r="L127" s="15">
        <v>46043.875</v>
      </c>
    </row>
    <row r="128" spans="1:12">
      <c r="A128">
        <v>8</v>
      </c>
      <c r="B128" s="183">
        <v>46050</v>
      </c>
      <c r="C128" s="184">
        <v>0.875</v>
      </c>
      <c r="D128" t="s">
        <v>1070</v>
      </c>
      <c r="K128" t="s">
        <v>23</v>
      </c>
      <c r="L128" s="15">
        <v>46050.875</v>
      </c>
    </row>
    <row r="129" spans="1:12">
      <c r="A129">
        <v>8</v>
      </c>
      <c r="B129" s="183">
        <v>46050</v>
      </c>
      <c r="C129" s="184">
        <v>0.875</v>
      </c>
      <c r="D129" t="s">
        <v>48</v>
      </c>
      <c r="K129" t="s">
        <v>1063</v>
      </c>
      <c r="L129" s="15">
        <v>46050.875</v>
      </c>
    </row>
    <row r="130" spans="1:12">
      <c r="A130">
        <v>8</v>
      </c>
      <c r="B130" s="183">
        <v>46050</v>
      </c>
      <c r="C130" s="184">
        <v>0.875</v>
      </c>
      <c r="D130" t="s">
        <v>45</v>
      </c>
      <c r="K130" t="s">
        <v>46</v>
      </c>
      <c r="L130" s="15">
        <v>46050.875</v>
      </c>
    </row>
    <row r="131" spans="1:12">
      <c r="A131">
        <v>8</v>
      </c>
      <c r="B131" s="183">
        <v>46050</v>
      </c>
      <c r="C131" s="184">
        <v>0.875</v>
      </c>
      <c r="D131" t="s">
        <v>24</v>
      </c>
      <c r="K131" t="s">
        <v>1065</v>
      </c>
      <c r="L131" s="15">
        <v>46050.875</v>
      </c>
    </row>
    <row r="132" spans="1:12">
      <c r="A132">
        <v>8</v>
      </c>
      <c r="B132" s="183">
        <v>46050</v>
      </c>
      <c r="C132" s="184">
        <v>0.875</v>
      </c>
      <c r="D132" t="s">
        <v>28</v>
      </c>
      <c r="K132" t="s">
        <v>56</v>
      </c>
      <c r="L132" s="15">
        <v>46050.875</v>
      </c>
    </row>
    <row r="133" spans="1:12">
      <c r="A133">
        <v>8</v>
      </c>
      <c r="B133" s="183">
        <v>46050</v>
      </c>
      <c r="C133" s="184">
        <v>0.875</v>
      </c>
      <c r="D133" t="s">
        <v>1074</v>
      </c>
      <c r="K133" t="s">
        <v>50</v>
      </c>
      <c r="L133" s="15">
        <v>46050.875</v>
      </c>
    </row>
    <row r="134" spans="1:12">
      <c r="A134">
        <v>8</v>
      </c>
      <c r="B134" s="183">
        <v>46050</v>
      </c>
      <c r="C134" s="184">
        <v>0.875</v>
      </c>
      <c r="D134" t="s">
        <v>58</v>
      </c>
      <c r="K134" t="s">
        <v>1068</v>
      </c>
      <c r="L134" s="15">
        <v>46050.875</v>
      </c>
    </row>
    <row r="135" spans="1:12">
      <c r="A135">
        <v>8</v>
      </c>
      <c r="B135" s="183">
        <v>46050</v>
      </c>
      <c r="C135" s="184">
        <v>0.875</v>
      </c>
      <c r="D135" t="s">
        <v>1077</v>
      </c>
      <c r="K135" t="s">
        <v>30</v>
      </c>
      <c r="L135" s="15">
        <v>46050.875</v>
      </c>
    </row>
    <row r="136" spans="1:12">
      <c r="A136">
        <v>8</v>
      </c>
      <c r="B136" s="183">
        <v>46050</v>
      </c>
      <c r="C136" s="184">
        <v>0.875</v>
      </c>
      <c r="D136" t="s">
        <v>1079</v>
      </c>
      <c r="K136" t="s">
        <v>37</v>
      </c>
      <c r="L136" s="15">
        <v>46050.875</v>
      </c>
    </row>
    <row r="137" spans="1:12">
      <c r="A137">
        <v>8</v>
      </c>
      <c r="B137" s="183">
        <v>46050</v>
      </c>
      <c r="C137" s="184">
        <v>0.875</v>
      </c>
      <c r="D137" t="s">
        <v>1081</v>
      </c>
      <c r="K137" t="s">
        <v>1071</v>
      </c>
      <c r="L137" s="15">
        <v>46050.875</v>
      </c>
    </row>
    <row r="138" spans="1:12">
      <c r="A138">
        <v>8</v>
      </c>
      <c r="B138" s="183">
        <v>46050</v>
      </c>
      <c r="C138" s="184">
        <v>0.875</v>
      </c>
      <c r="D138" t="s">
        <v>39</v>
      </c>
      <c r="K138" t="s">
        <v>27</v>
      </c>
      <c r="L138" s="15">
        <v>46050.875</v>
      </c>
    </row>
    <row r="139" spans="1:12">
      <c r="A139">
        <v>8</v>
      </c>
      <c r="B139" s="183">
        <v>46050</v>
      </c>
      <c r="C139" s="184">
        <v>0.875</v>
      </c>
      <c r="D139" t="s">
        <v>26</v>
      </c>
      <c r="K139" t="s">
        <v>1072</v>
      </c>
      <c r="L139" s="15">
        <v>46050.875</v>
      </c>
    </row>
    <row r="140" spans="1:12">
      <c r="A140">
        <v>8</v>
      </c>
      <c r="B140" s="183">
        <v>46050</v>
      </c>
      <c r="C140" s="184">
        <v>0.875</v>
      </c>
      <c r="D140" t="s">
        <v>1064</v>
      </c>
      <c r="K140" t="s">
        <v>47</v>
      </c>
      <c r="L140" s="15">
        <v>46050.875</v>
      </c>
    </row>
    <row r="141" spans="1:12">
      <c r="A141">
        <v>8</v>
      </c>
      <c r="B141" s="183">
        <v>46050</v>
      </c>
      <c r="C141" s="184">
        <v>0.875</v>
      </c>
      <c r="D141" t="s">
        <v>1066</v>
      </c>
      <c r="K141" t="s">
        <v>1073</v>
      </c>
      <c r="L141" s="15">
        <v>46050.875</v>
      </c>
    </row>
    <row r="142" spans="1:12">
      <c r="A142">
        <v>8</v>
      </c>
      <c r="B142" s="183">
        <v>46050</v>
      </c>
      <c r="C142" s="184">
        <v>0.875</v>
      </c>
      <c r="D142" t="s">
        <v>43</v>
      </c>
      <c r="K142" t="s">
        <v>1075</v>
      </c>
      <c r="L142" s="15">
        <v>46050.875</v>
      </c>
    </row>
    <row r="143" spans="1:12">
      <c r="A143">
        <v>8</v>
      </c>
      <c r="B143" s="183">
        <v>46050</v>
      </c>
      <c r="C143" s="184">
        <v>0.875</v>
      </c>
      <c r="D143" t="s">
        <v>1067</v>
      </c>
      <c r="K143" t="s">
        <v>1076</v>
      </c>
      <c r="L143" s="15">
        <v>46050.875</v>
      </c>
    </row>
    <row r="144" spans="1:12">
      <c r="A144">
        <v>8</v>
      </c>
      <c r="B144" s="183">
        <v>46050</v>
      </c>
      <c r="C144" s="184">
        <v>0.875</v>
      </c>
      <c r="D144" t="s">
        <v>53</v>
      </c>
      <c r="K144" t="s">
        <v>1078</v>
      </c>
      <c r="L144" s="15">
        <v>46050.875</v>
      </c>
    </row>
    <row r="145" spans="1:12">
      <c r="A145">
        <v>8</v>
      </c>
      <c r="B145" s="183">
        <v>46050</v>
      </c>
      <c r="C145" s="184">
        <v>0.875</v>
      </c>
      <c r="D145" t="s">
        <v>1069</v>
      </c>
      <c r="K145" t="s">
        <v>1080</v>
      </c>
      <c r="L145" s="15">
        <v>46050.875</v>
      </c>
    </row>
    <row r="146" spans="1:12">
      <c r="B146" s="183"/>
      <c r="C146" s="184"/>
      <c r="L146" s="15"/>
    </row>
    <row r="147" spans="1:12">
      <c r="A147" t="s">
        <v>1082</v>
      </c>
      <c r="B147" s="183"/>
      <c r="C147" s="184"/>
      <c r="D147" t="s">
        <v>343</v>
      </c>
      <c r="E147" t="s">
        <v>16</v>
      </c>
      <c r="F147" t="s">
        <v>17</v>
      </c>
      <c r="G147" t="s">
        <v>346</v>
      </c>
      <c r="H147" t="s">
        <v>346</v>
      </c>
      <c r="I147" t="s">
        <v>17</v>
      </c>
      <c r="J147" t="s">
        <v>16</v>
      </c>
      <c r="K147" t="s">
        <v>349</v>
      </c>
      <c r="L147" s="15"/>
    </row>
    <row r="148" spans="1:12">
      <c r="A148" t="s">
        <v>78</v>
      </c>
      <c r="B148" s="183">
        <v>46070</v>
      </c>
      <c r="C148" s="184">
        <v>0.875</v>
      </c>
      <c r="D148" t="s">
        <v>122</v>
      </c>
      <c r="K148" t="s">
        <v>123</v>
      </c>
      <c r="L148" s="15">
        <v>46070.875</v>
      </c>
    </row>
    <row r="149" spans="1:12">
      <c r="A149" t="s">
        <v>78</v>
      </c>
      <c r="B149" s="183">
        <v>46078</v>
      </c>
      <c r="C149" s="184">
        <v>0.875</v>
      </c>
      <c r="D149" t="s">
        <v>123</v>
      </c>
      <c r="K149" t="s">
        <v>122</v>
      </c>
      <c r="L149" s="15">
        <v>46078.875</v>
      </c>
    </row>
    <row r="150" spans="1:12">
      <c r="A150" t="s">
        <v>79</v>
      </c>
      <c r="B150" s="183">
        <v>46070</v>
      </c>
      <c r="C150" s="184">
        <v>0.875</v>
      </c>
      <c r="D150" t="s">
        <v>125</v>
      </c>
      <c r="K150" t="s">
        <v>126</v>
      </c>
      <c r="L150" s="15">
        <v>46070.875</v>
      </c>
    </row>
    <row r="151" spans="1:12">
      <c r="A151" t="s">
        <v>79</v>
      </c>
      <c r="B151" s="183">
        <v>46078</v>
      </c>
      <c r="C151" s="184">
        <v>0.875</v>
      </c>
      <c r="D151" t="s">
        <v>126</v>
      </c>
      <c r="K151" t="s">
        <v>125</v>
      </c>
      <c r="L151" s="15">
        <v>46078.875</v>
      </c>
    </row>
    <row r="152" spans="1:12">
      <c r="A152" t="s">
        <v>80</v>
      </c>
      <c r="B152" s="183">
        <v>46070</v>
      </c>
      <c r="C152" s="184">
        <v>0.875</v>
      </c>
      <c r="D152" t="s">
        <v>118</v>
      </c>
      <c r="K152" t="s">
        <v>120</v>
      </c>
      <c r="L152" s="15">
        <v>46070.875</v>
      </c>
    </row>
    <row r="153" spans="1:12">
      <c r="A153" t="s">
        <v>80</v>
      </c>
      <c r="B153" s="183">
        <v>46078</v>
      </c>
      <c r="C153" s="184">
        <v>0.875</v>
      </c>
      <c r="D153" t="s">
        <v>120</v>
      </c>
      <c r="K153" t="s">
        <v>118</v>
      </c>
      <c r="L153" s="15">
        <v>46078.875</v>
      </c>
    </row>
    <row r="154" spans="1:12">
      <c r="A154" t="s">
        <v>81</v>
      </c>
      <c r="B154" s="183">
        <v>46070</v>
      </c>
      <c r="C154" s="184">
        <v>0.875</v>
      </c>
      <c r="D154" t="s">
        <v>114</v>
      </c>
      <c r="K154" t="s">
        <v>115</v>
      </c>
      <c r="L154" s="15">
        <v>46070.875</v>
      </c>
    </row>
    <row r="155" spans="1:12">
      <c r="A155" t="s">
        <v>81</v>
      </c>
      <c r="B155" s="183">
        <v>46078</v>
      </c>
      <c r="C155" s="184">
        <v>0.875</v>
      </c>
      <c r="D155" t="s">
        <v>115</v>
      </c>
      <c r="K155" t="s">
        <v>114</v>
      </c>
      <c r="L155" s="15">
        <v>46078.875</v>
      </c>
    </row>
    <row r="156" spans="1:12">
      <c r="A156" t="s">
        <v>82</v>
      </c>
      <c r="B156" s="183">
        <v>46071</v>
      </c>
      <c r="C156" s="184">
        <v>0.875</v>
      </c>
      <c r="D156" t="s">
        <v>132</v>
      </c>
      <c r="K156" t="s">
        <v>133</v>
      </c>
      <c r="L156" s="15">
        <v>46071.875</v>
      </c>
    </row>
    <row r="157" spans="1:12">
      <c r="A157" t="s">
        <v>82</v>
      </c>
      <c r="B157" s="183">
        <v>46077</v>
      </c>
      <c r="C157" s="184">
        <v>0.875</v>
      </c>
      <c r="D157" t="s">
        <v>133</v>
      </c>
      <c r="K157" t="s">
        <v>132</v>
      </c>
      <c r="L157" s="15">
        <v>46077.875</v>
      </c>
    </row>
    <row r="158" spans="1:12">
      <c r="A158" t="s">
        <v>83</v>
      </c>
      <c r="B158" s="183">
        <v>46071</v>
      </c>
      <c r="C158" s="184">
        <v>0.875</v>
      </c>
      <c r="D158" t="s">
        <v>128</v>
      </c>
      <c r="K158" t="s">
        <v>129</v>
      </c>
      <c r="L158" s="15">
        <v>46071.875</v>
      </c>
    </row>
    <row r="159" spans="1:12">
      <c r="A159" t="s">
        <v>83</v>
      </c>
      <c r="B159" s="183">
        <v>46077</v>
      </c>
      <c r="C159" s="184">
        <v>0.875</v>
      </c>
      <c r="D159" t="s">
        <v>129</v>
      </c>
      <c r="K159" t="s">
        <v>128</v>
      </c>
      <c r="L159" s="15">
        <v>46077.875</v>
      </c>
    </row>
    <row r="160" spans="1:12">
      <c r="A160" t="s">
        <v>84</v>
      </c>
      <c r="B160" s="183">
        <v>46071</v>
      </c>
      <c r="C160" s="184">
        <v>0.875</v>
      </c>
      <c r="D160" t="s">
        <v>135</v>
      </c>
      <c r="K160" t="s">
        <v>136</v>
      </c>
      <c r="L160" s="15">
        <v>46071.875</v>
      </c>
    </row>
    <row r="161" spans="1:12">
      <c r="A161" t="s">
        <v>84</v>
      </c>
      <c r="B161" s="183">
        <v>46077</v>
      </c>
      <c r="C161" s="184">
        <v>0.875</v>
      </c>
      <c r="D161" t="s">
        <v>136</v>
      </c>
      <c r="K161" t="s">
        <v>135</v>
      </c>
      <c r="L161" s="15">
        <v>46077.875</v>
      </c>
    </row>
    <row r="162" spans="1:12">
      <c r="A162" t="s">
        <v>85</v>
      </c>
      <c r="B162" s="183">
        <v>46071</v>
      </c>
      <c r="C162" s="184">
        <v>0.875</v>
      </c>
      <c r="D162" t="s">
        <v>138</v>
      </c>
      <c r="K162" t="s">
        <v>139</v>
      </c>
      <c r="L162" s="15">
        <v>46071.875</v>
      </c>
    </row>
    <row r="163" spans="1:12">
      <c r="A163" t="s">
        <v>85</v>
      </c>
      <c r="B163" s="183">
        <v>46077</v>
      </c>
      <c r="C163" s="184">
        <v>0.875</v>
      </c>
      <c r="D163" t="s">
        <v>139</v>
      </c>
      <c r="K163" t="s">
        <v>138</v>
      </c>
      <c r="L163" s="15">
        <v>46077.875</v>
      </c>
    </row>
    <row r="164" spans="1:12">
      <c r="B164" s="183"/>
      <c r="C164" s="184"/>
      <c r="L164" s="15"/>
    </row>
    <row r="165" spans="1:12">
      <c r="A165" t="s">
        <v>364</v>
      </c>
      <c r="B165" s="183"/>
      <c r="C165" s="184"/>
      <c r="D165" t="s">
        <v>343</v>
      </c>
      <c r="E165" t="s">
        <v>16</v>
      </c>
      <c r="F165" t="s">
        <v>17</v>
      </c>
      <c r="G165" t="s">
        <v>346</v>
      </c>
      <c r="H165" t="s">
        <v>346</v>
      </c>
      <c r="I165" t="s">
        <v>17</v>
      </c>
      <c r="J165" t="s">
        <v>16</v>
      </c>
      <c r="K165" t="s">
        <v>349</v>
      </c>
      <c r="L165" s="15"/>
    </row>
    <row r="166" spans="1:12">
      <c r="A166" t="s">
        <v>86</v>
      </c>
      <c r="B166" s="183">
        <v>46091</v>
      </c>
      <c r="C166" s="184">
        <v>0.875</v>
      </c>
      <c r="D166" t="s">
        <v>1083</v>
      </c>
      <c r="K166" t="s">
        <v>124</v>
      </c>
      <c r="L166" s="15">
        <v>46091.875</v>
      </c>
    </row>
    <row r="167" spans="1:12">
      <c r="A167" t="s">
        <v>86</v>
      </c>
      <c r="B167" s="183">
        <v>46099</v>
      </c>
      <c r="C167" s="184">
        <v>0.875</v>
      </c>
      <c r="D167" t="s">
        <v>124</v>
      </c>
      <c r="K167" t="s">
        <v>1083</v>
      </c>
      <c r="L167" s="15">
        <v>46099.875</v>
      </c>
    </row>
    <row r="168" spans="1:12">
      <c r="A168" t="s">
        <v>87</v>
      </c>
      <c r="B168" s="183">
        <v>46091</v>
      </c>
      <c r="C168" s="184">
        <v>0.875</v>
      </c>
      <c r="D168" t="s">
        <v>1084</v>
      </c>
      <c r="K168" t="s">
        <v>127</v>
      </c>
      <c r="L168" s="15">
        <v>46091.875</v>
      </c>
    </row>
    <row r="169" spans="1:12">
      <c r="A169" t="s">
        <v>87</v>
      </c>
      <c r="B169" s="183">
        <v>46099</v>
      </c>
      <c r="C169" s="184">
        <v>0.875</v>
      </c>
      <c r="D169" t="s">
        <v>127</v>
      </c>
      <c r="K169" t="s">
        <v>1084</v>
      </c>
      <c r="L169" s="15">
        <v>46099.875</v>
      </c>
    </row>
    <row r="170" spans="1:12">
      <c r="A170" t="s">
        <v>88</v>
      </c>
      <c r="B170" s="183">
        <v>46091</v>
      </c>
      <c r="C170" s="184">
        <v>0.875</v>
      </c>
      <c r="D170" t="s">
        <v>1085</v>
      </c>
      <c r="K170" t="s">
        <v>121</v>
      </c>
      <c r="L170" s="15">
        <v>46091.875</v>
      </c>
    </row>
    <row r="171" spans="1:12">
      <c r="A171" t="s">
        <v>88</v>
      </c>
      <c r="B171" s="183">
        <v>46099</v>
      </c>
      <c r="C171" s="184">
        <v>0.875</v>
      </c>
      <c r="D171" t="s">
        <v>121</v>
      </c>
      <c r="K171" t="s">
        <v>1085</v>
      </c>
      <c r="L171" s="15">
        <v>46099.875</v>
      </c>
    </row>
    <row r="172" spans="1:12">
      <c r="A172" t="s">
        <v>89</v>
      </c>
      <c r="B172" s="183">
        <v>46091</v>
      </c>
      <c r="C172" s="184">
        <v>0.875</v>
      </c>
      <c r="D172" t="s">
        <v>1086</v>
      </c>
      <c r="K172" t="s">
        <v>116</v>
      </c>
      <c r="L172" s="15">
        <v>46091.875</v>
      </c>
    </row>
    <row r="173" spans="1:12">
      <c r="A173" t="s">
        <v>89</v>
      </c>
      <c r="B173" s="183">
        <v>46099</v>
      </c>
      <c r="C173" s="184">
        <v>0.875</v>
      </c>
      <c r="D173" t="s">
        <v>116</v>
      </c>
      <c r="K173" t="s">
        <v>1086</v>
      </c>
      <c r="L173" s="15">
        <v>46099.875</v>
      </c>
    </row>
    <row r="174" spans="1:12">
      <c r="A174" t="s">
        <v>90</v>
      </c>
      <c r="B174" s="183">
        <v>46092</v>
      </c>
      <c r="C174" s="184">
        <v>0.875</v>
      </c>
      <c r="D174" t="s">
        <v>1087</v>
      </c>
      <c r="K174" t="s">
        <v>134</v>
      </c>
      <c r="L174" s="15">
        <v>46092.875</v>
      </c>
    </row>
    <row r="175" spans="1:12">
      <c r="A175" t="s">
        <v>90</v>
      </c>
      <c r="B175" s="183">
        <v>46098</v>
      </c>
      <c r="C175" s="184">
        <v>0.875</v>
      </c>
      <c r="D175" t="s">
        <v>134</v>
      </c>
      <c r="K175" t="s">
        <v>1087</v>
      </c>
      <c r="L175" s="15">
        <v>46098.875</v>
      </c>
    </row>
    <row r="176" spans="1:12">
      <c r="A176" t="s">
        <v>91</v>
      </c>
      <c r="B176" s="183">
        <v>46092</v>
      </c>
      <c r="C176" s="184">
        <v>0.875</v>
      </c>
      <c r="D176" t="s">
        <v>1088</v>
      </c>
      <c r="K176" t="s">
        <v>130</v>
      </c>
      <c r="L176" s="15">
        <v>46092.875</v>
      </c>
    </row>
    <row r="177" spans="1:12">
      <c r="A177" t="s">
        <v>91</v>
      </c>
      <c r="B177" s="183">
        <v>46098</v>
      </c>
      <c r="C177" s="184">
        <v>0.875</v>
      </c>
      <c r="D177" t="s">
        <v>130</v>
      </c>
      <c r="K177" t="s">
        <v>1088</v>
      </c>
      <c r="L177" s="15">
        <v>46098.875</v>
      </c>
    </row>
    <row r="178" spans="1:12">
      <c r="A178" t="s">
        <v>92</v>
      </c>
      <c r="B178" s="183">
        <v>46092</v>
      </c>
      <c r="C178" s="184">
        <v>0.875</v>
      </c>
      <c r="D178" t="s">
        <v>1089</v>
      </c>
      <c r="K178" t="s">
        <v>137</v>
      </c>
      <c r="L178" s="15">
        <v>46092.875</v>
      </c>
    </row>
    <row r="179" spans="1:12">
      <c r="A179" t="s">
        <v>92</v>
      </c>
      <c r="B179" s="183">
        <v>46098</v>
      </c>
      <c r="C179" s="184">
        <v>0.875</v>
      </c>
      <c r="D179" t="s">
        <v>137</v>
      </c>
      <c r="K179" t="s">
        <v>1089</v>
      </c>
      <c r="L179" s="15">
        <v>46098.875</v>
      </c>
    </row>
    <row r="180" spans="1:12">
      <c r="A180" t="s">
        <v>93</v>
      </c>
      <c r="B180" s="183">
        <v>46092</v>
      </c>
      <c r="C180" s="184">
        <v>0.875</v>
      </c>
      <c r="D180" t="s">
        <v>1090</v>
      </c>
      <c r="K180" t="s">
        <v>140</v>
      </c>
      <c r="L180" s="15">
        <v>46092.875</v>
      </c>
    </row>
    <row r="181" spans="1:12">
      <c r="A181" t="s">
        <v>93</v>
      </c>
      <c r="B181" s="183">
        <v>46098</v>
      </c>
      <c r="C181" s="184">
        <v>0.875</v>
      </c>
      <c r="D181" t="s">
        <v>140</v>
      </c>
      <c r="K181" t="s">
        <v>1090</v>
      </c>
      <c r="L181" s="15">
        <v>46098.875</v>
      </c>
    </row>
    <row r="182" spans="1:12">
      <c r="B182" s="183"/>
      <c r="C182" s="184"/>
      <c r="L182" s="15"/>
    </row>
    <row r="183" spans="1:12">
      <c r="A183" t="s">
        <v>367</v>
      </c>
      <c r="B183" s="183"/>
      <c r="C183" s="184"/>
      <c r="D183" t="s">
        <v>343</v>
      </c>
      <c r="E183" t="s">
        <v>16</v>
      </c>
      <c r="F183" t="s">
        <v>17</v>
      </c>
      <c r="G183" t="s">
        <v>346</v>
      </c>
      <c r="H183" t="s">
        <v>346</v>
      </c>
      <c r="I183" t="s">
        <v>17</v>
      </c>
      <c r="J183" t="s">
        <v>16</v>
      </c>
      <c r="K183" t="s">
        <v>349</v>
      </c>
      <c r="L183" s="15"/>
    </row>
    <row r="184" spans="1:12">
      <c r="A184" t="s">
        <v>94</v>
      </c>
      <c r="B184" s="183">
        <v>46119</v>
      </c>
      <c r="C184" s="184">
        <v>0.875</v>
      </c>
      <c r="D184" t="s">
        <v>1091</v>
      </c>
      <c r="K184" t="s">
        <v>1092</v>
      </c>
      <c r="L184" s="15">
        <v>46119.875</v>
      </c>
    </row>
    <row r="185" spans="1:12">
      <c r="A185" t="s">
        <v>94</v>
      </c>
      <c r="B185" s="183">
        <v>46127</v>
      </c>
      <c r="C185" s="184">
        <v>0.875</v>
      </c>
      <c r="D185" t="s">
        <v>1092</v>
      </c>
      <c r="K185" t="s">
        <v>1091</v>
      </c>
      <c r="L185" s="15">
        <v>46127.875</v>
      </c>
    </row>
    <row r="186" spans="1:12">
      <c r="A186" t="s">
        <v>95</v>
      </c>
      <c r="B186" s="183">
        <v>46119</v>
      </c>
      <c r="C186" s="184">
        <v>0.875</v>
      </c>
      <c r="D186" t="s">
        <v>1093</v>
      </c>
      <c r="K186" t="s">
        <v>1094</v>
      </c>
      <c r="L186" s="15">
        <v>46119.875</v>
      </c>
    </row>
    <row r="187" spans="1:12">
      <c r="A187" t="s">
        <v>95</v>
      </c>
      <c r="B187" s="183">
        <v>46127</v>
      </c>
      <c r="C187" s="184">
        <v>0.875</v>
      </c>
      <c r="D187" t="s">
        <v>1094</v>
      </c>
      <c r="K187" t="s">
        <v>1093</v>
      </c>
      <c r="L187" s="15">
        <v>46127.875</v>
      </c>
    </row>
    <row r="188" spans="1:12">
      <c r="A188" t="s">
        <v>96</v>
      </c>
      <c r="B188" s="183">
        <v>46120</v>
      </c>
      <c r="C188" s="184">
        <v>0.875</v>
      </c>
      <c r="D188" t="s">
        <v>1095</v>
      </c>
      <c r="K188" t="s">
        <v>1096</v>
      </c>
      <c r="L188" s="15">
        <v>46120.875</v>
      </c>
    </row>
    <row r="189" spans="1:12">
      <c r="A189" t="s">
        <v>96</v>
      </c>
      <c r="B189" s="183">
        <v>46126</v>
      </c>
      <c r="C189" s="184">
        <v>0.875</v>
      </c>
      <c r="D189" t="s">
        <v>1096</v>
      </c>
      <c r="K189" t="s">
        <v>1095</v>
      </c>
      <c r="L189" s="15">
        <v>46126.875</v>
      </c>
    </row>
    <row r="190" spans="1:12">
      <c r="A190" t="s">
        <v>97</v>
      </c>
      <c r="B190" s="183">
        <v>46120</v>
      </c>
      <c r="C190" s="184">
        <v>0.875</v>
      </c>
      <c r="D190" t="s">
        <v>1097</v>
      </c>
      <c r="K190" t="s">
        <v>1098</v>
      </c>
      <c r="L190" s="15">
        <v>46120.875</v>
      </c>
    </row>
    <row r="191" spans="1:12">
      <c r="A191" t="s">
        <v>97</v>
      </c>
      <c r="B191" s="183">
        <v>46126</v>
      </c>
      <c r="C191" s="184">
        <v>0.875</v>
      </c>
      <c r="D191" t="s">
        <v>1098</v>
      </c>
      <c r="K191" t="s">
        <v>1097</v>
      </c>
      <c r="L191" s="15">
        <v>46126.875</v>
      </c>
    </row>
    <row r="192" spans="1:12">
      <c r="B192" s="183"/>
      <c r="C192" s="184"/>
      <c r="L192" s="15"/>
    </row>
    <row r="193" spans="1:12">
      <c r="A193" t="s">
        <v>370</v>
      </c>
      <c r="B193" s="183"/>
      <c r="C193" s="184"/>
      <c r="D193" t="s">
        <v>343</v>
      </c>
      <c r="E193" t="s">
        <v>16</v>
      </c>
      <c r="F193" t="s">
        <v>17</v>
      </c>
      <c r="G193" t="s">
        <v>346</v>
      </c>
      <c r="H193" t="s">
        <v>346</v>
      </c>
      <c r="I193" t="s">
        <v>17</v>
      </c>
      <c r="J193" t="s">
        <v>16</v>
      </c>
      <c r="K193" t="s">
        <v>349</v>
      </c>
      <c r="L193" s="15"/>
    </row>
    <row r="194" spans="1:12">
      <c r="A194" t="s">
        <v>98</v>
      </c>
      <c r="B194" s="183">
        <v>46140</v>
      </c>
      <c r="C194" s="184">
        <v>0.875</v>
      </c>
      <c r="D194" t="s">
        <v>1099</v>
      </c>
      <c r="K194" t="s">
        <v>1100</v>
      </c>
      <c r="L194" s="15">
        <v>46140.875</v>
      </c>
    </row>
    <row r="195" spans="1:12">
      <c r="A195" t="s">
        <v>98</v>
      </c>
      <c r="B195" s="183">
        <v>46148</v>
      </c>
      <c r="C195" s="184">
        <v>0.875</v>
      </c>
      <c r="D195" t="s">
        <v>1100</v>
      </c>
      <c r="K195" t="s">
        <v>1099</v>
      </c>
      <c r="L195" s="15">
        <v>46148.875</v>
      </c>
    </row>
    <row r="196" spans="1:12">
      <c r="A196" t="s">
        <v>99</v>
      </c>
      <c r="B196" s="183">
        <v>46141</v>
      </c>
      <c r="C196" s="184">
        <v>0.875</v>
      </c>
      <c r="D196" t="s">
        <v>1101</v>
      </c>
      <c r="K196" t="s">
        <v>1102</v>
      </c>
      <c r="L196" s="15">
        <v>46141.875</v>
      </c>
    </row>
    <row r="197" spans="1:12">
      <c r="A197" t="s">
        <v>99</v>
      </c>
      <c r="B197" s="183">
        <v>46147</v>
      </c>
      <c r="C197" s="184">
        <v>0.875</v>
      </c>
      <c r="D197" t="s">
        <v>1102</v>
      </c>
      <c r="K197" t="s">
        <v>1101</v>
      </c>
      <c r="L197" s="15">
        <v>46147.875</v>
      </c>
    </row>
    <row r="198" spans="1:12">
      <c r="B198" s="183"/>
      <c r="C198" s="184"/>
      <c r="L198" s="15"/>
    </row>
    <row r="199" spans="1:12">
      <c r="A199" t="s">
        <v>372</v>
      </c>
      <c r="B199" s="183"/>
      <c r="C199" s="184"/>
      <c r="D199" t="s">
        <v>343</v>
      </c>
      <c r="E199" t="s">
        <v>16</v>
      </c>
      <c r="F199" t="s">
        <v>17</v>
      </c>
      <c r="G199" t="s">
        <v>346</v>
      </c>
      <c r="H199" t="s">
        <v>346</v>
      </c>
      <c r="I199" t="s">
        <v>17</v>
      </c>
      <c r="J199" t="s">
        <v>16</v>
      </c>
      <c r="K199" t="s">
        <v>349</v>
      </c>
      <c r="L199" s="15"/>
    </row>
    <row r="200" spans="1:12">
      <c r="A200" t="s">
        <v>100</v>
      </c>
      <c r="B200" s="183">
        <v>46172</v>
      </c>
      <c r="C200" s="184">
        <v>0.875</v>
      </c>
      <c r="D200" t="s">
        <v>1103</v>
      </c>
      <c r="K200" t="s">
        <v>1104</v>
      </c>
      <c r="L200" s="15">
        <v>46172.875</v>
      </c>
    </row>
    <row r="201" spans="1:12">
      <c r="B201" s="183"/>
      <c r="C201" s="184"/>
      <c r="L201" s="15"/>
    </row>
    <row r="202" spans="1:12">
      <c r="B202" s="183"/>
      <c r="C202" s="184"/>
      <c r="D202" t="s">
        <v>351</v>
      </c>
      <c r="F202" t="s">
        <v>1105</v>
      </c>
      <c r="L202" s="15"/>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3E8A16-A6CC-4FD3-A2C3-DE65A1BA5C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Angel Tejero</dc:creator>
  <cp:keywords/>
  <dc:description/>
  <cp:lastModifiedBy>Guillermo Moreno</cp:lastModifiedBy>
  <cp:revision/>
  <dcterms:created xsi:type="dcterms:W3CDTF">2021-07-05T15:34:18Z</dcterms:created>
  <dcterms:modified xsi:type="dcterms:W3CDTF">2026-01-22T07:44:28Z</dcterms:modified>
  <cp:category/>
  <cp:contentStatus/>
</cp:coreProperties>
</file>